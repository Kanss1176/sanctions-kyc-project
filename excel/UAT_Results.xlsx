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_Resul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<sst xmlns="http://schemas.openxmlformats.org/spreadsheetml/2006/main" count="415" uniqueCount="236">
  <si>
    <t xml:space="preserve">UAT plan and results</t>
  </si>
  <si>
    <t xml:space="preserve">Simulated workflow on real GLEIF entity data. Not Citi data. Automated cases were run on 2026-10-06 (50 passed). Yellow cells are for you to fill after running the manual and document cases.</t>
  </si>
  <si>
    <t xml:space="preserve">ID</t>
  </si>
  <si>
    <t xml:space="preserve">Area (JD requirement)</t>
  </si>
  <si>
    <t xml:space="preserve">Scenario</t>
  </si>
  <si>
    <t xml:space="preserve">Input</t>
  </si>
  <si>
    <t xml:space="preserve">Expected result</t>
  </si>
  <si>
    <t xml:space="preserve">Method</t>
  </si>
  <si>
    <t xml:space="preserve">Reference</t>
  </si>
  <si>
    <t xml:space="preserve">Actual result</t>
  </si>
  <si>
    <t xml:space="preserve">Pass/Fail</t>
  </si>
  <si>
    <t xml:space="preserve">Tester</t>
  </si>
  <si>
    <t xml:space="preserve">Date</t>
  </si>
  <si>
    <t xml:space="preserve">UAT-01</t>
  </si>
  <si>
    <t xml:space="preserve">Rules and verification</t>
  </si>
  <si>
    <t xml:space="preserve">R01 fires for a non-ISSUED record</t>
  </si>
  <si>
    <t xml:space="preserve">Entity status LAPSED; then ISSUED; then ANNULLED</t>
  </si>
  <si>
    <t xml:space="preserve">Fires for LAPSED only; does not fire for ISSUED or ANNULLED</t>
  </si>
  <si>
    <t xml:space="preserve">Automated pytest</t>
  </si>
  <si>
    <t xml:space="preserve">tests/test_rules.py::test_r01</t>
  </si>
  <si>
    <t xml:space="preserve">Passed in the full run: python -m pytest tests -q gave 50 passed (no failures).</t>
  </si>
  <si>
    <t xml:space="preserve">Pass</t>
  </si>
  <si>
    <t xml:space="preserve">Automated (pytest)</t>
  </si>
  <si>
    <t xml:space="preserve">2026-10-06</t>
  </si>
  <si>
    <t xml:space="preserve">UAT-02</t>
  </si>
  <si>
    <t xml:space="preserve">R02 renewal overdue</t>
  </si>
  <si>
    <t xml:space="preserve">ISSUED with a passed renewal date; ISSUED with a future date; LAPSED with a passed date</t>
  </si>
  <si>
    <t xml:space="preserve">Fires only for ISSUED with a passed date</t>
  </si>
  <si>
    <t xml:space="preserve">tests/test_rules.py::test_r02</t>
  </si>
  <si>
    <t xml:space="preserve">UAT-03</t>
  </si>
  <si>
    <t xml:space="preserve">R03 inactive entity</t>
  </si>
  <si>
    <t xml:space="preserve">Entity status INACTIVE; entity status ACTIVE</t>
  </si>
  <si>
    <t xml:space="preserve">Fires only for INACTIVE</t>
  </si>
  <si>
    <t xml:space="preserve">tests/test_rules.py::test_r03</t>
  </si>
  <si>
    <t xml:space="preserve">UAT-04</t>
  </si>
  <si>
    <t xml:space="preserve">R04 country mismatch</t>
  </si>
  <si>
    <t xml:space="preserve">Legal country differs from HQ country; same country</t>
  </si>
  <si>
    <t xml:space="preserve">Fires only when they differ</t>
  </si>
  <si>
    <t xml:space="preserve">tests/test_rules.py::test_r04</t>
  </si>
  <si>
    <t xml:space="preserve">UAT-05</t>
  </si>
  <si>
    <t xml:space="preserve">R05 no parent and no exception</t>
  </si>
  <si>
    <t xml:space="preserve">Missing parent with no reporting exception; otherwise</t>
  </si>
  <si>
    <t xml:space="preserve">Fires only for the unexplained missing parent</t>
  </si>
  <si>
    <t xml:space="preserve">tests/test_rules.py::test_r05</t>
  </si>
  <si>
    <t xml:space="preserve">UAT-06</t>
  </si>
  <si>
    <t xml:space="preserve">Sanctions and country risk</t>
  </si>
  <si>
    <t xml:space="preserve">R06 name score at or above 80</t>
  </si>
  <si>
    <t xml:space="preserve">A list name and a non-matching name</t>
  </si>
  <si>
    <t xml:space="preserve">Fires only at a score of 80 or above (potential match for review)</t>
  </si>
  <si>
    <t xml:space="preserve">tests/test_rules_screen.py::test_r06</t>
  </si>
  <si>
    <t xml:space="preserve">UAT-07</t>
  </si>
  <si>
    <t xml:space="preserve">R07 FATF country</t>
  </si>
  <si>
    <t xml:space="preserve">Entity in a FATF-listed country; entity elsewhere</t>
  </si>
  <si>
    <t xml:space="preserve">Fires only for a listed country</t>
  </si>
  <si>
    <t xml:space="preserve">tests/test_rules_screen.py::test_r07</t>
  </si>
  <si>
    <t xml:space="preserve">UAT-08</t>
  </si>
  <si>
    <t xml:space="preserve">Stored rule hits equal the rule SQL</t>
  </si>
  <si>
    <t xml:space="preserve">Compare fact_rule_hit with the shared rule definitions</t>
  </si>
  <si>
    <t xml:space="preserve">Counts match exactly</t>
  </si>
  <si>
    <t xml:space="preserve">tests/test_rules.py::test_built_hits_match_shared_rules</t>
  </si>
  <si>
    <t xml:space="preserve">UAT-09</t>
  </si>
  <si>
    <t xml:space="preserve">Verification and authorization</t>
  </si>
  <si>
    <t xml:space="preserve">Maker is never the checker</t>
  </si>
  <si>
    <t xml:space="preserve">Every request in the simulation</t>
  </si>
  <si>
    <t xml:space="preserve">No request has the same maker and checker</t>
  </si>
  <si>
    <t xml:space="preserve">tests/test_workflow.py::test_maker_is_never_the_checker</t>
  </si>
  <si>
    <t xml:space="preserve">UAT-10</t>
  </si>
  <si>
    <t xml:space="preserve">Accuracy</t>
  </si>
  <si>
    <t xml:space="preserve">Completed plus open equals received</t>
  </si>
  <si>
    <t xml:space="preserve">Whole simulated request table</t>
  </si>
  <si>
    <t xml:space="preserve">No request lost or double counted</t>
  </si>
  <si>
    <t xml:space="preserve">tests/test_workflow.py::test_completed_plus_open_equals_received</t>
  </si>
  <si>
    <t xml:space="preserve">UAT-11</t>
  </si>
  <si>
    <t xml:space="preserve">Completion is not before receipt</t>
  </si>
  <si>
    <t xml:space="preserve">Every completed request</t>
  </si>
  <si>
    <t xml:space="preserve">Completion time is never earlier than receipt time</t>
  </si>
  <si>
    <t xml:space="preserve">tests/test_workflow.py::test_completion_is_not_before_receipt</t>
  </si>
  <si>
    <t xml:space="preserve">UAT-12</t>
  </si>
  <si>
    <t xml:space="preserve">Every request points to a real entity</t>
  </si>
  <si>
    <t xml:space="preserve">Join requests to dim_entity</t>
  </si>
  <si>
    <t xml:space="preserve">No request has an unknown entity</t>
  </si>
  <si>
    <t xml:space="preserve">tests/test_workflow.py::test_every_request_points_to_a_real_entity</t>
  </si>
  <si>
    <t xml:space="preserve">UAT-13</t>
  </si>
  <si>
    <t xml:space="preserve">Error truth is kept out of the request table</t>
  </si>
  <si>
    <t xml:space="preserve">Inspect request table columns</t>
  </si>
  <si>
    <t xml:space="preserve">Injected-error truth is not visible to the workflow</t>
  </si>
  <si>
    <t xml:space="preserve">tests/test_workflow.py::test_error_truth_is_kept_out_of_the_request_table</t>
  </si>
  <si>
    <t xml:space="preserve">UAT-14</t>
  </si>
  <si>
    <t xml:space="preserve">Every logged exception exists in the truth table</t>
  </si>
  <si>
    <t xml:space="preserve">Compare fact_exception with sim_error_truth</t>
  </si>
  <si>
    <t xml:space="preserve">No exception without a matching injected error</t>
  </si>
  <si>
    <t xml:space="preserve">tests/test_workflow.py::test_every_logged_exception_exists_in_the_truth_table</t>
  </si>
  <si>
    <t xml:space="preserve">UAT-15</t>
  </si>
  <si>
    <t xml:space="preserve">Deadlines</t>
  </si>
  <si>
    <t xml:space="preserve">Turnaround matches an independent recompute</t>
  </si>
  <si>
    <t xml:space="preserve">Recompute turnaround in Python</t>
  </si>
  <si>
    <t xml:space="preserve">SQL and Python agree</t>
  </si>
  <si>
    <t xml:space="preserve">tests/test_metrics.py::test_turnaround_matches_python</t>
  </si>
  <si>
    <t xml:space="preserve">UAT-16</t>
  </si>
  <si>
    <t xml:space="preserve">SLA breaches match an independent recompute</t>
  </si>
  <si>
    <t xml:space="preserve">Recompute breaches in Python</t>
  </si>
  <si>
    <t xml:space="preserve">tests/test_metrics.py::test_sla_breach_matches_python</t>
  </si>
  <si>
    <t xml:space="preserve">UAT-17</t>
  </si>
  <si>
    <t xml:space="preserve">Queue bands follow the rule</t>
  </si>
  <si>
    <t xml:space="preserve">Open requests in the work queue</t>
  </si>
  <si>
    <t xml:space="preserve">Each request is in the correct priority band</t>
  </si>
  <si>
    <t xml:space="preserve">tests/test_metrics.py::test_queue_bands_follow_the_rule</t>
  </si>
  <si>
    <t xml:space="preserve">UAT-18</t>
  </si>
  <si>
    <t xml:space="preserve">Queue is complete, unique and ordered</t>
  </si>
  <si>
    <t xml:space="preserve">Every open request appears once, in order</t>
  </si>
  <si>
    <t xml:space="preserve">tests/test_metrics.py::test_queue_is_complete_unique_and_ordered</t>
  </si>
  <si>
    <t xml:space="preserve">UAT-19</t>
  </si>
  <si>
    <t xml:space="preserve">Escalation</t>
  </si>
  <si>
    <t xml:space="preserve">Escalation counts match an independent recompute</t>
  </si>
  <si>
    <t xml:space="preserve">Recompute escalations in Python</t>
  </si>
  <si>
    <t xml:space="preserve">tests/test_metrics.py::test_escalation_matches_python</t>
  </si>
  <si>
    <t xml:space="preserve">UAT-20</t>
  </si>
  <si>
    <t xml:space="preserve">Priority queue serves the earliest due first</t>
  </si>
  <si>
    <t xml:space="preserve">Queue with mixed due times</t>
  </si>
  <si>
    <t xml:space="preserve">Earliest due time is served first</t>
  </si>
  <si>
    <t xml:space="preserve">tests/test_scenarios.py::test_priority_serves_earliest_due_first</t>
  </si>
  <si>
    <t xml:space="preserve">UAT-21</t>
  </si>
  <si>
    <t xml:space="preserve">FIFO queue serves in arrival order</t>
  </si>
  <si>
    <t xml:space="preserve">Queue with mixed arrival times</t>
  </si>
  <si>
    <t xml:space="preserve">Arrival order is respected</t>
  </si>
  <si>
    <t xml:space="preserve">tests/test_scenarios.py::test_fifo_serves_in_arrival_order</t>
  </si>
  <si>
    <t xml:space="preserve">UAT-22</t>
  </si>
  <si>
    <t xml:space="preserve">Baseline scenario reproduces the workflow tables</t>
  </si>
  <si>
    <t xml:space="preserve">Compare baseline scenario with fact_request</t>
  </si>
  <si>
    <t xml:space="preserve">Same completed and open counts (1,980 and 20)</t>
  </si>
  <si>
    <t xml:space="preserve">tests/test_scenarios.py::test_baseline_scenario_reproduces_the_workflow_tables</t>
  </si>
  <si>
    <t xml:space="preserve">UAT-23</t>
  </si>
  <si>
    <t xml:space="preserve">Data protection</t>
  </si>
  <si>
    <t xml:space="preserve">Screening table stores no names</t>
  </si>
  <si>
    <t xml:space="preserve">Inspect fact_screen columns</t>
  </si>
  <si>
    <t xml:space="preserve">No company name is stored</t>
  </si>
  <si>
    <t xml:space="preserve">tests/test_rules_screen.py::test_fact_screen_stores_no_names</t>
  </si>
  <si>
    <t xml:space="preserve">UAT-24</t>
  </si>
  <si>
    <t xml:space="preserve">Same seed gives the same tables</t>
  </si>
  <si>
    <t xml:space="preserve">Run the workflow twice with the same seed</t>
  </si>
  <si>
    <t xml:space="preserve">Identical tables</t>
  </si>
  <si>
    <t xml:space="preserve">tests/test_workflow.py::test_same_seed_gives_same_tables</t>
  </si>
  <si>
    <t xml:space="preserve">UAT-25</t>
  </si>
  <si>
    <t xml:space="preserve">Checker equal to the maker is rejected</t>
  </si>
  <si>
    <t xml:space="preserve">Checker_Log, row 2 (maker M3): type M3 in checker_id</t>
  </si>
  <si>
    <t xml:space="preserve">Excel shows the 'Maker-checker rule' error and refuses the entry</t>
  </si>
  <si>
    <t xml:space="preserve">Manual Excel</t>
  </si>
  <si>
    <t xml:space="preserve">Checker_Log, cell D2</t>
  </si>
  <si>
    <t xml:space="preserve">Not run</t>
  </si>
  <si>
    <t xml:space="preserve">UAT-26</t>
  </si>
  <si>
    <t xml:space="preserve">A different checker is accepted</t>
  </si>
  <si>
    <t xml:space="preserve">Checker_Log, row 2: type C1 in checker_id, then clear it</t>
  </si>
  <si>
    <t xml:space="preserve">C1 is accepted with no error</t>
  </si>
  <si>
    <t xml:space="preserve">UAT-27</t>
  </si>
  <si>
    <t xml:space="preserve">Priority bands match hours left</t>
  </si>
  <si>
    <t xml:space="preserve">Daily_Queue, all 20 rows</t>
  </si>
  <si>
    <t xml:space="preserve">Rows under 72 h show P2; later rows show P3; none overdue</t>
  </si>
  <si>
    <t xml:space="preserve">Daily_Queue, columns F and G</t>
  </si>
  <si>
    <t xml:space="preserve">UAT-28</t>
  </si>
  <si>
    <t xml:space="preserve">Overdue request turns red</t>
  </si>
  <si>
    <t xml:space="preserve">Test on a COPY of the workbook: set one due time in the past</t>
  </si>
  <si>
    <t xml:space="preserve">The row turns red. Do not save the change in the real file</t>
  </si>
  <si>
    <t xml:space="preserve">Daily_Queue, conditional format</t>
  </si>
  <si>
    <t xml:space="preserve">UAT-29</t>
  </si>
  <si>
    <t xml:space="preserve">Lodgment</t>
  </si>
  <si>
    <t xml:space="preserve">Lodged without a complete check is flagged</t>
  </si>
  <si>
    <t xml:space="preserve">Lodgment_Log, row 17</t>
  </si>
  <si>
    <t xml:space="preserve">Red flag 'CHECK: lodged without complete check'</t>
  </si>
  <si>
    <t xml:space="preserve">UAT-30</t>
  </si>
  <si>
    <t xml:space="preserve">Archiving</t>
  </si>
  <si>
    <t xml:space="preserve">Archived while incomplete is flagged</t>
  </si>
  <si>
    <t xml:space="preserve">Archive_Manifest, incomplete row</t>
  </si>
  <si>
    <t xml:space="preserve">Red flag 'CHECK: archived while incomplete'</t>
  </si>
  <si>
    <t xml:space="preserve">Archive_Manifest</t>
  </si>
  <si>
    <t xml:space="preserve">UAT-31</t>
  </si>
  <si>
    <t xml:space="preserve">Overall KPI check shows ALL OK</t>
  </si>
  <si>
    <t xml:space="preserve">Open KPI_Summary</t>
  </si>
  <si>
    <t xml:space="preserve">B2 says ALL OK and every Check cell says OK</t>
  </si>
  <si>
    <t xml:space="preserve">KPI_Summary, cell B2</t>
  </si>
  <si>
    <t xml:space="preserve">UAT-32</t>
  </si>
  <si>
    <t xml:space="preserve">Total in bands equals open requests</t>
  </si>
  <si>
    <t xml:space="preserve">KPI_Summary, ageing table</t>
  </si>
  <si>
    <t xml:space="preserve">Total in bands is 20 and its check says OK</t>
  </si>
  <si>
    <t xml:space="preserve">KPI_Summary, band table</t>
  </si>
  <si>
    <t xml:space="preserve">UAT-33</t>
  </si>
  <si>
    <t xml:space="preserve">LEI column shows the full 20-character code</t>
  </si>
  <si>
    <t xml:space="preserve">Data_Requests, lei column</t>
  </si>
  <si>
    <t xml:space="preserve">No code is cut off or shown in scientific format</t>
  </si>
  <si>
    <t xml:space="preserve">Data_Requests, column lei</t>
  </si>
  <si>
    <t xml:space="preserve">UAT-34</t>
  </si>
  <si>
    <t xml:space="preserve">Dropdown lists work</t>
  </si>
  <si>
    <t xml:space="preserve">Click action_status in Daily_Queue and the status and type columns in the logs</t>
  </si>
  <si>
    <t xml:space="preserve">A dropdown arrow appears and lists the allowed values</t>
  </si>
  <si>
    <t xml:space="preserve">Daily_Queue, Checker_Log, Lodgment_Log</t>
  </si>
  <si>
    <t xml:space="preserve">UAT-35</t>
  </si>
  <si>
    <t xml:space="preserve">Staying current</t>
  </si>
  <si>
    <t xml:space="preserve">Reg_Watch blank-status check is OK</t>
  </si>
  <si>
    <t xml:space="preserve">Open Reg_Watch</t>
  </si>
  <si>
    <t xml:space="preserve">'Blank status' shows 0 and OK; REG04 describes the R02 SLA change</t>
  </si>
  <si>
    <t xml:space="preserve">Reg_Watch, rows 8 and 10</t>
  </si>
  <si>
    <t xml:space="preserve">UAT-36</t>
  </si>
  <si>
    <t xml:space="preserve">Documentation</t>
  </si>
  <si>
    <t xml:space="preserve">Footer carries the simulated label</t>
  </si>
  <si>
    <t xml:space="preserve">Print preview of KPI_Summary</t>
  </si>
  <si>
    <t xml:space="preserve">Footer reads 'Simulated workflow on real GLEIF entity data. Not Citi data.'</t>
  </si>
  <si>
    <t xml:space="preserve">KPI_Summary, print preview</t>
  </si>
  <si>
    <t xml:space="preserve">UAT-37</t>
  </si>
  <si>
    <t xml:space="preserve">Follow the R02 route in the matrix</t>
  </si>
  <si>
    <t xml:space="preserve">Read SOP-ESC-01 v1.1 for rule R02</t>
  </si>
  <si>
    <t xml:space="preserve">Handled by Maker then Team Lead, escalate to Operations Manager, SLA 24 h</t>
  </si>
  <si>
    <t xml:space="preserve">Document review</t>
  </si>
  <si>
    <t xml:space="preserve">SOP-ESC-01 v1.1, matrix</t>
  </si>
  <si>
    <t xml:space="preserve">UAT-38</t>
  </si>
  <si>
    <t xml:space="preserve">R06 is handled as a potential match only</t>
  </si>
  <si>
    <t xml:space="preserve">Read SOP-ESC-01 v1.1 and QRY-01 for R06</t>
  </si>
  <si>
    <t xml:space="preserve">Route goes to Compliance (simulated); no client reply mentions screening</t>
  </si>
  <si>
    <t xml:space="preserve">SOP-ESC-01 v1.1, QRY-01</t>
  </si>
  <si>
    <t xml:space="preserve">UAT-39</t>
  </si>
  <si>
    <t xml:space="preserve">Change log shows the R02 change</t>
  </si>
  <si>
    <t xml:space="preserve">Compare SOP-R02-01 v1.0 and v1.1</t>
  </si>
  <si>
    <t xml:space="preserve">v1.1 shows SLA 48 h to 24 h under CR-001 and the documents affected</t>
  </si>
  <si>
    <t xml:space="preserve">SOP-R02-01 v1.0 and v1.1</t>
  </si>
  <si>
    <t xml:space="preserve">UAT-40</t>
  </si>
  <si>
    <t xml:space="preserve">A second person can follow the signatory procedure</t>
  </si>
  <si>
    <t xml:space="preserve">Give SOP-SIG-01 and the workbook to a second person to process one signatory change</t>
  </si>
  <si>
    <t xml:space="preserve">They complete the change using only the procedure and the workbook</t>
  </si>
  <si>
    <t xml:space="preserve">SOP-SIG-01 v1.0</t>
  </si>
  <si>
    <t xml:space="preserve">UAT summary</t>
  </si>
  <si>
    <t xml:space="preserve">Total cases</t>
  </si>
  <si>
    <t xml:space="preserve">Passed</t>
  </si>
  <si>
    <t xml:space="preserve">Failed</t>
  </si>
  <si>
    <t xml:space="preserve">Automated cases</t>
  </si>
  <si>
    <t xml:space="preserve">Manual Excel cases</t>
  </si>
  <si>
    <t xml:space="preserve">Document review cases</t>
  </si>
  <si>
    <t xml:space="preserve">Check: passed + failed + not run = total</t>
  </si>
  <si>
    <t xml:space="preserve">A failed case is a finding. Record it in the Actual result column and log the fix; do not delete or hide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</si>
</sst>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999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2.3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customFormat="false" ht="22.35" hidden="false" customHeight="false" outlineLevel="0" collapsed="false">
      <c r="A6" s="4" t="s">
        <v>24</v>
      </c>
      <c r="B6" s="4" t="s">
        <v>14</v>
      </c>
      <c r="C6" s="4" t="s">
        <v>25</v>
      </c>
      <c r="D6" s="4" t="s">
        <v>26</v>
      </c>
      <c r="E6" s="4" t="s">
        <v>27</v>
      </c>
      <c r="F6" s="4" t="s">
        <v>18</v>
      </c>
      <c r="G6" s="4" t="s">
        <v>28</v>
      </c>
      <c r="H6" s="4" t="s">
        <v>20</v>
      </c>
      <c r="I6" s="4" t="s">
        <v>21</v>
      </c>
      <c r="J6" s="4" t="s">
        <v>22</v>
      </c>
      <c r="K6" s="4" t="s">
        <v>23</v>
      </c>
    </row>
    <row r="7" customFormat="false" ht="22.35" hidden="false" customHeight="false" outlineLevel="0" collapsed="false">
      <c r="A7" s="4" t="s">
        <v>29</v>
      </c>
      <c r="B7" s="4" t="s">
        <v>14</v>
      </c>
      <c r="C7" s="4" t="s">
        <v>30</v>
      </c>
      <c r="D7" s="4" t="s">
        <v>31</v>
      </c>
      <c r="E7" s="4" t="s">
        <v>32</v>
      </c>
      <c r="F7" s="4" t="s">
        <v>18</v>
      </c>
      <c r="G7" s="4" t="s">
        <v>33</v>
      </c>
      <c r="H7" s="4" t="s">
        <v>20</v>
      </c>
      <c r="I7" s="4" t="s">
        <v>21</v>
      </c>
      <c r="J7" s="4" t="s">
        <v>22</v>
      </c>
      <c r="K7" s="4" t="s">
        <v>23</v>
      </c>
    </row>
    <row r="8" customFormat="false" ht="22.35" hidden="false" customHeight="false" outlineLevel="0" collapsed="false">
      <c r="A8" s="4" t="s">
        <v>34</v>
      </c>
      <c r="B8" s="4" t="s">
        <v>14</v>
      </c>
      <c r="C8" s="4" t="s">
        <v>35</v>
      </c>
      <c r="D8" s="4" t="s">
        <v>36</v>
      </c>
      <c r="E8" s="4" t="s">
        <v>37</v>
      </c>
      <c r="F8" s="4" t="s">
        <v>18</v>
      </c>
      <c r="G8" s="4" t="s">
        <v>38</v>
      </c>
      <c r="H8" s="4" t="s">
        <v>20</v>
      </c>
      <c r="I8" s="4" t="s">
        <v>21</v>
      </c>
      <c r="J8" s="4" t="s">
        <v>22</v>
      </c>
      <c r="K8" s="4" t="s">
        <v>23</v>
      </c>
    </row>
    <row r="9" customFormat="false" ht="22.35" hidden="false" customHeight="false" outlineLevel="0" collapsed="false">
      <c r="A9" s="4" t="s">
        <v>39</v>
      </c>
      <c r="B9" s="4" t="s">
        <v>14</v>
      </c>
      <c r="C9" s="4" t="s">
        <v>40</v>
      </c>
      <c r="D9" s="4" t="s">
        <v>41</v>
      </c>
      <c r="E9" s="4" t="s">
        <v>42</v>
      </c>
      <c r="F9" s="4" t="s">
        <v>18</v>
      </c>
      <c r="G9" s="4" t="s">
        <v>43</v>
      </c>
      <c r="H9" s="4" t="s">
        <v>20</v>
      </c>
      <c r="I9" s="4" t="s">
        <v>21</v>
      </c>
      <c r="J9" s="4" t="s">
        <v>22</v>
      </c>
      <c r="K9" s="4" t="s">
        <v>23</v>
      </c>
    </row>
    <row r="10" customFormat="false" ht="22.35" hidden="false" customHeight="false" outlineLevel="0" collapsed="false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18</v>
      </c>
      <c r="G10" s="4" t="s">
        <v>49</v>
      </c>
      <c r="H10" s="4" t="s">
        <v>20</v>
      </c>
      <c r="I10" s="4" t="s">
        <v>21</v>
      </c>
      <c r="J10" s="4" t="s">
        <v>22</v>
      </c>
      <c r="K10" s="4" t="s">
        <v>23</v>
      </c>
    </row>
    <row r="11" customFormat="false" ht="22.35" hidden="false" customHeight="false" outlineLevel="0" collapsed="false">
      <c r="A11" s="4" t="s">
        <v>50</v>
      </c>
      <c r="B11" s="4" t="s">
        <v>45</v>
      </c>
      <c r="C11" s="4" t="s">
        <v>51</v>
      </c>
      <c r="D11" s="4" t="s">
        <v>52</v>
      </c>
      <c r="E11" s="4" t="s">
        <v>53</v>
      </c>
      <c r="F11" s="4" t="s">
        <v>18</v>
      </c>
      <c r="G11" s="4" t="s">
        <v>54</v>
      </c>
      <c r="H11" s="4" t="s">
        <v>20</v>
      </c>
      <c r="I11" s="4" t="s">
        <v>21</v>
      </c>
      <c r="J11" s="4" t="s">
        <v>22</v>
      </c>
      <c r="K11" s="4" t="s">
        <v>23</v>
      </c>
    </row>
    <row r="12" customFormat="false" ht="22.35" hidden="false" customHeight="false" outlineLevel="0" collapsed="false">
      <c r="A12" s="4" t="s">
        <v>55</v>
      </c>
      <c r="B12" s="4" t="s">
        <v>14</v>
      </c>
      <c r="C12" s="4" t="s">
        <v>56</v>
      </c>
      <c r="D12" s="4" t="s">
        <v>57</v>
      </c>
      <c r="E12" s="4" t="s">
        <v>58</v>
      </c>
      <c r="F12" s="4" t="s">
        <v>18</v>
      </c>
      <c r="G12" s="4" t="s">
        <v>59</v>
      </c>
      <c r="H12" s="4" t="s">
        <v>20</v>
      </c>
      <c r="I12" s="4" t="s">
        <v>21</v>
      </c>
      <c r="J12" s="4" t="s">
        <v>22</v>
      </c>
      <c r="K12" s="4" t="s">
        <v>23</v>
      </c>
    </row>
    <row r="13" customFormat="false" ht="32.8" hidden="false" customHeight="false" outlineLevel="0" collapsed="false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18</v>
      </c>
      <c r="G13" s="4" t="s">
        <v>65</v>
      </c>
      <c r="H13" s="4" t="s">
        <v>20</v>
      </c>
      <c r="I13" s="4" t="s">
        <v>21</v>
      </c>
      <c r="J13" s="4" t="s">
        <v>22</v>
      </c>
      <c r="K13" s="4" t="s">
        <v>23</v>
      </c>
    </row>
    <row r="14" customFormat="false" ht="32.8" hidden="false" customHeight="false" outlineLevel="0" collapsed="false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18</v>
      </c>
      <c r="G14" s="4" t="s">
        <v>71</v>
      </c>
      <c r="H14" s="4" t="s">
        <v>20</v>
      </c>
      <c r="I14" s="4" t="s">
        <v>21</v>
      </c>
      <c r="J14" s="4" t="s">
        <v>22</v>
      </c>
      <c r="K14" s="4" t="s">
        <v>23</v>
      </c>
    </row>
    <row r="15" customFormat="false" ht="32.8" hidden="false" customHeight="false" outlineLevel="0" collapsed="false">
      <c r="A15" s="4" t="s">
        <v>72</v>
      </c>
      <c r="B15" s="4" t="s">
        <v>67</v>
      </c>
      <c r="C15" s="4" t="s">
        <v>73</v>
      </c>
      <c r="D15" s="4" t="s">
        <v>74</v>
      </c>
      <c r="E15" s="4" t="s">
        <v>75</v>
      </c>
      <c r="F15" s="4" t="s">
        <v>18</v>
      </c>
      <c r="G15" s="4" t="s">
        <v>76</v>
      </c>
      <c r="H15" s="4" t="s">
        <v>20</v>
      </c>
      <c r="I15" s="4" t="s">
        <v>21</v>
      </c>
      <c r="J15" s="4" t="s">
        <v>22</v>
      </c>
      <c r="K15" s="4" t="s">
        <v>23</v>
      </c>
    </row>
    <row r="16" customFormat="false" ht="32.8" hidden="false" customHeight="false" outlineLevel="0" collapsed="false">
      <c r="A16" s="4" t="s">
        <v>77</v>
      </c>
      <c r="B16" s="4" t="s">
        <v>67</v>
      </c>
      <c r="C16" s="4" t="s">
        <v>78</v>
      </c>
      <c r="D16" s="4" t="s">
        <v>79</v>
      </c>
      <c r="E16" s="4" t="s">
        <v>80</v>
      </c>
      <c r="F16" s="4" t="s">
        <v>18</v>
      </c>
      <c r="G16" s="4" t="s">
        <v>81</v>
      </c>
      <c r="H16" s="4" t="s">
        <v>20</v>
      </c>
      <c r="I16" s="4" t="s">
        <v>21</v>
      </c>
      <c r="J16" s="4" t="s">
        <v>22</v>
      </c>
      <c r="K16" s="4" t="s">
        <v>23</v>
      </c>
    </row>
    <row r="17" customFormat="false" ht="32.8" hidden="false" customHeight="false" outlineLevel="0" collapsed="false">
      <c r="A17" s="4" t="s">
        <v>82</v>
      </c>
      <c r="B17" s="4" t="s">
        <v>61</v>
      </c>
      <c r="C17" s="4" t="s">
        <v>83</v>
      </c>
      <c r="D17" s="4" t="s">
        <v>84</v>
      </c>
      <c r="E17" s="4" t="s">
        <v>85</v>
      </c>
      <c r="F17" s="4" t="s">
        <v>18</v>
      </c>
      <c r="G17" s="4" t="s">
        <v>86</v>
      </c>
      <c r="H17" s="4" t="s">
        <v>20</v>
      </c>
      <c r="I17" s="4" t="s">
        <v>21</v>
      </c>
      <c r="J17" s="4" t="s">
        <v>22</v>
      </c>
      <c r="K17" s="4" t="s">
        <v>23</v>
      </c>
    </row>
    <row r="18" customFormat="false" ht="32.8" hidden="false" customHeight="false" outlineLevel="0" collapsed="false">
      <c r="A18" s="4" t="s">
        <v>87</v>
      </c>
      <c r="B18" s="4" t="s">
        <v>61</v>
      </c>
      <c r="C18" s="4" t="s">
        <v>88</v>
      </c>
      <c r="D18" s="4" t="s">
        <v>89</v>
      </c>
      <c r="E18" s="4" t="s">
        <v>90</v>
      </c>
      <c r="F18" s="4" t="s">
        <v>18</v>
      </c>
      <c r="G18" s="4" t="s">
        <v>91</v>
      </c>
      <c r="H18" s="4" t="s">
        <v>20</v>
      </c>
      <c r="I18" s="4" t="s">
        <v>21</v>
      </c>
      <c r="J18" s="4" t="s">
        <v>22</v>
      </c>
      <c r="K18" s="4" t="s">
        <v>23</v>
      </c>
    </row>
    <row r="19" customFormat="false" ht="22.35" hidden="false" customHeight="false" outlineLevel="0" collapsed="false">
      <c r="A19" s="4" t="s">
        <v>92</v>
      </c>
      <c r="B19" s="4" t="s">
        <v>93</v>
      </c>
      <c r="C19" s="4" t="s">
        <v>94</v>
      </c>
      <c r="D19" s="4" t="s">
        <v>95</v>
      </c>
      <c r="E19" s="4" t="s">
        <v>96</v>
      </c>
      <c r="F19" s="4" t="s">
        <v>18</v>
      </c>
      <c r="G19" s="4" t="s">
        <v>97</v>
      </c>
      <c r="H19" s="4" t="s">
        <v>20</v>
      </c>
      <c r="I19" s="4" t="s">
        <v>21</v>
      </c>
      <c r="J19" s="4" t="s">
        <v>22</v>
      </c>
      <c r="K19" s="4" t="s">
        <v>23</v>
      </c>
    </row>
    <row r="20" customFormat="false" ht="22.35" hidden="false" customHeight="false" outlineLevel="0" collapsed="false">
      <c r="A20" s="4" t="s">
        <v>98</v>
      </c>
      <c r="B20" s="4" t="s">
        <v>93</v>
      </c>
      <c r="C20" s="4" t="s">
        <v>99</v>
      </c>
      <c r="D20" s="4" t="s">
        <v>100</v>
      </c>
      <c r="E20" s="4" t="s">
        <v>96</v>
      </c>
      <c r="F20" s="4" t="s">
        <v>18</v>
      </c>
      <c r="G20" s="4" t="s">
        <v>101</v>
      </c>
      <c r="H20" s="4" t="s">
        <v>20</v>
      </c>
      <c r="I20" s="4" t="s">
        <v>21</v>
      </c>
      <c r="J20" s="4" t="s">
        <v>22</v>
      </c>
      <c r="K20" s="4" t="s">
        <v>23</v>
      </c>
    </row>
    <row r="21" customFormat="false" ht="32.8" hidden="false" customHeight="false" outlineLevel="0" collapsed="false">
      <c r="A21" s="4" t="s">
        <v>102</v>
      </c>
      <c r="B21" s="4" t="s">
        <v>93</v>
      </c>
      <c r="C21" s="4" t="s">
        <v>103</v>
      </c>
      <c r="D21" s="4" t="s">
        <v>104</v>
      </c>
      <c r="E21" s="4" t="s">
        <v>105</v>
      </c>
      <c r="F21" s="4" t="s">
        <v>18</v>
      </c>
      <c r="G21" s="4" t="s">
        <v>106</v>
      </c>
      <c r="H21" s="4" t="s">
        <v>20</v>
      </c>
      <c r="I21" s="4" t="s">
        <v>21</v>
      </c>
      <c r="J21" s="4" t="s">
        <v>22</v>
      </c>
      <c r="K21" s="4" t="s">
        <v>23</v>
      </c>
    </row>
    <row r="22" customFormat="false" ht="32.8" hidden="false" customHeight="false" outlineLevel="0" collapsed="false">
      <c r="A22" s="4" t="s">
        <v>107</v>
      </c>
      <c r="B22" s="4" t="s">
        <v>93</v>
      </c>
      <c r="C22" s="4" t="s">
        <v>108</v>
      </c>
      <c r="D22" s="4" t="s">
        <v>104</v>
      </c>
      <c r="E22" s="4" t="s">
        <v>109</v>
      </c>
      <c r="F22" s="4" t="s">
        <v>18</v>
      </c>
      <c r="G22" s="4" t="s">
        <v>110</v>
      </c>
      <c r="H22" s="4" t="s">
        <v>20</v>
      </c>
      <c r="I22" s="4" t="s">
        <v>21</v>
      </c>
      <c r="J22" s="4" t="s">
        <v>22</v>
      </c>
      <c r="K22" s="4" t="s">
        <v>23</v>
      </c>
    </row>
    <row r="23" customFormat="false" ht="22.35" hidden="false" customHeight="false" outlineLevel="0" collapsed="false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96</v>
      </c>
      <c r="F23" s="4" t="s">
        <v>18</v>
      </c>
      <c r="G23" s="4" t="s">
        <v>115</v>
      </c>
      <c r="H23" s="4" t="s">
        <v>20</v>
      </c>
      <c r="I23" s="4" t="s">
        <v>21</v>
      </c>
      <c r="J23" s="4" t="s">
        <v>22</v>
      </c>
      <c r="K23" s="4" t="s">
        <v>23</v>
      </c>
    </row>
    <row r="24" customFormat="false" ht="32.8" hidden="false" customHeight="false" outlineLevel="0" collapsed="false">
      <c r="A24" s="4" t="s">
        <v>116</v>
      </c>
      <c r="B24" s="4" t="s">
        <v>93</v>
      </c>
      <c r="C24" s="4" t="s">
        <v>117</v>
      </c>
      <c r="D24" s="4" t="s">
        <v>118</v>
      </c>
      <c r="E24" s="4" t="s">
        <v>119</v>
      </c>
      <c r="F24" s="4" t="s">
        <v>18</v>
      </c>
      <c r="G24" s="4" t="s">
        <v>120</v>
      </c>
      <c r="H24" s="4" t="s">
        <v>20</v>
      </c>
      <c r="I24" s="4" t="s">
        <v>21</v>
      </c>
      <c r="J24" s="4" t="s">
        <v>22</v>
      </c>
      <c r="K24" s="4" t="s">
        <v>23</v>
      </c>
    </row>
    <row r="25" customFormat="false" ht="32.8" hidden="false" customHeight="false" outlineLevel="0" collapsed="false">
      <c r="A25" s="4" t="s">
        <v>121</v>
      </c>
      <c r="B25" s="4" t="s">
        <v>93</v>
      </c>
      <c r="C25" s="4" t="s">
        <v>122</v>
      </c>
      <c r="D25" s="4" t="s">
        <v>123</v>
      </c>
      <c r="E25" s="4" t="s">
        <v>124</v>
      </c>
      <c r="F25" s="4" t="s">
        <v>18</v>
      </c>
      <c r="G25" s="4" t="s">
        <v>125</v>
      </c>
      <c r="H25" s="4" t="s">
        <v>20</v>
      </c>
      <c r="I25" s="4" t="s">
        <v>21</v>
      </c>
      <c r="J25" s="4" t="s">
        <v>22</v>
      </c>
      <c r="K25" s="4" t="s">
        <v>23</v>
      </c>
    </row>
    <row r="26" customFormat="false" ht="32.8" hidden="false" customHeight="false" outlineLevel="0" collapsed="false">
      <c r="A26" s="4" t="s">
        <v>126</v>
      </c>
      <c r="B26" s="4" t="s">
        <v>67</v>
      </c>
      <c r="C26" s="4" t="s">
        <v>127</v>
      </c>
      <c r="D26" s="4" t="s">
        <v>128</v>
      </c>
      <c r="E26" s="4" t="s">
        <v>129</v>
      </c>
      <c r="F26" s="4" t="s">
        <v>18</v>
      </c>
      <c r="G26" s="4" t="s">
        <v>130</v>
      </c>
      <c r="H26" s="4" t="s">
        <v>20</v>
      </c>
      <c r="I26" s="4" t="s">
        <v>21</v>
      </c>
      <c r="J26" s="4" t="s">
        <v>22</v>
      </c>
      <c r="K26" s="4" t="s">
        <v>23</v>
      </c>
    </row>
    <row r="27" customFormat="false" ht="32.8" hidden="false" customHeight="false" outlineLevel="0" collapsed="false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18</v>
      </c>
      <c r="G27" s="4" t="s">
        <v>136</v>
      </c>
      <c r="H27" s="4" t="s">
        <v>20</v>
      </c>
      <c r="I27" s="4" t="s">
        <v>21</v>
      </c>
      <c r="J27" s="4" t="s">
        <v>22</v>
      </c>
      <c r="K27" s="4" t="s">
        <v>23</v>
      </c>
    </row>
    <row r="28" customFormat="false" ht="32.8" hidden="false" customHeight="false" outlineLevel="0" collapsed="false">
      <c r="A28" s="4" t="s">
        <v>137</v>
      </c>
      <c r="B28" s="4" t="s">
        <v>67</v>
      </c>
      <c r="C28" s="4" t="s">
        <v>138</v>
      </c>
      <c r="D28" s="4" t="s">
        <v>139</v>
      </c>
      <c r="E28" s="4" t="s">
        <v>140</v>
      </c>
      <c r="F28" s="4" t="s">
        <v>18</v>
      </c>
      <c r="G28" s="4" t="s">
        <v>141</v>
      </c>
      <c r="H28" s="4" t="s">
        <v>20</v>
      </c>
      <c r="I28" s="4" t="s">
        <v>21</v>
      </c>
      <c r="J28" s="4" t="s">
        <v>22</v>
      </c>
      <c r="K28" s="4" t="s">
        <v>23</v>
      </c>
    </row>
    <row r="29" customFormat="false" ht="22.35" hidden="false" customHeight="false" outlineLevel="0" collapsed="false">
      <c r="A29" s="4" t="s">
        <v>142</v>
      </c>
      <c r="B29" s="4" t="s">
        <v>61</v>
      </c>
      <c r="C29" s="4" t="s">
        <v>143</v>
      </c>
      <c r="D29" s="4" t="s">
        <v>144</v>
      </c>
      <c r="E29" s="4" t="s">
        <v>145</v>
      </c>
      <c r="F29" s="4" t="s">
        <v>146</v>
      </c>
      <c r="G29" s="4" t="s">
        <v>147</v>
      </c>
      <c r="H29" s="5"/>
      <c r="I29" s="5" t="s">
        <v>148</v>
      </c>
      <c r="J29" s="5"/>
      <c r="K29" s="5"/>
    </row>
    <row r="30" customFormat="false" ht="22.35" hidden="false" customHeight="false" outlineLevel="0" collapsed="false">
      <c r="A30" s="4" t="s">
        <v>149</v>
      </c>
      <c r="B30" s="4" t="s">
        <v>61</v>
      </c>
      <c r="C30" s="4" t="s">
        <v>150</v>
      </c>
      <c r="D30" s="4" t="s">
        <v>151</v>
      </c>
      <c r="E30" s="4" t="s">
        <v>152</v>
      </c>
      <c r="F30" s="4" t="s">
        <v>146</v>
      </c>
      <c r="G30" s="4" t="s">
        <v>147</v>
      </c>
      <c r="H30" s="5"/>
      <c r="I30" s="5" t="s">
        <v>148</v>
      </c>
      <c r="J30" s="5"/>
      <c r="K30" s="5"/>
    </row>
    <row r="31" customFormat="false" ht="22.35" hidden="false" customHeight="false" outlineLevel="0" collapsed="false">
      <c r="A31" s="4" t="s">
        <v>153</v>
      </c>
      <c r="B31" s="4" t="s">
        <v>93</v>
      </c>
      <c r="C31" s="4" t="s">
        <v>154</v>
      </c>
      <c r="D31" s="4" t="s">
        <v>155</v>
      </c>
      <c r="E31" s="4" t="s">
        <v>156</v>
      </c>
      <c r="F31" s="4" t="s">
        <v>146</v>
      </c>
      <c r="G31" s="4" t="s">
        <v>157</v>
      </c>
      <c r="H31" s="5"/>
      <c r="I31" s="5" t="s">
        <v>148</v>
      </c>
      <c r="J31" s="5"/>
      <c r="K31" s="5"/>
    </row>
    <row r="32" customFormat="false" ht="22.35" hidden="false" customHeight="false" outlineLevel="0" collapsed="false">
      <c r="A32" s="4" t="s">
        <v>158</v>
      </c>
      <c r="B32" s="4" t="s">
        <v>93</v>
      </c>
      <c r="C32" s="4" t="s">
        <v>159</v>
      </c>
      <c r="D32" s="4" t="s">
        <v>160</v>
      </c>
      <c r="E32" s="4" t="s">
        <v>161</v>
      </c>
      <c r="F32" s="4" t="s">
        <v>146</v>
      </c>
      <c r="G32" s="4" t="s">
        <v>162</v>
      </c>
      <c r="H32" s="5"/>
      <c r="I32" s="5" t="s">
        <v>148</v>
      </c>
      <c r="J32" s="5"/>
      <c r="K32" s="5"/>
    </row>
    <row r="33" customFormat="false" ht="15" hidden="false" customHeight="false" outlineLevel="0" collapsed="false">
      <c r="A33" s="4" t="s">
        <v>163</v>
      </c>
      <c r="B33" s="4" t="s">
        <v>164</v>
      </c>
      <c r="C33" s="4" t="s">
        <v>165</v>
      </c>
      <c r="D33" s="4" t="s">
        <v>166</v>
      </c>
      <c r="E33" s="4" t="s">
        <v>167</v>
      </c>
      <c r="F33" s="4" t="s">
        <v>146</v>
      </c>
      <c r="G33" s="4" t="s">
        <v>166</v>
      </c>
      <c r="H33" s="5"/>
      <c r="I33" s="5" t="s">
        <v>148</v>
      </c>
      <c r="J33" s="5"/>
      <c r="K33" s="5"/>
    </row>
    <row r="34" customFormat="false" ht="15" hidden="false" customHeight="false" outlineLevel="0" collapsed="false">
      <c r="A34" s="4" t="s">
        <v>168</v>
      </c>
      <c r="B34" s="4" t="s">
        <v>169</v>
      </c>
      <c r="C34" s="4" t="s">
        <v>170</v>
      </c>
      <c r="D34" s="4" t="s">
        <v>171</v>
      </c>
      <c r="E34" s="4" t="s">
        <v>172</v>
      </c>
      <c r="F34" s="4" t="s">
        <v>146</v>
      </c>
      <c r="G34" s="4" t="s">
        <v>173</v>
      </c>
      <c r="H34" s="5"/>
      <c r="I34" s="5" t="s">
        <v>148</v>
      </c>
      <c r="J34" s="5"/>
      <c r="K34" s="5"/>
    </row>
    <row r="35" customFormat="false" ht="15" hidden="false" customHeight="false" outlineLevel="0" collapsed="false">
      <c r="A35" s="4" t="s">
        <v>174</v>
      </c>
      <c r="B35" s="4" t="s">
        <v>67</v>
      </c>
      <c r="C35" s="4" t="s">
        <v>175</v>
      </c>
      <c r="D35" s="4" t="s">
        <v>176</v>
      </c>
      <c r="E35" s="4" t="s">
        <v>177</v>
      </c>
      <c r="F35" s="4" t="s">
        <v>146</v>
      </c>
      <c r="G35" s="4" t="s">
        <v>178</v>
      </c>
      <c r="H35" s="5"/>
      <c r="I35" s="5" t="s">
        <v>148</v>
      </c>
      <c r="J35" s="5"/>
      <c r="K35" s="5"/>
    </row>
    <row r="36" customFormat="false" ht="15" hidden="false" customHeight="false" outlineLevel="0" collapsed="false">
      <c r="A36" s="4" t="s">
        <v>179</v>
      </c>
      <c r="B36" s="4" t="s">
        <v>67</v>
      </c>
      <c r="C36" s="4" t="s">
        <v>180</v>
      </c>
      <c r="D36" s="4" t="s">
        <v>181</v>
      </c>
      <c r="E36" s="4" t="s">
        <v>182</v>
      </c>
      <c r="F36" s="4" t="s">
        <v>146</v>
      </c>
      <c r="G36" s="4" t="s">
        <v>183</v>
      </c>
      <c r="H36" s="5"/>
      <c r="I36" s="5" t="s">
        <v>148</v>
      </c>
      <c r="J36" s="5"/>
      <c r="K36" s="5"/>
    </row>
    <row r="37" customFormat="false" ht="15" hidden="false" customHeight="false" outlineLevel="0" collapsed="false">
      <c r="A37" s="4" t="s">
        <v>184</v>
      </c>
      <c r="B37" s="4" t="s">
        <v>67</v>
      </c>
      <c r="C37" s="4" t="s">
        <v>185</v>
      </c>
      <c r="D37" s="4" t="s">
        <v>186</v>
      </c>
      <c r="E37" s="4" t="s">
        <v>187</v>
      </c>
      <c r="F37" s="4" t="s">
        <v>146</v>
      </c>
      <c r="G37" s="4" t="s">
        <v>188</v>
      </c>
      <c r="H37" s="5"/>
      <c r="I37" s="5" t="s">
        <v>148</v>
      </c>
      <c r="J37" s="5"/>
      <c r="K37" s="5"/>
    </row>
    <row r="38" customFormat="false" ht="22.35" hidden="false" customHeight="false" outlineLevel="0" collapsed="false">
      <c r="A38" s="4" t="s">
        <v>189</v>
      </c>
      <c r="B38" s="4" t="s">
        <v>67</v>
      </c>
      <c r="C38" s="4" t="s">
        <v>190</v>
      </c>
      <c r="D38" s="4" t="s">
        <v>191</v>
      </c>
      <c r="E38" s="4" t="s">
        <v>192</v>
      </c>
      <c r="F38" s="4" t="s">
        <v>146</v>
      </c>
      <c r="G38" s="4" t="s">
        <v>193</v>
      </c>
      <c r="H38" s="5"/>
      <c r="I38" s="5" t="s">
        <v>148</v>
      </c>
      <c r="J38" s="5"/>
      <c r="K38" s="5"/>
    </row>
    <row r="39" customFormat="false" ht="22.35" hidden="false" customHeight="false" outlineLevel="0" collapsed="false">
      <c r="A39" s="4" t="s">
        <v>194</v>
      </c>
      <c r="B39" s="4" t="s">
        <v>195</v>
      </c>
      <c r="C39" s="4" t="s">
        <v>196</v>
      </c>
      <c r="D39" s="4" t="s">
        <v>197</v>
      </c>
      <c r="E39" s="4" t="s">
        <v>198</v>
      </c>
      <c r="F39" s="4" t="s">
        <v>146</v>
      </c>
      <c r="G39" s="4" t="s">
        <v>199</v>
      </c>
      <c r="H39" s="5"/>
      <c r="I39" s="5" t="s">
        <v>148</v>
      </c>
      <c r="J39" s="5"/>
      <c r="K39" s="5"/>
    </row>
    <row r="40" customFormat="false" ht="22.35" hidden="false" customHeight="false" outlineLevel="0" collapsed="false">
      <c r="A40" s="4" t="s">
        <v>200</v>
      </c>
      <c r="B40" s="4" t="s">
        <v>201</v>
      </c>
      <c r="C40" s="4" t="s">
        <v>202</v>
      </c>
      <c r="D40" s="4" t="s">
        <v>203</v>
      </c>
      <c r="E40" s="4" t="s">
        <v>204</v>
      </c>
      <c r="F40" s="4" t="s">
        <v>146</v>
      </c>
      <c r="G40" s="4" t="s">
        <v>205</v>
      </c>
      <c r="H40" s="5"/>
      <c r="I40" s="5" t="s">
        <v>148</v>
      </c>
      <c r="J40" s="5"/>
      <c r="K40" s="5"/>
    </row>
    <row r="41" customFormat="false" ht="22.35" hidden="false" customHeight="false" outlineLevel="0" collapsed="false">
      <c r="A41" s="4" t="s">
        <v>206</v>
      </c>
      <c r="B41" s="4" t="s">
        <v>112</v>
      </c>
      <c r="C41" s="4" t="s">
        <v>207</v>
      </c>
      <c r="D41" s="4" t="s">
        <v>208</v>
      </c>
      <c r="E41" s="4" t="s">
        <v>209</v>
      </c>
      <c r="F41" s="4" t="s">
        <v>210</v>
      </c>
      <c r="G41" s="4" t="s">
        <v>211</v>
      </c>
      <c r="H41" s="5"/>
      <c r="I41" s="5" t="s">
        <v>148</v>
      </c>
      <c r="J41" s="5"/>
      <c r="K41" s="5"/>
    </row>
    <row r="42" customFormat="false" ht="22.35" hidden="false" customHeight="false" outlineLevel="0" collapsed="false">
      <c r="A42" s="4" t="s">
        <v>212</v>
      </c>
      <c r="B42" s="4" t="s">
        <v>112</v>
      </c>
      <c r="C42" s="4" t="s">
        <v>213</v>
      </c>
      <c r="D42" s="4" t="s">
        <v>214</v>
      </c>
      <c r="E42" s="4" t="s">
        <v>215</v>
      </c>
      <c r="F42" s="4" t="s">
        <v>210</v>
      </c>
      <c r="G42" s="4" t="s">
        <v>216</v>
      </c>
      <c r="H42" s="5"/>
      <c r="I42" s="5" t="s">
        <v>148</v>
      </c>
      <c r="J42" s="5"/>
      <c r="K42" s="5"/>
    </row>
    <row r="43" customFormat="false" ht="22.35" hidden="false" customHeight="false" outlineLevel="0" collapsed="false">
      <c r="A43" s="4" t="s">
        <v>217</v>
      </c>
      <c r="B43" s="4" t="s">
        <v>201</v>
      </c>
      <c r="C43" s="4" t="s">
        <v>218</v>
      </c>
      <c r="D43" s="4" t="s">
        <v>219</v>
      </c>
      <c r="E43" s="4" t="s">
        <v>220</v>
      </c>
      <c r="F43" s="4" t="s">
        <v>210</v>
      </c>
      <c r="G43" s="4" t="s">
        <v>221</v>
      </c>
      <c r="H43" s="5"/>
      <c r="I43" s="5" t="s">
        <v>148</v>
      </c>
      <c r="J43" s="5"/>
      <c r="K43" s="5"/>
    </row>
    <row r="44" customFormat="false" ht="22.35" hidden="false" customHeight="false" outlineLevel="0" collapsed="false">
      <c r="A44" s="4" t="s">
        <v>222</v>
      </c>
      <c r="B44" s="4" t="s">
        <v>201</v>
      </c>
      <c r="C44" s="4" t="s">
        <v>223</v>
      </c>
      <c r="D44" s="4" t="s">
        <v>224</v>
      </c>
      <c r="E44" s="4" t="s">
        <v>225</v>
      </c>
      <c r="F44" s="4" t="s">
        <v>210</v>
      </c>
      <c r="G44" s="4" t="s">
        <v>226</v>
      </c>
      <c r="H44" s="5"/>
      <c r="I44" s="5" t="s">
        <v>148</v>
      </c>
      <c r="J44" s="5"/>
      <c r="K44" s="5"/>
    </row>
  </sheetData>
  <conditionalFormatting sqref="I5:I44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2">
      <formula>"Not run"</formula>
    </cfRule>
  </conditionalFormatting>
  <dataValidations count="1">
    <dataValidation allowBlank="false" errorStyle="stop" operator="between" showDropDown="false" showErrorMessage="false" showInputMessage="false" sqref="I5:I44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&amp;CSimulated workflow on real GLEIF entity data. Not Citi data.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6" t="s">
        <v>228</v>
      </c>
      <c r="B2" s="7" t="n">
        <f aca="false">COUNTA(UAT_Results!A5:A44)</f>
        <v>40</v>
      </c>
    </row>
    <row r="3" customFormat="false" ht="15" hidden="false" customHeight="false" outlineLevel="0" collapsed="false">
      <c r="A3" s="7" t="s">
        <v>229</v>
      </c>
      <c r="B3" s="7" t="n">
        <f aca="false">COUNTIF(UAT_Results!I5:I44,"Pass")</f>
        <v>24</v>
      </c>
    </row>
    <row r="4" customFormat="false" ht="15" hidden="false" customHeight="false" outlineLevel="0" collapsed="false">
      <c r="A4" s="7" t="s">
        <v>230</v>
      </c>
      <c r="B4" s="7" t="n">
        <f aca="false">COUNTIF(UAT_Results!I5:I44,"Fail")</f>
        <v>0</v>
      </c>
    </row>
    <row r="5" customFormat="false" ht="15" hidden="false" customHeight="false" outlineLevel="0" collapsed="false">
      <c r="A5" s="7" t="s">
        <v>148</v>
      </c>
      <c r="B5" s="7" t="n">
        <f aca="false">COUNTIF(UAT_Results!I5:I44,"Not run")</f>
        <v>16</v>
      </c>
    </row>
    <row r="6" customFormat="false" ht="15" hidden="false" customHeight="false" outlineLevel="0" collapsed="false">
      <c r="A6" s="7" t="s">
        <v>231</v>
      </c>
      <c r="B6" s="7" t="n">
        <f aca="false">COUNTIF(UAT_Results!F5:F44,"Automated pytest")</f>
        <v>24</v>
      </c>
    </row>
    <row r="7" customFormat="false" ht="15" hidden="false" customHeight="false" outlineLevel="0" collapsed="false">
      <c r="A7" s="7" t="s">
        <v>232</v>
      </c>
      <c r="B7" s="7" t="n">
        <f aca="false">COUNTIF(UAT_Results!F5:F44,"Manual Excel")</f>
        <v>12</v>
      </c>
    </row>
    <row r="8" customFormat="false" ht="15" hidden="false" customHeight="false" outlineLevel="0" collapsed="false">
      <c r="A8" s="7" t="s">
        <v>233</v>
      </c>
      <c r="B8" s="7" t="n">
        <f aca="false">COUNTIF(UAT_Results!F5:F44,"Document review")</f>
        <v>4</v>
      </c>
    </row>
    <row r="9" customFormat="false" ht="15" hidden="false" customHeight="false" outlineLevel="0" collapsed="false">
      <c r="A9" s="7" t="s">
        <v>234</v>
      </c>
      <c r="B9" s="7" t="str">
        <f aca="false">IF(B3+B4+B5=B2,"OK","CHECK")</f>
        <v>OK</v>
      </c>
    </row>
    <row r="12" customFormat="false" ht="15" hidden="false" customHeight="false" outlineLevel="0" collapsed="false">
      <c r="A12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2026-10-06T13:49:00Z</dcterms:created>
  <dc:creator>openpyxl</dc:creator>
  <dc:description/>
  <dc:language>en-US</dc:language>
  <cp:lastModifiedBy/>
  <dcterms:modified xsi:type="dcterms:W3CDTF">2026-10-06T13:49:00Z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