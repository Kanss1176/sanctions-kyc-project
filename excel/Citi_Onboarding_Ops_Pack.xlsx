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 name="UAT_Results" sheetId="10" state="visible" r:id="rId10"/>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9">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
      <b val="1"/>
    </font>
  </fonts>
  <fills count="2">
    <fill>
      <patternFill/>
    </fill>
    <fill>
      <patternFill patternType="gray125"/>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dxfs count="19">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
      <fill>
        <patternFill patternType="solid">
          <bgColor rgb="00C6EFCE"/>
        </patternFill>
      </fill>
    </dxf>
    <dxf>
      <fill>
        <patternFill patternType="solid">
          <bgColor rgb="00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40"/>
  <sheetViews>
    <sheetView workbookViewId="0">
      <pane ySplit="1" topLeftCell="A2" activePane="bottomLeft" state="frozen"/>
      <selection pane="bottomLeft" activeCell="A1" sqref="A1"/>
    </sheetView>
  </sheetViews>
  <sheetFormatPr baseColWidth="8" defaultRowHeight="15"/>
  <cols>
    <col width="9" customWidth="1" min="1" max="1"/>
    <col width="36" customWidth="1" min="2" max="2"/>
    <col width="46" customWidth="1" min="3" max="3"/>
    <col width="48" customWidth="1" min="4" max="4"/>
    <col width="46" customWidth="1" min="5" max="5"/>
    <col width="11" customWidth="1" min="6" max="6"/>
    <col width="20" customWidth="1" min="7" max="7"/>
    <col width="12" customWidth="1" min="8" max="8"/>
    <col width="14" customWidth="1" min="9" max="9"/>
    <col width="16" customWidth="1" min="11" max="11"/>
  </cols>
  <sheetData>
    <row r="1">
      <c r="A1" s="14" t="inlineStr">
        <is>
          <t>ID</t>
        </is>
      </c>
      <c r="B1" s="14" t="inlineStr">
        <is>
          <t>scenario</t>
        </is>
      </c>
      <c r="C1" s="14" t="inlineStr">
        <is>
          <t>input</t>
        </is>
      </c>
      <c r="D1" s="14" t="inlineStr">
        <is>
          <t>expected</t>
        </is>
      </c>
      <c r="E1" s="14" t="inlineStr">
        <is>
          <t>actual</t>
        </is>
      </c>
      <c r="F1" s="14" t="inlineStr">
        <is>
          <t>pass_fail</t>
        </is>
      </c>
      <c r="G1" s="14" t="inlineStr">
        <is>
          <t>tester</t>
        </is>
      </c>
      <c r="H1" s="14" t="inlineStr">
        <is>
          <t>date</t>
        </is>
      </c>
      <c r="I1" s="14" t="inlineStr">
        <is>
          <t>type</t>
        </is>
      </c>
      <c r="K1" t="inlineStr">
        <is>
          <t>Total cases</t>
        </is>
      </c>
      <c r="L1">
        <f>COUNTA(A2:A40)</f>
        <v/>
      </c>
    </row>
    <row r="2">
      <c r="A2" s="15" t="inlineStr">
        <is>
          <t>UAT01</t>
        </is>
      </c>
      <c r="B2" s="15" t="inlineStr">
        <is>
          <t>Turnaround KPI</t>
        </is>
      </c>
      <c r="C2" s="15" t="inlineStr">
        <is>
          <t>fact_request, SQL metric vs Python recomputation</t>
        </is>
      </c>
      <c r="D2" s="15" t="inlineStr">
        <is>
          <t>Median and P90 turnaround agree</t>
        </is>
      </c>
      <c r="E2" s="15" t="inlineStr">
        <is>
          <t>test_metrics: test_turnaround_matches_python</t>
        </is>
      </c>
      <c r="F2" s="15" t="inlineStr">
        <is>
          <t>Pass</t>
        </is>
      </c>
      <c r="G2" s="15" t="inlineStr">
        <is>
          <t>pytest (automated)</t>
        </is>
      </c>
      <c r="H2" s="15" t="inlineStr">
        <is>
          <t>2026-10-06</t>
        </is>
      </c>
      <c r="I2" s="15" t="inlineStr">
        <is>
          <t>Automated</t>
        </is>
      </c>
      <c r="K2" t="inlineStr">
        <is>
          <t>Pass</t>
        </is>
      </c>
      <c r="L2">
        <f>COUNTIF(F2:F40,"Pass")</f>
        <v/>
      </c>
    </row>
    <row r="3">
      <c r="A3" s="15" t="inlineStr">
        <is>
          <t>UAT02</t>
        </is>
      </c>
      <c r="B3" s="15" t="inlineStr">
        <is>
          <t>SLA breach KPI</t>
        </is>
      </c>
      <c r="C3" s="15" t="inlineStr">
        <is>
          <t>Same data, SQL vs Python</t>
        </is>
      </c>
      <c r="D3" s="15" t="inlineStr">
        <is>
          <t>Breach count agrees</t>
        </is>
      </c>
      <c r="E3" s="15" t="inlineStr">
        <is>
          <t>test_metrics: test_sla_breach_matches_python</t>
        </is>
      </c>
      <c r="F3" s="15" t="inlineStr">
        <is>
          <t>Pass</t>
        </is>
      </c>
      <c r="G3" s="15" t="inlineStr">
        <is>
          <t>pytest (automated)</t>
        </is>
      </c>
      <c r="H3" s="15" t="inlineStr">
        <is>
          <t>2026-10-06</t>
        </is>
      </c>
      <c r="I3" s="15" t="inlineStr">
        <is>
          <t>Automated</t>
        </is>
      </c>
      <c r="K3" t="inlineStr">
        <is>
          <t>Fail</t>
        </is>
      </c>
      <c r="L3">
        <f>COUNTIF(F2:F40,"Fail")</f>
        <v/>
      </c>
    </row>
    <row r="4">
      <c r="A4" s="15" t="inlineStr">
        <is>
          <t>UAT03</t>
        </is>
      </c>
      <c r="B4" s="15" t="inlineStr">
        <is>
          <t>First-time-right KPI</t>
        </is>
      </c>
      <c r="C4" s="15" t="inlineStr">
        <is>
          <t>Same data, SQL vs Python</t>
        </is>
      </c>
      <c r="D4" s="15" t="inlineStr">
        <is>
          <t>First-time-right count agrees</t>
        </is>
      </c>
      <c r="E4" s="15" t="inlineStr">
        <is>
          <t>test_metrics: test_first_time_right_matches_python</t>
        </is>
      </c>
      <c r="F4" s="15" t="inlineStr">
        <is>
          <t>Pass</t>
        </is>
      </c>
      <c r="G4" s="15" t="inlineStr">
        <is>
          <t>pytest (automated)</t>
        </is>
      </c>
      <c r="H4" s="15" t="inlineStr">
        <is>
          <t>2026-10-06</t>
        </is>
      </c>
      <c r="I4" s="15" t="inlineStr">
        <is>
          <t>Automated</t>
        </is>
      </c>
      <c r="K4" t="inlineStr">
        <is>
          <t>Not yet run</t>
        </is>
      </c>
      <c r="L4">
        <f>L1-L2-L3</f>
        <v/>
      </c>
    </row>
    <row r="5">
      <c r="A5" s="15" t="inlineStr">
        <is>
          <t>UAT04</t>
        </is>
      </c>
      <c r="B5" s="15" t="inlineStr">
        <is>
          <t>Errors found</t>
        </is>
      </c>
      <c r="C5" s="15" t="inlineStr">
        <is>
          <t>Metric vs fact_exception</t>
        </is>
      </c>
      <c r="D5" s="15" t="inlineStr">
        <is>
          <t>Counts equal</t>
        </is>
      </c>
      <c r="E5" s="15" t="inlineStr">
        <is>
          <t>test_metrics: test_errors_found_equals_exception_table</t>
        </is>
      </c>
      <c r="F5" s="15" t="inlineStr">
        <is>
          <t>Pass</t>
        </is>
      </c>
      <c r="G5" s="15" t="inlineStr">
        <is>
          <t>pytest (automated)</t>
        </is>
      </c>
      <c r="H5" s="15" t="inlineStr">
        <is>
          <t>2026-10-06</t>
        </is>
      </c>
      <c r="I5" s="15" t="inlineStr">
        <is>
          <t>Automated</t>
        </is>
      </c>
    </row>
    <row r="6">
      <c r="A6" s="15" t="inlineStr">
        <is>
          <t>UAT05</t>
        </is>
      </c>
      <c r="B6" s="15" t="inlineStr">
        <is>
          <t>Escalation KPI</t>
        </is>
      </c>
      <c r="C6" s="15" t="inlineStr">
        <is>
          <t>Metric vs fact_escalation</t>
        </is>
      </c>
      <c r="D6" s="15" t="inlineStr">
        <is>
          <t>Escalated count agrees</t>
        </is>
      </c>
      <c r="E6" s="15" t="inlineStr">
        <is>
          <t>test_metrics: test_escalation_matches_python</t>
        </is>
      </c>
      <c r="F6" s="15" t="inlineStr">
        <is>
          <t>Pass</t>
        </is>
      </c>
      <c r="G6" s="15" t="inlineStr">
        <is>
          <t>pytest (automated)</t>
        </is>
      </c>
      <c r="H6" s="15" t="inlineStr">
        <is>
          <t>2026-10-06</t>
        </is>
      </c>
      <c r="I6" s="15" t="inlineStr">
        <is>
          <t>Automated</t>
        </is>
      </c>
      <c r="K6" t="inlineStr">
        <is>
          <t>pytest results from docs/pytest_results.xml, run date 2026-10-06</t>
        </is>
      </c>
    </row>
    <row r="7">
      <c r="A7" s="15" t="inlineStr">
        <is>
          <t>UAT06</t>
        </is>
      </c>
      <c r="B7" s="15" t="inlineStr">
        <is>
          <t>Ageing buckets</t>
        </is>
      </c>
      <c r="C7" s="15" t="inlineStr">
        <is>
          <t>20 open requests</t>
        </is>
      </c>
      <c r="D7" s="15" t="inlineStr">
        <is>
          <t>Every open request sits in one bucket</t>
        </is>
      </c>
      <c r="E7" s="15" t="inlineStr">
        <is>
          <t>test_metrics: test_ageing_covers_every_open_request</t>
        </is>
      </c>
      <c r="F7" s="15" t="inlineStr">
        <is>
          <t>Pass</t>
        </is>
      </c>
      <c r="G7" s="15" t="inlineStr">
        <is>
          <t>pytest (automated)</t>
        </is>
      </c>
      <c r="H7" s="15" t="inlineStr">
        <is>
          <t>2026-10-06</t>
        </is>
      </c>
      <c r="I7" s="15" t="inlineStr">
        <is>
          <t>Automated</t>
        </is>
      </c>
      <c r="K7" t="inlineStr">
        <is>
          <t>Manual and document cases: fill actual, pass_fail, tester and date when you run them.</t>
        </is>
      </c>
    </row>
    <row r="8">
      <c r="A8" s="15" t="inlineStr">
        <is>
          <t>UAT07</t>
        </is>
      </c>
      <c r="B8" s="15" t="inlineStr">
        <is>
          <t>Daily queue</t>
        </is>
      </c>
      <c r="C8" s="15" t="inlineStr">
        <is>
          <t>Open requests</t>
        </is>
      </c>
      <c r="D8" s="15" t="inlineStr">
        <is>
          <t>Queue is complete, no duplicates, correctly ordered</t>
        </is>
      </c>
      <c r="E8" s="15" t="inlineStr">
        <is>
          <t>test_metrics: test_queue_is_complete_unique_and_ordered</t>
        </is>
      </c>
      <c r="F8" s="15" t="inlineStr">
        <is>
          <t>Pass</t>
        </is>
      </c>
      <c r="G8" s="15" t="inlineStr">
        <is>
          <t>pytest (automated)</t>
        </is>
      </c>
      <c r="H8" s="15" t="inlineStr">
        <is>
          <t>2026-10-06</t>
        </is>
      </c>
      <c r="I8" s="15" t="inlineStr">
        <is>
          <t>Automated</t>
        </is>
      </c>
    </row>
    <row r="9">
      <c r="A9" s="15" t="inlineStr">
        <is>
          <t>UAT08</t>
        </is>
      </c>
      <c r="B9" s="15" t="inlineStr">
        <is>
          <t>Priority bands</t>
        </is>
      </c>
      <c r="C9" s="15" t="inlineStr">
        <is>
          <t>Hours left per request</t>
        </is>
      </c>
      <c r="D9" s="15" t="inlineStr">
        <is>
          <t>Band follows the P0 to P3 rule</t>
        </is>
      </c>
      <c r="E9" s="15" t="inlineStr">
        <is>
          <t>test_metrics: test_queue_bands_follow_the_rule</t>
        </is>
      </c>
      <c r="F9" s="15" t="inlineStr">
        <is>
          <t>Pass</t>
        </is>
      </c>
      <c r="G9" s="15" t="inlineStr">
        <is>
          <t>pytest (automated)</t>
        </is>
      </c>
      <c r="H9" s="15" t="inlineStr">
        <is>
          <t>2026-10-06</t>
        </is>
      </c>
      <c r="I9" s="15" t="inlineStr">
        <is>
          <t>Automated</t>
        </is>
      </c>
    </row>
    <row r="10">
      <c r="A10" s="15" t="inlineStr">
        <is>
          <t>UAT09</t>
        </is>
      </c>
      <c r="B10" s="15" t="inlineStr">
        <is>
          <t>R01 registration not ISSUED</t>
        </is>
      </c>
      <c r="C10" s="15" t="inlineStr">
        <is>
          <t>LAPSED fires; ISSUED and ANNULLED do not</t>
        </is>
      </c>
      <c r="D10" s="15" t="inlineStr">
        <is>
          <t>Fires only when expected</t>
        </is>
      </c>
      <c r="E10" s="15" t="inlineStr">
        <is>
          <t>test_rules: test_r01</t>
        </is>
      </c>
      <c r="F10" s="15" t="inlineStr">
        <is>
          <t>Pass</t>
        </is>
      </c>
      <c r="G10" s="15" t="inlineStr">
        <is>
          <t>pytest (automated)</t>
        </is>
      </c>
      <c r="H10" s="15" t="inlineStr">
        <is>
          <t>2026-10-06</t>
        </is>
      </c>
      <c r="I10" s="15" t="inlineStr">
        <is>
          <t>Automated</t>
        </is>
      </c>
    </row>
    <row r="11">
      <c r="A11" s="15" t="inlineStr">
        <is>
          <t>UAT10</t>
        </is>
      </c>
      <c r="B11" s="15" t="inlineStr">
        <is>
          <t>R02 renewal overdue</t>
        </is>
      </c>
      <c r="C11" s="15" t="inlineStr">
        <is>
          <t>ISSUED with renewal date passed</t>
        </is>
      </c>
      <c r="D11" s="15" t="inlineStr">
        <is>
          <t>Fires only for ISSUED and overdue</t>
        </is>
      </c>
      <c r="E11" s="15" t="inlineStr">
        <is>
          <t>test_rules: test_r02</t>
        </is>
      </c>
      <c r="F11" s="15" t="inlineStr">
        <is>
          <t>Pass</t>
        </is>
      </c>
      <c r="G11" s="15" t="inlineStr">
        <is>
          <t>pytest (automated)</t>
        </is>
      </c>
      <c r="H11" s="15" t="inlineStr">
        <is>
          <t>2026-10-06</t>
        </is>
      </c>
      <c r="I11" s="15" t="inlineStr">
        <is>
          <t>Automated</t>
        </is>
      </c>
    </row>
    <row r="12">
      <c r="A12" s="15" t="inlineStr">
        <is>
          <t>UAT11</t>
        </is>
      </c>
      <c r="B12" s="15" t="inlineStr">
        <is>
          <t>R03 entity INACTIVE</t>
        </is>
      </c>
      <c r="C12" s="15" t="inlineStr">
        <is>
          <t>INACTIVE vs ACTIVE</t>
        </is>
      </c>
      <c r="D12" s="15" t="inlineStr">
        <is>
          <t>Fires only for INACTIVE</t>
        </is>
      </c>
      <c r="E12" s="15" t="inlineStr">
        <is>
          <t>test_rules: test_r03</t>
        </is>
      </c>
      <c r="F12" s="15" t="inlineStr">
        <is>
          <t>Pass</t>
        </is>
      </c>
      <c r="G12" s="15" t="inlineStr">
        <is>
          <t>pytest (automated)</t>
        </is>
      </c>
      <c r="H12" s="15" t="inlineStr">
        <is>
          <t>2026-10-06</t>
        </is>
      </c>
      <c r="I12" s="15" t="inlineStr">
        <is>
          <t>Automated</t>
        </is>
      </c>
    </row>
    <row r="13">
      <c r="A13" s="15" t="inlineStr">
        <is>
          <t>UAT12</t>
        </is>
      </c>
      <c r="B13" s="15" t="inlineStr">
        <is>
          <t>R04 country mismatch</t>
        </is>
      </c>
      <c r="C13" s="15" t="inlineStr">
        <is>
          <t>Legal GB vs HQ US</t>
        </is>
      </c>
      <c r="D13" s="15" t="inlineStr">
        <is>
          <t>Fires only when countries differ</t>
        </is>
      </c>
      <c r="E13" s="15" t="inlineStr">
        <is>
          <t>test_rules: test_r04</t>
        </is>
      </c>
      <c r="F13" s="15" t="inlineStr">
        <is>
          <t>Pass</t>
        </is>
      </c>
      <c r="G13" s="15" t="inlineStr">
        <is>
          <t>pytest (automated)</t>
        </is>
      </c>
      <c r="H13" s="15" t="inlineStr">
        <is>
          <t>2026-10-06</t>
        </is>
      </c>
      <c r="I13" s="15" t="inlineStr">
        <is>
          <t>Automated</t>
        </is>
      </c>
    </row>
    <row r="14">
      <c r="A14" s="15" t="inlineStr">
        <is>
          <t>UAT13</t>
        </is>
      </c>
      <c r="B14" s="15" t="inlineStr">
        <is>
          <t>R05 parent unexplained</t>
        </is>
      </c>
      <c r="C14" s="15" t="inlineStr">
        <is>
          <t>Flag 1 vs 0</t>
        </is>
      </c>
      <c r="D14" s="15" t="inlineStr">
        <is>
          <t>Fires only when flag is 1</t>
        </is>
      </c>
      <c r="E14" s="15" t="inlineStr">
        <is>
          <t>test_rules: test_r05</t>
        </is>
      </c>
      <c r="F14" s="15" t="inlineStr">
        <is>
          <t>Pass</t>
        </is>
      </c>
      <c r="G14" s="15" t="inlineStr">
        <is>
          <t>pytest (automated)</t>
        </is>
      </c>
      <c r="H14" s="15" t="inlineStr">
        <is>
          <t>2026-10-06</t>
        </is>
      </c>
      <c r="I14" s="15" t="inlineStr">
        <is>
          <t>Automated</t>
        </is>
      </c>
    </row>
    <row r="15">
      <c r="A15" s="15" t="inlineStr">
        <is>
          <t>UAT14</t>
        </is>
      </c>
      <c r="B15" s="15" t="inlineStr">
        <is>
          <t>Rule catalogue</t>
        </is>
      </c>
      <c r="C15" s="15" t="inlineStr">
        <is>
          <t>dim_rule vs rule definitions in code</t>
        </is>
      </c>
      <c r="D15" s="15" t="inlineStr">
        <is>
          <t>Catalogue matches code</t>
        </is>
      </c>
      <c r="E15" s="15" t="inlineStr">
        <is>
          <t>test_rules: test_dim_rule_matches_shared_rules</t>
        </is>
      </c>
      <c r="F15" s="15" t="inlineStr">
        <is>
          <t>Pass</t>
        </is>
      </c>
      <c r="G15" s="15" t="inlineStr">
        <is>
          <t>pytest (automated)</t>
        </is>
      </c>
      <c r="H15" s="15" t="inlineStr">
        <is>
          <t>2026-10-06</t>
        </is>
      </c>
      <c r="I15" s="15" t="inlineStr">
        <is>
          <t>Automated</t>
        </is>
      </c>
    </row>
    <row r="16">
      <c r="A16" s="15" t="inlineStr">
        <is>
          <t>UAT15</t>
        </is>
      </c>
      <c r="B16" s="15" t="inlineStr">
        <is>
          <t>R06 name score 80 or above</t>
        </is>
      </c>
      <c r="C16" s="15" t="inlineStr">
        <is>
          <t>Score above and below threshold</t>
        </is>
      </c>
      <c r="D16" s="15" t="inlineStr">
        <is>
          <t>Fires only at or above 80</t>
        </is>
      </c>
      <c r="E16" s="15" t="inlineStr">
        <is>
          <t>test_rules_screen: test_r06</t>
        </is>
      </c>
      <c r="F16" s="15" t="inlineStr">
        <is>
          <t>Pass</t>
        </is>
      </c>
      <c r="G16" s="15" t="inlineStr">
        <is>
          <t>pytest (automated)</t>
        </is>
      </c>
      <c r="H16" s="15" t="inlineStr">
        <is>
          <t>2026-10-06</t>
        </is>
      </c>
      <c r="I16" s="15" t="inlineStr">
        <is>
          <t>Automated</t>
        </is>
      </c>
    </row>
    <row r="17">
      <c r="A17" s="15" t="inlineStr">
        <is>
          <t>UAT16</t>
        </is>
      </c>
      <c r="B17" s="15" t="inlineStr">
        <is>
          <t>R07 FATF country</t>
        </is>
      </c>
      <c r="C17" s="15" t="inlineStr">
        <is>
          <t>IR, KP, VG fire; a non-listed country does not</t>
        </is>
      </c>
      <c r="D17" s="15" t="inlineStr">
        <is>
          <t>Fires only for listed countries</t>
        </is>
      </c>
      <c r="E17" s="15" t="inlineStr">
        <is>
          <t>test_rules_screen: test_r07</t>
        </is>
      </c>
      <c r="F17" s="15" t="inlineStr">
        <is>
          <t>Pass</t>
        </is>
      </c>
      <c r="G17" s="15" t="inlineStr">
        <is>
          <t>pytest (automated)</t>
        </is>
      </c>
      <c r="H17" s="15" t="inlineStr">
        <is>
          <t>2026-10-06</t>
        </is>
      </c>
      <c r="I17" s="15" t="inlineStr">
        <is>
          <t>Automated</t>
        </is>
      </c>
    </row>
    <row r="18">
      <c r="A18" s="15" t="inlineStr">
        <is>
          <t>UAT17</t>
        </is>
      </c>
      <c r="B18" s="15" t="inlineStr">
        <is>
          <t>Maker-checker separation</t>
        </is>
      </c>
      <c r="C18" s="15" t="inlineStr">
        <is>
          <t>All simulated requests</t>
        </is>
      </c>
      <c r="D18" s="15" t="inlineStr">
        <is>
          <t>No request has maker equal to checker</t>
        </is>
      </c>
      <c r="E18" s="15" t="inlineStr">
        <is>
          <t>test_workflow: test_maker_is_never_the_checker</t>
        </is>
      </c>
      <c r="F18" s="15" t="inlineStr">
        <is>
          <t>Pass</t>
        </is>
      </c>
      <c r="G18" s="15" t="inlineStr">
        <is>
          <t>pytest (automated)</t>
        </is>
      </c>
      <c r="H18" s="15" t="inlineStr">
        <is>
          <t>2026-10-06</t>
        </is>
      </c>
      <c r="I18" s="15" t="inlineStr">
        <is>
          <t>Automated</t>
        </is>
      </c>
    </row>
    <row r="19">
      <c r="A19" s="15" t="inlineStr">
        <is>
          <t>UAT18</t>
        </is>
      </c>
      <c r="B19" s="15" t="inlineStr">
        <is>
          <t>Reconciliation</t>
        </is>
      </c>
      <c r="C19" s="15" t="inlineStr">
        <is>
          <t>2,000 requests</t>
        </is>
      </c>
      <c r="D19" s="15" t="inlineStr">
        <is>
          <t>Completed + open = received</t>
        </is>
      </c>
      <c r="E19" s="15" t="inlineStr">
        <is>
          <t>test_workflow: test_completed_plus_open_equals_received</t>
        </is>
      </c>
      <c r="F19" s="15" t="inlineStr">
        <is>
          <t>Pass</t>
        </is>
      </c>
      <c r="G19" s="15" t="inlineStr">
        <is>
          <t>pytest (automated)</t>
        </is>
      </c>
      <c r="H19" s="15" t="inlineStr">
        <is>
          <t>2026-10-06</t>
        </is>
      </c>
      <c r="I19" s="15" t="inlineStr">
        <is>
          <t>Automated</t>
        </is>
      </c>
    </row>
    <row r="20">
      <c r="A20" s="15" t="inlineStr">
        <is>
          <t>UAT19</t>
        </is>
      </c>
      <c r="B20" s="15" t="inlineStr">
        <is>
          <t>Timestamps</t>
        </is>
      </c>
      <c r="C20" s="15" t="inlineStr">
        <is>
          <t>All completed requests</t>
        </is>
      </c>
      <c r="D20" s="15" t="inlineStr">
        <is>
          <t>No completion before receipt</t>
        </is>
      </c>
      <c r="E20" s="15" t="inlineStr">
        <is>
          <t>test_workflow: test_completion_is_not_before_receipt</t>
        </is>
      </c>
      <c r="F20" s="15" t="inlineStr">
        <is>
          <t>Pass</t>
        </is>
      </c>
      <c r="G20" s="15" t="inlineStr">
        <is>
          <t>pytest (automated)</t>
        </is>
      </c>
      <c r="H20" s="15" t="inlineStr">
        <is>
          <t>2026-10-06</t>
        </is>
      </c>
      <c r="I20" s="15" t="inlineStr">
        <is>
          <t>Automated</t>
        </is>
      </c>
    </row>
    <row r="21">
      <c r="A21" s="15" t="inlineStr">
        <is>
          <t>UAT20</t>
        </is>
      </c>
      <c r="B21" s="15" t="inlineStr">
        <is>
          <t>Scenario totals</t>
        </is>
      </c>
      <c r="C21" s="15" t="inlineStr">
        <is>
          <t>scenario_results</t>
        </is>
      </c>
      <c r="D21" s="15" t="inlineStr">
        <is>
          <t>Every scenario: completed + open = received</t>
        </is>
      </c>
      <c r="E21" s="15" t="inlineStr">
        <is>
          <t>test_scenarios: test_stored_scenarios_reconcile</t>
        </is>
      </c>
      <c r="F21" s="15" t="inlineStr">
        <is>
          <t>Pass</t>
        </is>
      </c>
      <c r="G21" s="15" t="inlineStr">
        <is>
          <t>pytest (automated)</t>
        </is>
      </c>
      <c r="H21" s="15" t="inlineStr">
        <is>
          <t>2026-10-06</t>
        </is>
      </c>
      <c r="I21" s="15" t="inlineStr">
        <is>
          <t>Automated</t>
        </is>
      </c>
    </row>
    <row r="22">
      <c r="A22" s="15" t="inlineStr">
        <is>
          <t>UAT21</t>
        </is>
      </c>
      <c r="B22" s="15" t="inlineStr">
        <is>
          <t>Baseline scenario</t>
        </is>
      </c>
      <c r="C22" s="15" t="inlineStr">
        <is>
          <t>fifo_6_3 vs workflow tables</t>
        </is>
      </c>
      <c r="D22" s="15" t="inlineStr">
        <is>
          <t>Same numbers as the workflow tables</t>
        </is>
      </c>
      <c r="E22" s="15" t="inlineStr">
        <is>
          <t>test_scenarios: test_baseline_scenario_reproduces_the_workflow_tables</t>
        </is>
      </c>
      <c r="F22" s="15" t="inlineStr">
        <is>
          <t>Pass</t>
        </is>
      </c>
      <c r="G22" s="15" t="inlineStr">
        <is>
          <t>pytest (automated)</t>
        </is>
      </c>
      <c r="H22" s="15" t="inlineStr">
        <is>
          <t>2026-10-06</t>
        </is>
      </c>
      <c r="I22" s="15" t="inlineStr">
        <is>
          <t>Automated</t>
        </is>
      </c>
    </row>
    <row r="23">
      <c r="A23" s="15" t="inlineStr">
        <is>
          <t>UAT22</t>
        </is>
      </c>
      <c r="B23" s="15" t="inlineStr">
        <is>
          <t>Maker-checker: checker equals maker</t>
        </is>
      </c>
      <c r="C23" s="15" t="inlineStr">
        <is>
          <t>Checker_Log row 2 (maker M3): type M3 in checker_id</t>
        </is>
      </c>
      <c r="D23" s="15" t="inlineStr">
        <is>
          <t>Excel rejects with the Maker-checker rule message</t>
        </is>
      </c>
      <c r="E23" s="15" t="inlineStr">
        <is>
          <t>Accepted, no error box. Flag column showed CHECK: maker equals checker. Original expectation (rejection) not met.</t>
        </is>
      </c>
      <c r="F23" s="15" t="inlineStr">
        <is>
          <t>Fail</t>
        </is>
      </c>
      <c r="G23" s="15" t="inlineStr">
        <is>
          <t>Kanishka Singh</t>
        </is>
      </c>
      <c r="H23" s="15" t="inlineStr">
        <is>
          <t>2026-10-06</t>
        </is>
      </c>
      <c r="I23" s="15" t="inlineStr">
        <is>
          <t>Manual Excel</t>
        </is>
      </c>
    </row>
    <row r="24">
      <c r="A24" s="15" t="inlineStr">
        <is>
          <t>UAT23</t>
        </is>
      </c>
      <c r="B24" s="15" t="inlineStr">
        <is>
          <t>Maker-checker: valid checker</t>
        </is>
      </c>
      <c r="C24" s="15" t="inlineStr">
        <is>
          <t>Same row: type C1</t>
        </is>
      </c>
      <c r="D24" s="15" t="inlineStr">
        <is>
          <t>Accepted; flag column empty</t>
        </is>
      </c>
      <c r="E24" s="15" t="inlineStr">
        <is>
          <t>Accepted; flag column empty</t>
        </is>
      </c>
      <c r="F24" s="15" t="inlineStr">
        <is>
          <t>Pass</t>
        </is>
      </c>
      <c r="G24" s="15" t="inlineStr">
        <is>
          <t>Kanishka Singh</t>
        </is>
      </c>
      <c r="H24" s="15" t="inlineStr">
        <is>
          <t>2026-10-06</t>
        </is>
      </c>
      <c r="I24" s="15" t="inlineStr">
        <is>
          <t>Manual Excel</t>
        </is>
      </c>
    </row>
    <row r="25">
      <c r="A25" s="15" t="inlineStr">
        <is>
          <t>UAT24</t>
        </is>
      </c>
      <c r="B25" s="15" t="inlineStr">
        <is>
          <t>Maker-checker: checker ID must start with C</t>
        </is>
      </c>
      <c r="C25" s="15" t="inlineStr">
        <is>
          <t>Same row: type M2</t>
        </is>
      </c>
      <c r="D25" s="15" t="inlineStr">
        <is>
          <t>Record what Excel does. Validation is not expected to block.</t>
        </is>
      </c>
      <c r="E25" s="15" t="inlineStr">
        <is>
          <t>Accepted, flag column empty. A maker ID is accepted as checker with no flag.</t>
        </is>
      </c>
      <c r="F25" s="15" t="inlineStr">
        <is>
          <t>Fail</t>
        </is>
      </c>
      <c r="G25" s="15" t="inlineStr">
        <is>
          <t>Kanishka Singh</t>
        </is>
      </c>
      <c r="H25" s="15" t="inlineStr">
        <is>
          <t>2026-10-06</t>
        </is>
      </c>
      <c r="I25" s="15" t="inlineStr">
        <is>
          <t>Manual Excel</t>
        </is>
      </c>
    </row>
    <row r="26">
      <c r="A26" s="15" t="inlineStr">
        <is>
          <t>UAT25</t>
        </is>
      </c>
      <c r="B26" s="15" t="inlineStr">
        <is>
          <t>Daily_Queue size</t>
        </is>
      </c>
      <c r="C26" s="15" t="inlineStr">
        <is>
          <t>Open Daily_Queue</t>
        </is>
      </c>
      <c r="D26" s="15" t="inlineStr">
        <is>
          <t>20 open requests listed</t>
        </is>
      </c>
      <c r="E26" s="15" t="inlineStr">
        <is>
          <t>20 rows listed</t>
        </is>
      </c>
      <c r="F26" s="15" t="inlineStr">
        <is>
          <t>Pass</t>
        </is>
      </c>
      <c r="G26" s="15" t="inlineStr">
        <is>
          <t>Kanishka Singh</t>
        </is>
      </c>
      <c r="H26" s="15" t="inlineStr">
        <is>
          <t>2026-10-06</t>
        </is>
      </c>
      <c r="I26" s="15" t="inlineStr">
        <is>
          <t>Manual Excel</t>
        </is>
      </c>
    </row>
    <row r="27">
      <c r="A27" s="15" t="inlineStr">
        <is>
          <t>UAT26</t>
        </is>
      </c>
      <c r="B27" s="15" t="inlineStr">
        <is>
          <t>Daily_Queue bands</t>
        </is>
      </c>
      <c r="C27" s="15" t="inlineStr">
        <is>
          <t>Count the priority_band column</t>
        </is>
      </c>
      <c r="D27" s="15" t="inlineStr">
        <is>
          <t>8 rows P2 and 12 rows P3 at the simulation clock</t>
        </is>
      </c>
      <c r="E27" s="15" t="inlineStr">
        <is>
          <t>8 rows P2, 12 rows P3</t>
        </is>
      </c>
      <c r="F27" s="15" t="inlineStr">
        <is>
          <t>Pass</t>
        </is>
      </c>
      <c r="G27" s="15" t="inlineStr">
        <is>
          <t>Kanishka Singh</t>
        </is>
      </c>
      <c r="H27" s="15" t="inlineStr">
        <is>
          <t>2026-10-06</t>
        </is>
      </c>
      <c r="I27" s="15" t="inlineStr">
        <is>
          <t>Manual Excel</t>
        </is>
      </c>
    </row>
    <row r="28">
      <c r="A28" s="15" t="inlineStr">
        <is>
          <t>UAT27</t>
        </is>
      </c>
      <c r="B28" s="15" t="inlineStr">
        <is>
          <t>Daily_Queue overdue format</t>
        </is>
      </c>
      <c r="C28" s="15" t="inlineStr">
        <is>
          <t>Look for red cells in hours_left</t>
        </is>
      </c>
      <c r="D28" s="15" t="inlineStr">
        <is>
          <t>None red, because no request is overdue</t>
        </is>
      </c>
      <c r="E28" s="15" t="inlineStr">
        <is>
          <t>No red cells in hours_left</t>
        </is>
      </c>
      <c r="F28" s="15" t="inlineStr">
        <is>
          <t>Pass</t>
        </is>
      </c>
      <c r="G28" s="15" t="inlineStr">
        <is>
          <t>Kanishka Singh</t>
        </is>
      </c>
      <c r="H28" s="15" t="inlineStr">
        <is>
          <t>2026-10-06</t>
        </is>
      </c>
      <c r="I28" s="15" t="inlineStr">
        <is>
          <t>Manual Excel</t>
        </is>
      </c>
    </row>
    <row r="29">
      <c r="A29" s="15" t="inlineStr">
        <is>
          <t>UAT28</t>
        </is>
      </c>
      <c r="B29" s="15" t="inlineStr">
        <is>
          <t>Daily_Queue action_status drop-down</t>
        </is>
      </c>
      <c r="C29" s="15" t="inlineStr">
        <is>
          <t>Click a cell in action_status</t>
        </is>
      </c>
      <c r="D29" s="15" t="inlineStr">
        <is>
          <t>Drop-down with Not started, In progress, Waiting on client, Done</t>
        </is>
      </c>
      <c r="E29" s="15" t="inlineStr">
        <is>
          <t>Drop-down on H4 lists: Not started, In progress, Waiting on client, Done</t>
        </is>
      </c>
      <c r="F29" s="15" t="inlineStr">
        <is>
          <t>Pass</t>
        </is>
      </c>
      <c r="G29" s="15" t="inlineStr">
        <is>
          <t>Kanishka Singh</t>
        </is>
      </c>
      <c r="H29" s="15" t="inlineStr">
        <is>
          <t>2026-10-06</t>
        </is>
      </c>
      <c r="I29" s="15" t="inlineStr">
        <is>
          <t>Manual Excel</t>
        </is>
      </c>
    </row>
    <row r="30">
      <c r="A30" s="15" t="inlineStr">
        <is>
          <t>UAT29</t>
        </is>
      </c>
      <c r="B30" s="15" t="inlineStr">
        <is>
          <t>KPI_Summary overall check</t>
        </is>
      </c>
      <c r="C30" s="15" t="inlineStr">
        <is>
          <t>Open KPI_Summary cell B2</t>
        </is>
      </c>
      <c r="D30" s="15" t="inlineStr">
        <is>
          <t>Shows ALL OK</t>
        </is>
      </c>
      <c r="E30" s="15" t="inlineStr">
        <is>
          <t>B2 shows ALL OK</t>
        </is>
      </c>
      <c r="F30" s="15" t="inlineStr">
        <is>
          <t>Pass</t>
        </is>
      </c>
      <c r="G30" s="15" t="inlineStr">
        <is>
          <t>Kanishka Singh</t>
        </is>
      </c>
      <c r="H30" s="15" t="inlineStr">
        <is>
          <t>2026-10-06</t>
        </is>
      </c>
      <c r="I30" s="15" t="inlineStr">
        <is>
          <t>Manual Excel</t>
        </is>
      </c>
    </row>
    <row r="31">
      <c r="A31" s="15" t="inlineStr">
        <is>
          <t>UAT30</t>
        </is>
      </c>
      <c r="B31" s="15" t="inlineStr">
        <is>
          <t>KPI_Summary band total</t>
        </is>
      </c>
      <c r="C31" s="15" t="inlineStr">
        <is>
          <t>Find Total in bands row</t>
        </is>
      </c>
      <c r="D31" s="15" t="inlineStr">
        <is>
          <t>Shows 20 and OK</t>
        </is>
      </c>
      <c r="E31" s="15" t="inlineStr">
        <is>
          <t>Total in bands 20, check shows OK</t>
        </is>
      </c>
      <c r="F31" s="15" t="inlineStr">
        <is>
          <t>Pass</t>
        </is>
      </c>
      <c r="G31" s="15" t="inlineStr">
        <is>
          <t>Kanishka Singh</t>
        </is>
      </c>
      <c r="H31" s="15" t="inlineStr">
        <is>
          <t>2026-10-06</t>
        </is>
      </c>
      <c r="I31" s="15" t="inlineStr">
        <is>
          <t>Manual Excel</t>
        </is>
      </c>
    </row>
    <row r="32">
      <c r="A32" s="15" t="inlineStr">
        <is>
          <t>UAT31</t>
        </is>
      </c>
      <c r="B32" s="15" t="inlineStr">
        <is>
          <t>Lodgment_Log red flag</t>
        </is>
      </c>
      <c r="C32" s="15" t="inlineStr">
        <is>
          <t>Find the row lodged without a complete check</t>
        </is>
      </c>
      <c r="D32" s="15" t="inlineStr">
        <is>
          <t>Row is flagged red</t>
        </is>
      </c>
      <c r="E32" s="15" t="inlineStr">
        <is>
          <t>LDG0016 flagged red: CHECK: lodged without complete check</t>
        </is>
      </c>
      <c r="F32" s="15" t="inlineStr">
        <is>
          <t>Pass</t>
        </is>
      </c>
      <c r="G32" s="15" t="inlineStr">
        <is>
          <t>Kanishka Singh</t>
        </is>
      </c>
      <c r="H32" s="15" t="inlineStr">
        <is>
          <t>2026-10-06</t>
        </is>
      </c>
      <c r="I32" s="15" t="inlineStr">
        <is>
          <t>Manual Excel</t>
        </is>
      </c>
    </row>
    <row r="33">
      <c r="A33" s="15" t="inlineStr">
        <is>
          <t>UAT32</t>
        </is>
      </c>
      <c r="B33" s="15" t="inlineStr">
        <is>
          <t>Archive_Manifest red flag</t>
        </is>
      </c>
      <c r="C33" s="15" t="inlineStr">
        <is>
          <t>Find the row archived while incomplete</t>
        </is>
      </c>
      <c r="D33" s="15" t="inlineStr">
        <is>
          <t>Row is flagged red</t>
        </is>
      </c>
      <c r="E33" s="15" t="inlineStr">
        <is>
          <t>ARC0013 and ARC0014 flagged red (Incomplete)</t>
        </is>
      </c>
      <c r="F33" s="15" t="inlineStr">
        <is>
          <t>Pass</t>
        </is>
      </c>
      <c r="G33" s="15" t="inlineStr">
        <is>
          <t>Kanishka Singh</t>
        </is>
      </c>
      <c r="H33" s="15" t="inlineStr">
        <is>
          <t>2026-10-06</t>
        </is>
      </c>
      <c r="I33" s="15" t="inlineStr">
        <is>
          <t>Manual Excel</t>
        </is>
      </c>
    </row>
    <row r="34">
      <c r="A34" s="15" t="inlineStr">
        <is>
          <t>UAT33</t>
        </is>
      </c>
      <c r="B34" s="15" t="inlineStr">
        <is>
          <t>Lodgment_Log test rows</t>
        </is>
      </c>
      <c r="C34" s="15" t="inlineStr">
        <is>
          <t>Check rows 12 to 17 are labelled deliberate test cases</t>
        </is>
      </c>
      <c r="D34" s="15" t="inlineStr">
        <is>
          <t>Label present</t>
        </is>
      </c>
      <c r="E34" s="15" t="inlineStr">
        <is>
          <t>Labelled on README sheet row 8. Row-level comment only on LDG0016.</t>
        </is>
      </c>
      <c r="F34" s="15" t="inlineStr">
        <is>
          <t>Pass</t>
        </is>
      </c>
      <c r="G34" s="15" t="inlineStr">
        <is>
          <t>Kanishka Singh</t>
        </is>
      </c>
      <c r="H34" s="15" t="inlineStr">
        <is>
          <t>2026-10-06</t>
        </is>
      </c>
      <c r="I34" s="15" t="inlineStr">
        <is>
          <t>Manual Excel</t>
        </is>
      </c>
    </row>
    <row r="35">
      <c r="A35" s="15" t="inlineStr">
        <is>
          <t>UAT34</t>
        </is>
      </c>
      <c r="B35" s="15" t="inlineStr">
        <is>
          <t>Reg_Watch change record</t>
        </is>
      </c>
      <c r="C35" s="15" t="inlineStr">
        <is>
          <t>Open Reg_Watch, find CR-001</t>
        </is>
      </c>
      <c r="D35" s="15" t="inlineStr">
        <is>
          <t>R02 SLA changed from 48 h to 24 h, labelled simulated</t>
        </is>
      </c>
      <c r="E35" s="15" t="inlineStr">
        <is>
          <t>Reg_Watch D8: R02 SLA reduced from 48 hours to 24 hours (change request CR-001); row labelled simulated</t>
        </is>
      </c>
      <c r="F35" s="15" t="inlineStr">
        <is>
          <t>Pass</t>
        </is>
      </c>
      <c r="G35" s="15" t="inlineStr">
        <is>
          <t>Kanishka Singh</t>
        </is>
      </c>
      <c r="H35" s="15" t="inlineStr">
        <is>
          <t>2026-10-06</t>
        </is>
      </c>
      <c r="I35" s="15" t="inlineStr">
        <is>
          <t>Manual Excel</t>
        </is>
      </c>
    </row>
    <row r="36">
      <c r="A36" s="15" t="inlineStr">
        <is>
          <t>UAT35</t>
        </is>
      </c>
      <c r="B36" s="15" t="inlineStr">
        <is>
          <t>Follow SOP-R02-01 v1.1</t>
        </is>
      </c>
      <c r="C36" s="15" t="inlineStr">
        <is>
          <t>An ISSUED entity with a passed renewal date (R02)</t>
        </is>
      </c>
      <c r="D36" s="15" t="inlineStr">
        <is>
          <t>Reader reaches: escalate, 24 h SLA</t>
        </is>
      </c>
      <c r="E36" s="15" t="inlineStr">
        <is>
          <t>Matrix R02 Escalate 24 h; SOP-R02-01 v1.1 says 24 hours</t>
        </is>
      </c>
      <c r="F36" s="15" t="inlineStr">
        <is>
          <t>Pass</t>
        </is>
      </c>
      <c r="G36" s="15" t="inlineStr">
        <is>
          <t>Kanishka Singh</t>
        </is>
      </c>
      <c r="H36" s="15" t="inlineStr">
        <is>
          <t>2026-10-06</t>
        </is>
      </c>
      <c r="I36" s="15" t="inlineStr">
        <is>
          <t>Document</t>
        </is>
      </c>
    </row>
    <row r="37">
      <c r="A37" s="15" t="inlineStr">
        <is>
          <t>UAT36</t>
        </is>
      </c>
      <c r="B37" s="15" t="inlineStr">
        <is>
          <t>Follow SOP-ESC-01 v1.1</t>
        </is>
      </c>
      <c r="C37" s="15" t="inlineStr">
        <is>
          <t>R03 entity INACTIVE</t>
        </is>
      </c>
      <c r="D37" s="15" t="inlineStr">
        <is>
          <t>Reader reaches: fix, 72 h SLA</t>
        </is>
      </c>
      <c r="E37" s="15" t="inlineStr">
        <is>
          <t>Matrix R03: Fix, 72 h</t>
        </is>
      </c>
      <c r="F37" s="15" t="inlineStr">
        <is>
          <t>Pass</t>
        </is>
      </c>
      <c r="G37" s="15" t="inlineStr">
        <is>
          <t>Kanishka Singh</t>
        </is>
      </c>
      <c r="H37" s="15" t="inlineStr">
        <is>
          <t>2026-10-06</t>
        </is>
      </c>
      <c r="I37" s="15" t="inlineStr">
        <is>
          <t>Document</t>
        </is>
      </c>
    </row>
    <row r="38">
      <c r="A38" s="15" t="inlineStr">
        <is>
          <t>UAT37</t>
        </is>
      </c>
      <c r="B38" s="15" t="inlineStr">
        <is>
          <t>Follow SOP-ESC-01 v1.1</t>
        </is>
      </c>
      <c r="C38" s="15" t="inlineStr">
        <is>
          <t>R06 name score 80 or above</t>
        </is>
      </c>
      <c r="D38" s="15" t="inlineStr">
        <is>
          <t>Escalate, 24 h; described as potential match for review only; never mentioned to client</t>
        </is>
      </c>
      <c r="E38" s="15" t="inlineStr">
        <is>
          <t>Matrix R06: Escalate, 24 h, Compliance (simulated); note says potential match for review only; client not told</t>
        </is>
      </c>
      <c r="F38" s="15" t="inlineStr">
        <is>
          <t>Pass</t>
        </is>
      </c>
      <c r="G38" s="15" t="inlineStr">
        <is>
          <t>Kanishka Singh</t>
        </is>
      </c>
      <c r="H38" s="15" t="inlineStr">
        <is>
          <t>2026-10-06</t>
        </is>
      </c>
      <c r="I38" s="15" t="inlineStr">
        <is>
          <t>Document</t>
        </is>
      </c>
    </row>
    <row r="39">
      <c r="A39" s="15" t="inlineStr">
        <is>
          <t>UAT38</t>
        </is>
      </c>
      <c r="B39" s="15" t="inlineStr">
        <is>
          <t>Follow SOP-ESC-01 v1.1</t>
        </is>
      </c>
      <c r="C39" s="15" t="inlineStr">
        <is>
          <t>R07 FATF-listed country</t>
        </is>
      </c>
      <c r="D39" s="15" t="inlineStr">
        <is>
          <t>Escalate, 48 h</t>
        </is>
      </c>
      <c r="E39" s="15" t="inlineStr">
        <is>
          <t>Matrix R07: Escalate, 48 h, Compliance (simulated)</t>
        </is>
      </c>
      <c r="F39" s="15" t="inlineStr">
        <is>
          <t>Pass</t>
        </is>
      </c>
      <c r="G39" s="15" t="inlineStr">
        <is>
          <t>Kanishka Singh</t>
        </is>
      </c>
      <c r="H39" s="15" t="inlineStr">
        <is>
          <t>2026-10-06</t>
        </is>
      </c>
      <c r="I39" s="15" t="inlineStr">
        <is>
          <t>Document</t>
        </is>
      </c>
    </row>
    <row r="40">
      <c r="A40" s="15" t="inlineStr">
        <is>
          <t>UAT39</t>
        </is>
      </c>
      <c r="B40" s="15" t="inlineStr">
        <is>
          <t>Maker-checker: flag when checker equals maker</t>
        </is>
      </c>
      <c r="C40" s="15" t="inlineStr">
        <is>
          <t>Checker_Log row 2 (maker M3): type M3 in checker_id</t>
        </is>
      </c>
      <c r="D40" s="15" t="inlineStr">
        <is>
          <t>Flag column shows CHECK: maker equals checker</t>
        </is>
      </c>
      <c r="E40" s="15" t="inlineStr">
        <is>
          <t>Flag column showed CHECK: maker equals checker</t>
        </is>
      </c>
      <c r="F40" s="15" t="inlineStr">
        <is>
          <t>Pass</t>
        </is>
      </c>
      <c r="G40" s="15" t="inlineStr">
        <is>
          <t>Kanishka Singh</t>
        </is>
      </c>
      <c r="H40" s="15" t="inlineStr">
        <is>
          <t>2026-10-06</t>
        </is>
      </c>
      <c r="I40" s="15" t="inlineStr">
        <is>
          <t>Manual Excel</t>
        </is>
      </c>
    </row>
  </sheetData>
  <conditionalFormatting sqref="F2:F39">
    <cfRule type="cellIs" priority="1" operator="equal" dxfId="17">
      <formula>"Pass"</formula>
    </cfRule>
    <cfRule type="cellIs" priority="2" operator="equal" dxfId="18">
      <formula>"Fail"</formula>
    </cfRule>
  </conditionalFormatting>
  <conditionalFormatting sqref="F40">
    <cfRule type="cellIs" priority="3" operator="equal" dxfId="17">
      <formula>"Pass"</formula>
    </cfRule>
    <cfRule type="cellIs" priority="4" operator="equal" dxfId="18">
      <formula>"Fail"</formula>
    </cfRule>
  </conditionalFormatting>
  <dataValidations count="2">
    <dataValidation sqref="F2:F39" showDropDown="0" showInputMessage="0" showErrorMessage="0" allowBlank="1" type="list">
      <formula1>"Pass,Fail"</formula1>
    </dataValidation>
    <dataValidation sqref="F40" showDropDown="0" showInputMessage="0" showErrorMessage="0" allowBlank="1" type="list">
      <formula1>"Pass,Fail"</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2026-10-06T11:01:53Z</dcterms:modified>
  <cp:lastModifiedBy>KANISHKA SINGH</cp:lastModifiedBy>
</cp:coreProperties>
</file>