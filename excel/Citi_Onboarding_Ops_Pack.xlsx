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README" sheetId="1" state="visible" r:id="rId1"/>
    <sheet name="Data_Requests" sheetId="2" state="visible" r:id="rId2"/>
    <sheet name="Lists" sheetId="3" state="visible" r:id="rId3"/>
    <sheet name="Daily_Queue" sheetId="4" state="visible" r:id="rId4"/>
    <sheet name="Checker_Log" sheetId="5" state="visible" r:id="rId5"/>
    <sheet name="KPI_Summary" sheetId="6" state="visible" r:id="rId6"/>
    <sheet name="Lodgment_Log" sheetId="7" state="visible" r:id="rId7"/>
    <sheet name="Archive_Manifest" sheetId="8" state="visible" r:id="rId8"/>
  </sheets>
  <definedNames>
    <definedName name="_xlnm._FilterDatabase" localSheetId="3" hidden="1">'Daily_Queue'!$A$3:$H$23</definedName>
  </definedNames>
  <calcPr calcId="191029" fullCalcOnLoad="1"/>
</workbook>
</file>

<file path=xl/styles.xml><?xml version="1.0" encoding="utf-8"?>
<styleSheet xmlns="http://schemas.openxmlformats.org/spreadsheetml/2006/main">
  <numFmts count="4">
    <numFmt numFmtId="164" formatCode="yyyy\-mm\-dd\ hh:mm"/>
    <numFmt numFmtId="165" formatCode="0.0"/>
    <numFmt numFmtId="166" formatCode="0.0%"/>
    <numFmt numFmtId="167" formatCode="yyyy\-mm\-dd"/>
  </numFmts>
  <fonts count="6">
    <font>
      <name val="Calibri"/>
      <family val="2"/>
      <color theme="1"/>
      <sz val="11"/>
      <scheme val="minor"/>
    </font>
    <font>
      <name val="Calibri"/>
      <b val="1"/>
      <sz val="14"/>
    </font>
    <font>
      <name val="Calibri"/>
      <b val="1"/>
      <sz val="11"/>
    </font>
    <font>
      <name val="Calibri"/>
      <family val="2"/>
      <b val="1"/>
      <color theme="1"/>
      <sz val="11"/>
      <scheme val="minor"/>
    </font>
    <font>
      <name val="Arial Unicode MS"/>
      <color theme="1"/>
      <sz val="10"/>
    </font>
    <font>
      <b val="1"/>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165" fontId="0" fillId="0" borderId="0" pivotButton="0" quotePrefix="0" xfId="0"/>
    <xf numFmtId="1" fontId="0" fillId="0" borderId="0" pivotButton="0" quotePrefix="0" xfId="0"/>
    <xf numFmtId="2" fontId="0" fillId="0" borderId="0" pivotButton="0" quotePrefix="0" xfId="0"/>
    <xf numFmtId="166" fontId="0" fillId="0" borderId="0" pivotButton="0" quotePrefix="0" xfId="0"/>
    <xf numFmtId="167" fontId="0" fillId="0" borderId="0" pivotButton="0" quotePrefix="0" xfId="0"/>
    <xf numFmtId="0" fontId="4" fillId="0" borderId="0" applyAlignment="1" pivotButton="0" quotePrefix="0" xfId="0">
      <alignment horizontal="left" vertical="center" indent="1"/>
    </xf>
    <xf numFmtId="0" fontId="3" fillId="0" borderId="0" pivotButton="0" quotePrefix="0" xfId="0"/>
    <xf numFmtId="0" fontId="5" fillId="0" borderId="0" pivotButton="0" quotePrefix="0" xfId="0"/>
  </cellXfs>
  <cellStyles count="1">
    <cellStyle name="Normal" xfId="0" builtinId="0"/>
  </cellStyles>
  <dxfs count="17">
    <dxf>
      <fill>
        <patternFill patternType="solid">
          <bgColor rgb="FFFF9999"/>
        </patternFill>
      </fill>
    </dxf>
    <dxf>
      <fill>
        <patternFill patternType="solid">
          <bgColor rgb="FFFF9999"/>
        </patternFill>
      </fill>
    </dxf>
    <dxf>
      <fill>
        <patternFill patternType="solid">
          <bgColor rgb="FFFF9999"/>
        </patternFill>
      </fill>
    </dxf>
    <dxf>
      <fill>
        <patternFill patternType="solid">
          <bgColor rgb="FFC6EFCE"/>
        </patternFill>
      </fill>
    </dxf>
    <dxf>
      <fill>
        <patternFill patternType="solid">
          <bgColor rgb="FFC6EFCE"/>
        </patternFill>
      </fill>
    </dxf>
    <dxf>
      <fill>
        <patternFill patternType="solid">
          <bgColor rgb="FFFF9999"/>
        </patternFill>
      </fill>
    </dxf>
    <dxf>
      <fill>
        <patternFill patternType="solid">
          <bgColor rgb="FFFF9999"/>
        </patternFill>
      </fill>
    </dxf>
    <dxf>
      <fill>
        <patternFill patternType="solid">
          <bgColor rgb="FFC6EFCE"/>
        </patternFill>
      </fill>
    </dxf>
    <dxf>
      <fill>
        <patternFill patternType="solid">
          <bgColor rgb="FFC6EFCE"/>
        </patternFill>
      </fill>
    </dxf>
    <dxf>
      <fill>
        <patternFill patternType="solid">
          <bgColor rgb="FFFF9999"/>
        </patternFill>
      </fill>
    </dxf>
    <dxf>
      <fill>
        <patternFill patternType="solid">
          <bgColor rgb="FFFF9999"/>
        </patternFill>
      </fill>
    </dxf>
    <dxf>
      <fill>
        <patternFill patternType="solid">
          <bgColor rgb="FFC6EFCE"/>
        </patternFill>
      </fill>
    </dxf>
    <dxf>
      <fill>
        <patternFill patternType="solid">
          <bgColor rgb="FFC6EFCE"/>
        </patternFill>
      </fill>
    </dxf>
    <dxf>
      <fill>
        <patternFill patternType="solid">
          <bgColor rgb="FFFF9999"/>
        </patternFill>
      </fill>
    </dxf>
    <dxf>
      <fill>
        <patternFill patternType="solid">
          <bgColor rgb="FFFF9999"/>
        </patternFill>
      </fill>
    </dxf>
    <dxf>
      <fill>
        <patternFill patternType="solid">
          <bgColor rgb="FFFFE699"/>
        </patternFill>
      </fill>
    </dxf>
    <dxf>
      <fill>
        <patternFill patternType="solid">
          <bgColor rgb="FF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blRequests" displayName="tblRequests" ref="A1:Q2001" headerRowCount="1">
  <autoFilter ref="A1:Q2001"/>
  <tableColumns count="17">
    <tableColumn id="1" name="request_id"/>
    <tableColumn id="2" name="lei"/>
    <tableColumn id="3" name="request_type"/>
    <tableColumn id="4" name="received_ts"/>
    <tableColumn id="5" name="due_ts"/>
    <tableColumn id="6" name="maker_id"/>
    <tableColumn id="7" name="checker_id"/>
    <tableColumn id="8" name="maker_done_ts"/>
    <tableColumn id="9" name="completed_ts"/>
    <tableColumn id="10" name="status"/>
    <tableColumn id="11" name="tat_hours"/>
    <tableColumn id="12" name="sla_hours"/>
    <tableColumn id="13" name="sla_breached"/>
    <tableColumn id="14" name="rework_count"/>
    <tableColumn id="15" name="first_time_right"/>
    <tableColumn id="16" name="has_error"/>
    <tableColumn id="17" name="escala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B10"/>
  <sheetViews>
    <sheetView tabSelected="1" workbookViewId="0">
      <selection activeCell="B10" sqref="B10"/>
    </sheetView>
  </sheetViews>
  <sheetFormatPr baseColWidth="8" defaultRowHeight="14.4"/>
  <cols>
    <col width="36" bestFit="1" customWidth="1" min="1" max="1"/>
    <col width="50.5546875" bestFit="1" customWidth="1" min="2" max="2"/>
  </cols>
  <sheetData>
    <row r="1" ht="18" customHeight="1">
      <c r="A1" s="1" t="inlineStr">
        <is>
          <t>Citi Onboarding Operations Pack</t>
        </is>
      </c>
    </row>
    <row r="2">
      <c r="A2" t="inlineStr">
        <is>
          <t>Label</t>
        </is>
      </c>
      <c r="B2" t="inlineStr">
        <is>
          <t>Simulated workflow on real GLEIF entity data. Not Citi data.</t>
        </is>
      </c>
    </row>
    <row r="3">
      <c r="A3" t="inlineStr">
        <is>
          <t>Simulation clock</t>
        </is>
      </c>
      <c r="B3" t="inlineStr">
        <is>
          <t>2026-10-30 18:00:00</t>
        </is>
      </c>
    </row>
    <row r="4">
      <c r="A4" t="inlineStr">
        <is>
          <t>Entity data</t>
        </is>
      </c>
      <c r="B4" t="inlineStr">
        <is>
          <t>Real public GLEIF Golden Copy, published 2026-10-04 16:00</t>
        </is>
      </c>
    </row>
    <row r="5">
      <c r="A5" t="inlineStr">
        <is>
          <t>Requests, errors, SLAs, staffing</t>
        </is>
      </c>
      <c r="B5" s="9" t="inlineStr">
        <is>
          <t>Simulated assumptions (baseline 6 makers, 3 checkers in the workflow simulation; log IDs M1-M8 and C1-C4 in Lodgment_Log are a separate simulated set</t>
        </is>
      </c>
    </row>
    <row r="6">
      <c r="A6" t="inlineStr">
        <is>
          <t>Version</t>
        </is>
      </c>
      <c r="B6" t="inlineStr">
        <is>
          <t>v0.1</t>
        </is>
      </c>
    </row>
    <row r="8">
      <c r="A8" t="inlineStr">
        <is>
          <t>Test data</t>
        </is>
      </c>
      <c r="B8" t="inlineStr">
        <is>
          <t>Lodgment_Log rows 12 to 17 and Archive_Manifest rows 14 and 15 are deliberate test cases (returned, rejected, pending, and two deliberate errors that fire the red flags). All maker IDs, checker IDs, dates and document types are simulated.</t>
        </is>
      </c>
    </row>
    <row r="9">
      <c r="A9" t="inlineStr">
        <is>
          <t>Known limitation</t>
        </is>
      </c>
      <c r="B9" s="9" t="inlineStr">
        <is>
          <t>The workbook does not block a checker who is the same person as the maker, but it flags it with "CHECK: maker equals checker" on Checker_Log (tested: maker M3 with checker M3 fires the flag, M3 with C1 does not). Blocking it outright would need a validation rule or procedure.</t>
        </is>
      </c>
    </row>
    <row r="10">
      <c r="A10" t="inlineStr">
        <is>
          <t>Backup</t>
        </is>
      </c>
      <c r="B10" t="inlineStr">
        <is>
          <t>The workbook before the fill step is saved as OLD_before_fill_DO_NOT_EDIT.xlsx. Rerun fill_lodgment_archive.py from that file, not from the main file.</t>
        </is>
      </c>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Q2001"/>
  <sheetViews>
    <sheetView topLeftCell="AW1" workbookViewId="0">
      <pane ySplit="1" topLeftCell="A2" activePane="bottomLeft" state="frozen"/>
      <selection pane="bottomLeft" activeCell="A2" sqref="A2:Q2001"/>
    </sheetView>
  </sheetViews>
  <sheetFormatPr baseColWidth="8" defaultRowHeight="14.4"/>
  <cols>
    <col width="20" customWidth="1" min="1" max="1"/>
    <col width="26" customWidth="1" min="2" max="2"/>
    <col width="20" customWidth="1" min="3" max="17"/>
  </cols>
  <sheetData>
    <row r="1">
      <c r="A1" t="inlineStr">
        <is>
          <t>request_id</t>
        </is>
      </c>
      <c r="B1" t="inlineStr">
        <is>
          <t>lei</t>
        </is>
      </c>
      <c r="C1" t="inlineStr">
        <is>
          <t>request_type</t>
        </is>
      </c>
      <c r="D1" t="inlineStr">
        <is>
          <t>received_ts</t>
        </is>
      </c>
      <c r="E1" t="inlineStr">
        <is>
          <t>due_ts</t>
        </is>
      </c>
      <c r="F1" t="inlineStr">
        <is>
          <t>maker_id</t>
        </is>
      </c>
      <c r="G1" t="inlineStr">
        <is>
          <t>checker_id</t>
        </is>
      </c>
      <c r="H1" t="inlineStr">
        <is>
          <t>maker_done_ts</t>
        </is>
      </c>
      <c r="I1" t="inlineStr">
        <is>
          <t>completed_ts</t>
        </is>
      </c>
      <c r="J1" t="inlineStr">
        <is>
          <t>status</t>
        </is>
      </c>
      <c r="K1" t="inlineStr">
        <is>
          <t>tat_hours</t>
        </is>
      </c>
      <c r="L1" t="inlineStr">
        <is>
          <t>sla_hours</t>
        </is>
      </c>
      <c r="M1" t="inlineStr">
        <is>
          <t>sla_breached</t>
        </is>
      </c>
      <c r="N1" t="inlineStr">
        <is>
          <t>rework_count</t>
        </is>
      </c>
      <c r="O1" t="inlineStr">
        <is>
          <t>first_time_right</t>
        </is>
      </c>
      <c r="P1" t="inlineStr">
        <is>
          <t>has_error</t>
        </is>
      </c>
      <c r="Q1" t="inlineStr">
        <is>
          <t>escalated</t>
        </is>
      </c>
    </row>
    <row r="2">
      <c r="A2" t="inlineStr">
        <is>
          <t>REQ00001</t>
        </is>
      </c>
      <c r="B2" t="inlineStr">
        <is>
          <t>7245008AVDPCXEZED844</t>
        </is>
      </c>
      <c r="C2" t="inlineStr">
        <is>
          <t>new_account</t>
        </is>
      </c>
      <c r="D2" s="2" t="n">
        <v>46296.375</v>
      </c>
      <c r="E2" s="2" t="n">
        <v>46297.66666666666</v>
      </c>
      <c r="F2" t="inlineStr">
        <is>
          <t>M1</t>
        </is>
      </c>
      <c r="G2" t="inlineStr">
        <is>
          <t>C2</t>
        </is>
      </c>
      <c r="H2" s="2" t="n">
        <v>46296.4</v>
      </c>
      <c r="I2" s="2" t="n">
        <v>46296.41180555556</v>
      </c>
      <c r="J2" t="inlineStr">
        <is>
          <t>Completed</t>
        </is>
      </c>
      <c r="K2" t="n">
        <v>0.88</v>
      </c>
      <c r="L2" t="n">
        <v>16</v>
      </c>
      <c r="M2" t="b">
        <v>0</v>
      </c>
      <c r="N2" t="n">
        <v>0</v>
      </c>
      <c r="O2" t="b">
        <v>1</v>
      </c>
      <c r="P2" t="b">
        <v>0</v>
      </c>
      <c r="Q2" t="b">
        <v>0</v>
      </c>
    </row>
    <row r="3">
      <c r="A3" t="inlineStr">
        <is>
          <t>REQ00002</t>
        </is>
      </c>
      <c r="B3" t="inlineStr">
        <is>
          <t>391200DTW567Q0CC5337</t>
        </is>
      </c>
      <c r="C3" t="inlineStr">
        <is>
          <t>data_amendment</t>
        </is>
      </c>
      <c r="D3" s="2" t="n">
        <v>46296.375</v>
      </c>
      <c r="E3" s="2" t="n">
        <v>46296.70833333334</v>
      </c>
      <c r="F3" t="inlineStr">
        <is>
          <t>M2</t>
        </is>
      </c>
      <c r="G3" t="inlineStr">
        <is>
          <t>C1</t>
        </is>
      </c>
      <c r="H3" s="2" t="n">
        <v>46296.38541666666</v>
      </c>
      <c r="I3" s="2" t="n">
        <v>46296.39097222222</v>
      </c>
      <c r="J3" t="inlineStr">
        <is>
          <t>Completed</t>
        </is>
      </c>
      <c r="K3" t="n">
        <v>0.38</v>
      </c>
      <c r="L3" t="n">
        <v>8</v>
      </c>
      <c r="M3" t="b">
        <v>0</v>
      </c>
      <c r="N3" t="n">
        <v>0</v>
      </c>
      <c r="O3" t="b">
        <v>1</v>
      </c>
      <c r="P3" t="b">
        <v>0</v>
      </c>
      <c r="Q3" t="b">
        <v>0</v>
      </c>
    </row>
    <row r="4">
      <c r="A4" t="inlineStr">
        <is>
          <t>REQ00003</t>
        </is>
      </c>
      <c r="B4" t="inlineStr">
        <is>
          <t>33580094GI2D22DUBG63</t>
        </is>
      </c>
      <c r="C4" t="inlineStr">
        <is>
          <t>document_refresh</t>
        </is>
      </c>
      <c r="D4" s="2" t="n">
        <v>46296.37638888889</v>
      </c>
      <c r="E4" s="2" t="n">
        <v>46297.50138888889</v>
      </c>
      <c r="F4" t="inlineStr">
        <is>
          <t>M3</t>
        </is>
      </c>
      <c r="G4" t="inlineStr">
        <is>
          <t>C2</t>
        </is>
      </c>
      <c r="H4" s="2" t="n">
        <v>46296.39305555556</v>
      </c>
      <c r="I4" s="2" t="n">
        <v>46296.39861111111</v>
      </c>
      <c r="J4" t="inlineStr">
        <is>
          <t>Completed</t>
        </is>
      </c>
      <c r="K4" t="n">
        <v>0.54</v>
      </c>
      <c r="L4" t="n">
        <v>12</v>
      </c>
      <c r="M4" t="b">
        <v>0</v>
      </c>
      <c r="N4" t="n">
        <v>0</v>
      </c>
      <c r="O4" t="b">
        <v>1</v>
      </c>
      <c r="P4" t="b">
        <v>0</v>
      </c>
      <c r="Q4" t="b">
        <v>0</v>
      </c>
    </row>
    <row r="5">
      <c r="A5" t="inlineStr">
        <is>
          <t>REQ00004</t>
        </is>
      </c>
      <c r="B5" t="inlineStr">
        <is>
          <t>984500NCB5BB8EF72J76</t>
        </is>
      </c>
      <c r="C5" t="inlineStr">
        <is>
          <t>data_amendment</t>
        </is>
      </c>
      <c r="D5" s="2" t="n">
        <v>46296.38263888889</v>
      </c>
      <c r="E5" s="2" t="n">
        <v>46296.71597222222</v>
      </c>
      <c r="F5" t="inlineStr">
        <is>
          <t>M4</t>
        </is>
      </c>
      <c r="G5" t="inlineStr">
        <is>
          <t>C3</t>
        </is>
      </c>
      <c r="H5" s="2" t="n">
        <v>46296.39375</v>
      </c>
      <c r="I5" s="2" t="n">
        <v>46296.39930555555</v>
      </c>
      <c r="J5" t="inlineStr">
        <is>
          <t>Completed</t>
        </is>
      </c>
      <c r="K5" t="n">
        <v>0.4</v>
      </c>
      <c r="L5" t="n">
        <v>8</v>
      </c>
      <c r="M5" t="b">
        <v>0</v>
      </c>
      <c r="N5" t="n">
        <v>0</v>
      </c>
      <c r="O5" t="b">
        <v>1</v>
      </c>
      <c r="P5" t="b">
        <v>0</v>
      </c>
      <c r="Q5" t="b">
        <v>0</v>
      </c>
    </row>
    <row r="6">
      <c r="A6" t="inlineStr">
        <is>
          <t>REQ00005</t>
        </is>
      </c>
      <c r="B6" t="inlineStr">
        <is>
          <t>213800XVLOZKGP81ZI53</t>
        </is>
      </c>
      <c r="C6" t="inlineStr">
        <is>
          <t>new_account</t>
        </is>
      </c>
      <c r="D6" s="2" t="n">
        <v>46296.38680555556</v>
      </c>
      <c r="E6" s="2" t="n">
        <v>46297.67847222222</v>
      </c>
      <c r="F6" t="inlineStr">
        <is>
          <t>M5</t>
        </is>
      </c>
      <c r="G6" t="inlineStr">
        <is>
          <t>C1</t>
        </is>
      </c>
      <c r="H6" s="2" t="n">
        <v>46296.41805555556</v>
      </c>
      <c r="I6" s="2" t="n">
        <v>46296.51875</v>
      </c>
      <c r="J6" t="inlineStr">
        <is>
          <t>Completed</t>
        </is>
      </c>
      <c r="K6" t="n">
        <v>3.16</v>
      </c>
      <c r="L6" t="n">
        <v>16</v>
      </c>
      <c r="M6" t="b">
        <v>0</v>
      </c>
      <c r="N6" t="n">
        <v>0</v>
      </c>
      <c r="O6" t="b">
        <v>1</v>
      </c>
      <c r="P6" t="b">
        <v>0</v>
      </c>
      <c r="Q6" t="b">
        <v>1</v>
      </c>
    </row>
    <row r="7">
      <c r="A7" t="inlineStr">
        <is>
          <t>REQ00006</t>
        </is>
      </c>
      <c r="B7" t="inlineStr">
        <is>
          <t>984500708CB736A0ED48</t>
        </is>
      </c>
      <c r="C7" t="inlineStr">
        <is>
          <t>data_amendment</t>
        </is>
      </c>
      <c r="D7" s="2" t="n">
        <v>46296.38680555556</v>
      </c>
      <c r="E7" s="2" t="n">
        <v>46296.72013888889</v>
      </c>
      <c r="F7" t="inlineStr">
        <is>
          <t>M6</t>
        </is>
      </c>
      <c r="G7" t="inlineStr">
        <is>
          <t>C1</t>
        </is>
      </c>
      <c r="H7" s="2" t="n">
        <v>46296.39722222222</v>
      </c>
      <c r="I7" s="2" t="n">
        <v>46296.4</v>
      </c>
      <c r="J7" t="inlineStr">
        <is>
          <t>Completed</t>
        </is>
      </c>
      <c r="K7" t="n">
        <v>0.31</v>
      </c>
      <c r="L7" t="n">
        <v>8</v>
      </c>
      <c r="M7" t="b">
        <v>0</v>
      </c>
      <c r="N7" t="n">
        <v>0</v>
      </c>
      <c r="O7" t="b">
        <v>1</v>
      </c>
      <c r="P7" t="b">
        <v>0</v>
      </c>
      <c r="Q7" t="b">
        <v>0</v>
      </c>
    </row>
    <row r="8">
      <c r="A8" t="inlineStr">
        <is>
          <t>REQ00007</t>
        </is>
      </c>
      <c r="B8" t="inlineStr">
        <is>
          <t>724500SG3GVRK0421P33</t>
        </is>
      </c>
      <c r="C8" t="inlineStr">
        <is>
          <t>signatory_change</t>
        </is>
      </c>
      <c r="D8" s="2" t="n">
        <v>46296.38958333333</v>
      </c>
      <c r="E8" s="2" t="n">
        <v>46296.72291666667</v>
      </c>
      <c r="F8" t="inlineStr">
        <is>
          <t>M2</t>
        </is>
      </c>
      <c r="G8" t="inlineStr">
        <is>
          <t>C3</t>
        </is>
      </c>
      <c r="H8" s="2" t="n">
        <v>46296.41041666667</v>
      </c>
      <c r="I8" s="2" t="n">
        <v>46296.41736111111</v>
      </c>
      <c r="J8" t="inlineStr">
        <is>
          <t>Completed</t>
        </is>
      </c>
      <c r="K8" t="n">
        <v>0.67</v>
      </c>
      <c r="L8" t="n">
        <v>8</v>
      </c>
      <c r="M8" t="b">
        <v>0</v>
      </c>
      <c r="N8" t="n">
        <v>0</v>
      </c>
      <c r="O8" t="b">
        <v>1</v>
      </c>
      <c r="P8" t="b">
        <v>0</v>
      </c>
      <c r="Q8" t="b">
        <v>0</v>
      </c>
    </row>
    <row r="9">
      <c r="A9" t="inlineStr">
        <is>
          <t>REQ00008</t>
        </is>
      </c>
      <c r="B9" t="inlineStr">
        <is>
          <t>969500JE7JKVI0BQMJ44</t>
        </is>
      </c>
      <c r="C9" t="inlineStr">
        <is>
          <t>document_refresh</t>
        </is>
      </c>
      <c r="D9" s="2" t="n">
        <v>46296.39444444444</v>
      </c>
      <c r="E9" s="2" t="n">
        <v>46297.51944444444</v>
      </c>
      <c r="F9" t="inlineStr">
        <is>
          <t>M3</t>
        </is>
      </c>
      <c r="G9" t="inlineStr">
        <is>
          <t>C2</t>
        </is>
      </c>
      <c r="H9" s="2" t="n">
        <v>46296.40625</v>
      </c>
      <c r="I9" s="2" t="n">
        <v>46296.65694444445</v>
      </c>
      <c r="J9" t="inlineStr">
        <is>
          <t>Completed</t>
        </is>
      </c>
      <c r="K9" t="n">
        <v>6.29</v>
      </c>
      <c r="L9" t="n">
        <v>12</v>
      </c>
      <c r="M9" t="b">
        <v>0</v>
      </c>
      <c r="N9" t="n">
        <v>0</v>
      </c>
      <c r="O9" t="b">
        <v>1</v>
      </c>
      <c r="P9" t="b">
        <v>0</v>
      </c>
      <c r="Q9" t="b">
        <v>1</v>
      </c>
    </row>
    <row r="10">
      <c r="A10" t="inlineStr">
        <is>
          <t>REQ00009</t>
        </is>
      </c>
      <c r="B10" t="inlineStr">
        <is>
          <t>213800C6DB11H3EKSL04</t>
        </is>
      </c>
      <c r="C10" t="inlineStr">
        <is>
          <t>signatory_change</t>
        </is>
      </c>
      <c r="D10" s="2" t="n">
        <v>46296.40208333333</v>
      </c>
      <c r="E10" s="2" t="n">
        <v>46296.73541666667</v>
      </c>
      <c r="F10" t="inlineStr">
        <is>
          <t>M4</t>
        </is>
      </c>
      <c r="G10" t="inlineStr">
        <is>
          <t>C1</t>
        </is>
      </c>
      <c r="H10" s="2" t="n">
        <v>46296.42777777778</v>
      </c>
      <c r="I10" s="2" t="n">
        <v>46296.5625</v>
      </c>
      <c r="J10" t="inlineStr">
        <is>
          <t>Completed</t>
        </is>
      </c>
      <c r="K10" t="n">
        <v>3.85</v>
      </c>
      <c r="L10" t="n">
        <v>8</v>
      </c>
      <c r="M10" t="b">
        <v>0</v>
      </c>
      <c r="N10" t="n">
        <v>0</v>
      </c>
      <c r="O10" t="b">
        <v>1</v>
      </c>
      <c r="P10" t="b">
        <v>0</v>
      </c>
      <c r="Q10" t="b">
        <v>1</v>
      </c>
    </row>
    <row r="11">
      <c r="A11" t="inlineStr">
        <is>
          <t>REQ00010</t>
        </is>
      </c>
      <c r="B11" t="inlineStr">
        <is>
          <t>549300686A4NGWA2UM65</t>
        </is>
      </c>
      <c r="C11" t="inlineStr">
        <is>
          <t>new_account</t>
        </is>
      </c>
      <c r="D11" s="2" t="n">
        <v>46296.40347222222</v>
      </c>
      <c r="E11" s="2" t="n">
        <v>46297.69513888889</v>
      </c>
      <c r="F11" t="inlineStr">
        <is>
          <t>M6</t>
        </is>
      </c>
      <c r="G11" t="inlineStr">
        <is>
          <t>C3</t>
        </is>
      </c>
      <c r="H11" s="2" t="n">
        <v>46296.44305555556</v>
      </c>
      <c r="I11" s="2" t="n">
        <v>46296.66041666667</v>
      </c>
      <c r="J11" t="inlineStr">
        <is>
          <t>Completed</t>
        </is>
      </c>
      <c r="K11" t="n">
        <v>6.17</v>
      </c>
      <c r="L11" t="n">
        <v>16</v>
      </c>
      <c r="M11" t="b">
        <v>0</v>
      </c>
      <c r="N11" t="n">
        <v>0</v>
      </c>
      <c r="O11" t="b">
        <v>1</v>
      </c>
      <c r="P11" t="b">
        <v>0</v>
      </c>
      <c r="Q11" t="b">
        <v>1</v>
      </c>
    </row>
    <row r="12">
      <c r="A12" t="inlineStr">
        <is>
          <t>REQ00011</t>
        </is>
      </c>
      <c r="B12" t="inlineStr">
        <is>
          <t>984500383FE41EDBA676</t>
        </is>
      </c>
      <c r="C12" t="inlineStr">
        <is>
          <t>new_account</t>
        </is>
      </c>
      <c r="D12" s="2" t="n">
        <v>46296.40416666667</v>
      </c>
      <c r="E12" s="2" t="n">
        <v>46297.69583333333</v>
      </c>
      <c r="F12" t="inlineStr">
        <is>
          <t>M1</t>
        </is>
      </c>
      <c r="G12" t="inlineStr">
        <is>
          <t>C3</t>
        </is>
      </c>
      <c r="H12" s="2" t="n">
        <v>46296.43541666667</v>
      </c>
      <c r="I12" s="2" t="n">
        <v>46296.44791666666</v>
      </c>
      <c r="J12" t="inlineStr">
        <is>
          <t>Completed</t>
        </is>
      </c>
      <c r="K12" t="n">
        <v>1.06</v>
      </c>
      <c r="L12" t="n">
        <v>16</v>
      </c>
      <c r="M12" t="b">
        <v>0</v>
      </c>
      <c r="N12" t="n">
        <v>0</v>
      </c>
      <c r="O12" t="b">
        <v>1</v>
      </c>
      <c r="P12" t="b">
        <v>0</v>
      </c>
      <c r="Q12" t="b">
        <v>0</v>
      </c>
    </row>
    <row r="13">
      <c r="A13" t="inlineStr">
        <is>
          <t>REQ00012</t>
        </is>
      </c>
      <c r="B13" t="inlineStr">
        <is>
          <t>213800KOHI1WL1J84V10</t>
        </is>
      </c>
      <c r="C13" t="inlineStr">
        <is>
          <t>document_refresh</t>
        </is>
      </c>
      <c r="D13" s="2" t="n">
        <v>46296.40416666667</v>
      </c>
      <c r="E13" s="2" t="n">
        <v>46297.52916666667</v>
      </c>
      <c r="F13" t="inlineStr">
        <is>
          <t>M3</t>
        </is>
      </c>
      <c r="G13" t="inlineStr">
        <is>
          <t>C1</t>
        </is>
      </c>
      <c r="H13" s="2" t="n">
        <v>46296.41805555556</v>
      </c>
      <c r="I13" s="2" t="n">
        <v>46296.42222222222</v>
      </c>
      <c r="J13" t="inlineStr">
        <is>
          <t>Completed</t>
        </is>
      </c>
      <c r="K13" t="n">
        <v>0.44</v>
      </c>
      <c r="L13" t="n">
        <v>12</v>
      </c>
      <c r="M13" t="b">
        <v>0</v>
      </c>
      <c r="N13" t="n">
        <v>0</v>
      </c>
      <c r="O13" t="b">
        <v>1</v>
      </c>
      <c r="P13" t="b">
        <v>0</v>
      </c>
      <c r="Q13" t="b">
        <v>0</v>
      </c>
    </row>
    <row r="14">
      <c r="A14" t="inlineStr">
        <is>
          <t>REQ00013</t>
        </is>
      </c>
      <c r="B14" t="inlineStr">
        <is>
          <t>969500TDR7N2N354HD81</t>
        </is>
      </c>
      <c r="C14" t="inlineStr">
        <is>
          <t>new_account</t>
        </is>
      </c>
      <c r="D14" s="2" t="n">
        <v>46296.40763888889</v>
      </c>
      <c r="E14" s="2" t="n">
        <v>46297.69930555556</v>
      </c>
      <c r="F14" t="inlineStr">
        <is>
          <t>M2</t>
        </is>
      </c>
      <c r="G14" t="inlineStr">
        <is>
          <t>C1</t>
        </is>
      </c>
      <c r="H14" s="2" t="n">
        <v>46296.43333333333</v>
      </c>
      <c r="I14" s="2" t="n">
        <v>46296.60208333333</v>
      </c>
      <c r="J14" t="inlineStr">
        <is>
          <t>Completed</t>
        </is>
      </c>
      <c r="K14" t="n">
        <v>4.67</v>
      </c>
      <c r="L14" t="n">
        <v>16</v>
      </c>
      <c r="M14" t="b">
        <v>0</v>
      </c>
      <c r="N14" t="n">
        <v>0</v>
      </c>
      <c r="O14" t="b">
        <v>1</v>
      </c>
      <c r="P14" t="b">
        <v>0</v>
      </c>
      <c r="Q14" t="b">
        <v>1</v>
      </c>
    </row>
    <row r="15">
      <c r="A15" t="inlineStr">
        <is>
          <t>REQ00014</t>
        </is>
      </c>
      <c r="B15" t="inlineStr">
        <is>
          <t>8945000ARSWITS0EQ642</t>
        </is>
      </c>
      <c r="C15" t="inlineStr">
        <is>
          <t>signatory_change</t>
        </is>
      </c>
      <c r="D15" s="2" t="n">
        <v>46296.40763888889</v>
      </c>
      <c r="E15" s="2" t="n">
        <v>46296.74097222222</v>
      </c>
      <c r="F15" t="inlineStr">
        <is>
          <t>M5</t>
        </is>
      </c>
      <c r="G15" t="inlineStr">
        <is>
          <t>C2</t>
        </is>
      </c>
      <c r="H15" s="2" t="n">
        <v>46296.43472222222</v>
      </c>
      <c r="I15" s="2" t="n">
        <v>46296.60138888889</v>
      </c>
      <c r="J15" t="inlineStr">
        <is>
          <t>Completed</t>
        </is>
      </c>
      <c r="K15" t="n">
        <v>4.65</v>
      </c>
      <c r="L15" t="n">
        <v>8</v>
      </c>
      <c r="M15" t="b">
        <v>0</v>
      </c>
      <c r="N15" t="n">
        <v>0</v>
      </c>
      <c r="O15" t="b">
        <v>1</v>
      </c>
      <c r="P15" t="b">
        <v>0</v>
      </c>
      <c r="Q15" t="b">
        <v>1</v>
      </c>
    </row>
    <row r="16">
      <c r="A16" t="inlineStr">
        <is>
          <t>REQ00015</t>
        </is>
      </c>
      <c r="B16" t="inlineStr">
        <is>
          <t>222100LP57ZHGANNHX50</t>
        </is>
      </c>
      <c r="C16" t="inlineStr">
        <is>
          <t>document_refresh</t>
        </is>
      </c>
      <c r="D16" s="2" t="n">
        <v>46296.40833333333</v>
      </c>
      <c r="E16" s="2" t="n">
        <v>46297.53333333333</v>
      </c>
      <c r="F16" t="inlineStr">
        <is>
          <t>M3</t>
        </is>
      </c>
      <c r="G16" t="inlineStr">
        <is>
          <t>C2</t>
        </is>
      </c>
      <c r="H16" s="2" t="n">
        <v>46296.42916666667</v>
      </c>
      <c r="I16" s="2" t="n">
        <v>46296.60625</v>
      </c>
      <c r="J16" t="inlineStr">
        <is>
          <t>Completed</t>
        </is>
      </c>
      <c r="K16" t="n">
        <v>4.76</v>
      </c>
      <c r="L16" t="n">
        <v>12</v>
      </c>
      <c r="M16" t="b">
        <v>0</v>
      </c>
      <c r="N16" t="n">
        <v>0</v>
      </c>
      <c r="O16" t="b">
        <v>1</v>
      </c>
      <c r="P16" t="b">
        <v>0</v>
      </c>
      <c r="Q16" t="b">
        <v>1</v>
      </c>
    </row>
    <row r="17">
      <c r="A17" t="inlineStr">
        <is>
          <t>REQ00016</t>
        </is>
      </c>
      <c r="B17" t="inlineStr">
        <is>
          <t>335800F5W7C3SJ8NTT63</t>
        </is>
      </c>
      <c r="C17" t="inlineStr">
        <is>
          <t>data_amendment</t>
        </is>
      </c>
      <c r="D17" s="2" t="n">
        <v>46296.40902777778</v>
      </c>
      <c r="E17" s="2" t="n">
        <v>46296.74236111111</v>
      </c>
      <c r="F17" t="inlineStr">
        <is>
          <t>M4</t>
        </is>
      </c>
      <c r="G17" t="inlineStr">
        <is>
          <t>C2</t>
        </is>
      </c>
      <c r="H17" s="2" t="n">
        <v>46296.43541666667</v>
      </c>
      <c r="I17" s="2" t="n">
        <v>46296.44652777778</v>
      </c>
      <c r="J17" t="inlineStr">
        <is>
          <t>Completed</t>
        </is>
      </c>
      <c r="K17" t="n">
        <v>0.9</v>
      </c>
      <c r="L17" t="n">
        <v>8</v>
      </c>
      <c r="M17" t="b">
        <v>0</v>
      </c>
      <c r="N17" t="n">
        <v>1</v>
      </c>
      <c r="O17" t="b">
        <v>0</v>
      </c>
      <c r="P17" t="b">
        <v>1</v>
      </c>
      <c r="Q17" t="b">
        <v>0</v>
      </c>
    </row>
    <row r="18">
      <c r="A18" t="inlineStr">
        <is>
          <t>REQ00017</t>
        </is>
      </c>
      <c r="B18" t="inlineStr">
        <is>
          <t>875500VK9K962OPETW72</t>
        </is>
      </c>
      <c r="C18" t="inlineStr">
        <is>
          <t>data_amendment</t>
        </is>
      </c>
      <c r="D18" s="2" t="n">
        <v>46296.41180555556</v>
      </c>
      <c r="E18" s="2" t="n">
        <v>46296.74513888889</v>
      </c>
      <c r="F18" t="inlineStr">
        <is>
          <t>M3</t>
        </is>
      </c>
      <c r="G18" t="inlineStr">
        <is>
          <t>C3</t>
        </is>
      </c>
      <c r="H18" s="2" t="n">
        <v>46296.43680555555</v>
      </c>
      <c r="I18" s="2" t="n">
        <v>46296.57986111111</v>
      </c>
      <c r="J18" t="inlineStr">
        <is>
          <t>Completed</t>
        </is>
      </c>
      <c r="K18" t="n">
        <v>4.03</v>
      </c>
      <c r="L18" t="n">
        <v>8</v>
      </c>
      <c r="M18" t="b">
        <v>0</v>
      </c>
      <c r="N18" t="n">
        <v>1</v>
      </c>
      <c r="O18" t="b">
        <v>0</v>
      </c>
      <c r="P18" t="b">
        <v>1</v>
      </c>
      <c r="Q18" t="b">
        <v>1</v>
      </c>
    </row>
    <row r="19">
      <c r="A19" t="inlineStr">
        <is>
          <t>REQ00018</t>
        </is>
      </c>
      <c r="B19" t="inlineStr">
        <is>
          <t>984500EEC6F1A5YA2F83</t>
        </is>
      </c>
      <c r="C19" t="inlineStr">
        <is>
          <t>signatory_change</t>
        </is>
      </c>
      <c r="D19" s="2" t="n">
        <v>46296.41319444445</v>
      </c>
      <c r="E19" s="2" t="n">
        <v>46296.74652777778</v>
      </c>
      <c r="F19" t="inlineStr">
        <is>
          <t>M2</t>
        </is>
      </c>
      <c r="G19" t="inlineStr">
        <is>
          <t>C2</t>
        </is>
      </c>
      <c r="H19" s="2" t="n">
        <v>46296.45486111111</v>
      </c>
      <c r="I19" s="2" t="n">
        <v>46296.46180555555</v>
      </c>
      <c r="J19" t="inlineStr">
        <is>
          <t>Completed</t>
        </is>
      </c>
      <c r="K19" t="n">
        <v>1.16</v>
      </c>
      <c r="L19" t="n">
        <v>8</v>
      </c>
      <c r="M19" t="b">
        <v>0</v>
      </c>
      <c r="N19" t="n">
        <v>0</v>
      </c>
      <c r="O19" t="b">
        <v>1</v>
      </c>
      <c r="P19" t="b">
        <v>0</v>
      </c>
      <c r="Q19" t="b">
        <v>0</v>
      </c>
    </row>
    <row r="20">
      <c r="A20" t="inlineStr">
        <is>
          <t>REQ00019</t>
        </is>
      </c>
      <c r="B20" t="inlineStr">
        <is>
          <t>9676005VMERFJU5QF874</t>
        </is>
      </c>
      <c r="C20" t="inlineStr">
        <is>
          <t>new_account</t>
        </is>
      </c>
      <c r="D20" s="2" t="n">
        <v>46296.41666666666</v>
      </c>
      <c r="E20" s="2" t="n">
        <v>46297.70833333334</v>
      </c>
      <c r="F20" t="inlineStr">
        <is>
          <t>M5</t>
        </is>
      </c>
      <c r="G20" t="inlineStr">
        <is>
          <t>C1</t>
        </is>
      </c>
      <c r="H20" s="2" t="n">
        <v>46296.47152777778</v>
      </c>
      <c r="I20" s="2" t="n">
        <v>46296.48888888889</v>
      </c>
      <c r="J20" t="inlineStr">
        <is>
          <t>Completed</t>
        </is>
      </c>
      <c r="K20" t="n">
        <v>1.73</v>
      </c>
      <c r="L20" t="n">
        <v>16</v>
      </c>
      <c r="M20" t="b">
        <v>0</v>
      </c>
      <c r="N20" t="n">
        <v>0</v>
      </c>
      <c r="O20" t="b">
        <v>1</v>
      </c>
      <c r="P20" t="b">
        <v>0</v>
      </c>
      <c r="Q20" t="b">
        <v>0</v>
      </c>
    </row>
    <row r="21">
      <c r="A21" t="inlineStr">
        <is>
          <t>REQ00020</t>
        </is>
      </c>
      <c r="B21" t="inlineStr">
        <is>
          <t>6488V09JFI1F06L46X06</t>
        </is>
      </c>
      <c r="C21" t="inlineStr">
        <is>
          <t>new_account</t>
        </is>
      </c>
      <c r="D21" s="2" t="n">
        <v>46296.41736111111</v>
      </c>
      <c r="E21" s="2" t="n">
        <v>46297.70902777778</v>
      </c>
      <c r="F21" t="inlineStr">
        <is>
          <t>M4</t>
        </is>
      </c>
      <c r="G21" t="inlineStr">
        <is>
          <t>C1</t>
        </is>
      </c>
      <c r="H21" s="2" t="n">
        <v>46296.46805555555</v>
      </c>
      <c r="I21" s="2" t="n">
        <v>46296.47847222222</v>
      </c>
      <c r="J21" t="inlineStr">
        <is>
          <t>Completed</t>
        </is>
      </c>
      <c r="K21" t="n">
        <v>1.46</v>
      </c>
      <c r="L21" t="n">
        <v>16</v>
      </c>
      <c r="M21" t="b">
        <v>0</v>
      </c>
      <c r="N21" t="n">
        <v>0</v>
      </c>
      <c r="O21" t="b">
        <v>1</v>
      </c>
      <c r="P21" t="b">
        <v>0</v>
      </c>
      <c r="Q21" t="b">
        <v>0</v>
      </c>
    </row>
    <row r="22">
      <c r="A22" t="inlineStr">
        <is>
          <t>REQ00021</t>
        </is>
      </c>
      <c r="B22" t="inlineStr">
        <is>
          <t>3912004Y6VJXHNF6OH72</t>
        </is>
      </c>
      <c r="C22" t="inlineStr">
        <is>
          <t>new_account</t>
        </is>
      </c>
      <c r="D22" s="2" t="n">
        <v>46296.42638888889</v>
      </c>
      <c r="E22" s="2" t="n">
        <v>46297.71805555555</v>
      </c>
      <c r="F22" t="inlineStr">
        <is>
          <t>M1</t>
        </is>
      </c>
      <c r="G22" t="inlineStr">
        <is>
          <t>C3</t>
        </is>
      </c>
      <c r="H22" s="2" t="n">
        <v>46296.47013888889</v>
      </c>
      <c r="I22" s="2" t="n">
        <v>46296.48055555556</v>
      </c>
      <c r="J22" t="inlineStr">
        <is>
          <t>Completed</t>
        </is>
      </c>
      <c r="K22" t="n">
        <v>1.3</v>
      </c>
      <c r="L22" t="n">
        <v>16</v>
      </c>
      <c r="M22" t="b">
        <v>0</v>
      </c>
      <c r="N22" t="n">
        <v>0</v>
      </c>
      <c r="O22" t="b">
        <v>1</v>
      </c>
      <c r="P22" t="b">
        <v>0</v>
      </c>
      <c r="Q22" t="b">
        <v>0</v>
      </c>
    </row>
    <row r="23">
      <c r="A23" t="inlineStr">
        <is>
          <t>REQ00022</t>
        </is>
      </c>
      <c r="B23" t="inlineStr">
        <is>
          <t>894500BX4J0G3V4H3J09</t>
        </is>
      </c>
      <c r="C23" t="inlineStr">
        <is>
          <t>document_refresh</t>
        </is>
      </c>
      <c r="D23" s="2" t="n">
        <v>46296.42916666667</v>
      </c>
      <c r="E23" s="2" t="n">
        <v>46297.55416666667</v>
      </c>
      <c r="F23" t="inlineStr">
        <is>
          <t>M3</t>
        </is>
      </c>
      <c r="G23" t="inlineStr">
        <is>
          <t>C1</t>
        </is>
      </c>
      <c r="H23" s="2" t="n">
        <v>46296.44652777778</v>
      </c>
      <c r="I23" s="2" t="n">
        <v>46296.45138888889</v>
      </c>
      <c r="J23" t="inlineStr">
        <is>
          <t>Completed</t>
        </is>
      </c>
      <c r="K23" t="n">
        <v>0.53</v>
      </c>
      <c r="L23" t="n">
        <v>12</v>
      </c>
      <c r="M23" t="b">
        <v>0</v>
      </c>
      <c r="N23" t="n">
        <v>0</v>
      </c>
      <c r="O23" t="b">
        <v>1</v>
      </c>
      <c r="P23" t="b">
        <v>0</v>
      </c>
      <c r="Q23" t="b">
        <v>0</v>
      </c>
    </row>
    <row r="24">
      <c r="A24" t="inlineStr">
        <is>
          <t>REQ00023</t>
        </is>
      </c>
      <c r="B24" t="inlineStr">
        <is>
          <t>335800I1WSU4PUZCR572</t>
        </is>
      </c>
      <c r="C24" t="inlineStr">
        <is>
          <t>signatory_change</t>
        </is>
      </c>
      <c r="D24" s="2" t="n">
        <v>46296.43402777778</v>
      </c>
      <c r="E24" s="2" t="n">
        <v>46297.39236111111</v>
      </c>
      <c r="F24" t="inlineStr">
        <is>
          <t>M6</t>
        </is>
      </c>
      <c r="G24" t="inlineStr">
        <is>
          <t>C3</t>
        </is>
      </c>
      <c r="H24" s="2" t="n">
        <v>46296.46666666667</v>
      </c>
      <c r="I24" s="2" t="n">
        <v>46296.47291666667</v>
      </c>
      <c r="J24" t="inlineStr">
        <is>
          <t>Completed</t>
        </is>
      </c>
      <c r="K24" t="n">
        <v>0.9399999999999999</v>
      </c>
      <c r="L24" t="n">
        <v>8</v>
      </c>
      <c r="M24" t="b">
        <v>0</v>
      </c>
      <c r="N24" t="n">
        <v>0</v>
      </c>
      <c r="O24" t="b">
        <v>1</v>
      </c>
      <c r="P24" t="b">
        <v>0</v>
      </c>
      <c r="Q24" t="b">
        <v>0</v>
      </c>
    </row>
    <row r="25">
      <c r="A25" t="inlineStr">
        <is>
          <t>REQ00024</t>
        </is>
      </c>
      <c r="B25" t="inlineStr">
        <is>
          <t>2549006BQCZBAEXOJO31</t>
        </is>
      </c>
      <c r="C25" t="inlineStr">
        <is>
          <t>new_account</t>
        </is>
      </c>
      <c r="D25" s="2" t="n">
        <v>46296.43541666667</v>
      </c>
      <c r="E25" s="2" t="n">
        <v>46297.72708333333</v>
      </c>
      <c r="F25" t="inlineStr">
        <is>
          <t>M3</t>
        </is>
      </c>
      <c r="G25" t="inlineStr">
        <is>
          <t>C2</t>
        </is>
      </c>
      <c r="H25" s="2" t="n">
        <v>46296.46944444445</v>
      </c>
      <c r="I25" s="2" t="n">
        <v>46296.47847222222</v>
      </c>
      <c r="J25" t="inlineStr">
        <is>
          <t>Completed</t>
        </is>
      </c>
      <c r="K25" t="n">
        <v>1.03</v>
      </c>
      <c r="L25" t="n">
        <v>16</v>
      </c>
      <c r="M25" t="b">
        <v>0</v>
      </c>
      <c r="N25" t="n">
        <v>0</v>
      </c>
      <c r="O25" t="b">
        <v>1</v>
      </c>
      <c r="P25" t="b">
        <v>0</v>
      </c>
      <c r="Q25" t="b">
        <v>0</v>
      </c>
    </row>
    <row r="26">
      <c r="A26" t="inlineStr">
        <is>
          <t>REQ00025</t>
        </is>
      </c>
      <c r="B26" t="inlineStr">
        <is>
          <t>969500NWWCEGPLUUQY61</t>
        </is>
      </c>
      <c r="C26" t="inlineStr">
        <is>
          <t>document_refresh</t>
        </is>
      </c>
      <c r="D26" s="2" t="n">
        <v>46296.44236111111</v>
      </c>
      <c r="E26" s="2" t="n">
        <v>46297.56736111111</v>
      </c>
      <c r="F26" t="inlineStr">
        <is>
          <t>M2</t>
        </is>
      </c>
      <c r="G26" t="inlineStr">
        <is>
          <t>C1</t>
        </is>
      </c>
      <c r="H26" s="2" t="n">
        <v>46296.46527777778</v>
      </c>
      <c r="I26" s="2" t="n">
        <v>46296.70763888889</v>
      </c>
      <c r="J26" t="inlineStr">
        <is>
          <t>Completed</t>
        </is>
      </c>
      <c r="K26" t="n">
        <v>6.36</v>
      </c>
      <c r="L26" t="n">
        <v>12</v>
      </c>
      <c r="M26" t="b">
        <v>0</v>
      </c>
      <c r="N26" t="n">
        <v>0</v>
      </c>
      <c r="O26" t="b">
        <v>1</v>
      </c>
      <c r="P26" t="b">
        <v>0</v>
      </c>
      <c r="Q26" t="b">
        <v>1</v>
      </c>
    </row>
    <row r="27">
      <c r="A27" t="inlineStr">
        <is>
          <t>REQ00026</t>
        </is>
      </c>
      <c r="B27" t="inlineStr">
        <is>
          <t>549300CX58FGNTG1RC07</t>
        </is>
      </c>
      <c r="C27" t="inlineStr">
        <is>
          <t>new_account</t>
        </is>
      </c>
      <c r="D27" s="2" t="n">
        <v>46296.44583333333</v>
      </c>
      <c r="E27" s="2" t="n">
        <v>46297.7375</v>
      </c>
      <c r="F27" t="inlineStr">
        <is>
          <t>M2</t>
        </is>
      </c>
      <c r="G27" t="inlineStr">
        <is>
          <t>C3</t>
        </is>
      </c>
      <c r="H27" s="2" t="n">
        <v>46296.50416666667</v>
      </c>
      <c r="I27" s="2" t="n">
        <v>46296.64236111111</v>
      </c>
      <c r="J27" t="inlineStr">
        <is>
          <t>Completed</t>
        </is>
      </c>
      <c r="K27" t="n">
        <v>4.72</v>
      </c>
      <c r="L27" t="n">
        <v>16</v>
      </c>
      <c r="M27" t="b">
        <v>0</v>
      </c>
      <c r="N27" t="n">
        <v>0</v>
      </c>
      <c r="O27" t="b">
        <v>1</v>
      </c>
      <c r="P27" t="b">
        <v>0</v>
      </c>
      <c r="Q27" t="b">
        <v>1</v>
      </c>
    </row>
    <row r="28">
      <c r="A28" t="inlineStr">
        <is>
          <t>REQ00027</t>
        </is>
      </c>
      <c r="B28" t="inlineStr">
        <is>
          <t>549300BTPD3ND674TQ55</t>
        </is>
      </c>
      <c r="C28" t="inlineStr">
        <is>
          <t>new_account</t>
        </is>
      </c>
      <c r="D28" s="2" t="n">
        <v>46296.45069444444</v>
      </c>
      <c r="E28" s="2" t="n">
        <v>46297.74236111111</v>
      </c>
      <c r="F28" t="inlineStr">
        <is>
          <t>M6</t>
        </is>
      </c>
      <c r="G28" t="inlineStr">
        <is>
          <t>C2</t>
        </is>
      </c>
      <c r="H28" s="2" t="n">
        <v>46296.49375</v>
      </c>
      <c r="I28" s="2" t="n">
        <v>46296.66944444444</v>
      </c>
      <c r="J28" t="inlineStr">
        <is>
          <t>Completed</t>
        </is>
      </c>
      <c r="K28" t="n">
        <v>5.25</v>
      </c>
      <c r="L28" t="n">
        <v>16</v>
      </c>
      <c r="M28" t="b">
        <v>0</v>
      </c>
      <c r="N28" t="n">
        <v>0</v>
      </c>
      <c r="O28" t="b">
        <v>1</v>
      </c>
      <c r="P28" t="b">
        <v>0</v>
      </c>
      <c r="Q28" t="b">
        <v>1</v>
      </c>
    </row>
    <row r="29">
      <c r="A29" t="inlineStr">
        <is>
          <t>REQ00028</t>
        </is>
      </c>
      <c r="B29" t="inlineStr">
        <is>
          <t>1595SGHGVT0T4QGS9320</t>
        </is>
      </c>
      <c r="C29" t="inlineStr">
        <is>
          <t>document_refresh</t>
        </is>
      </c>
      <c r="D29" s="2" t="n">
        <v>46296.45833333334</v>
      </c>
      <c r="E29" s="2" t="n">
        <v>46297.58333333334</v>
      </c>
      <c r="F29" t="inlineStr">
        <is>
          <t>M4</t>
        </is>
      </c>
      <c r="G29" t="inlineStr">
        <is>
          <t>C1</t>
        </is>
      </c>
      <c r="H29" s="2" t="n">
        <v>46296.47986111111</v>
      </c>
      <c r="I29" s="2" t="n">
        <v>46296.64861111111</v>
      </c>
      <c r="J29" t="inlineStr">
        <is>
          <t>Completed</t>
        </is>
      </c>
      <c r="K29" t="n">
        <v>4.57</v>
      </c>
      <c r="L29" t="n">
        <v>12</v>
      </c>
      <c r="M29" t="b">
        <v>0</v>
      </c>
      <c r="N29" t="n">
        <v>0</v>
      </c>
      <c r="O29" t="b">
        <v>1</v>
      </c>
      <c r="P29" t="b">
        <v>0</v>
      </c>
      <c r="Q29" t="b">
        <v>1</v>
      </c>
    </row>
    <row r="30">
      <c r="A30" t="inlineStr">
        <is>
          <t>REQ00029</t>
        </is>
      </c>
      <c r="B30" t="inlineStr">
        <is>
          <t>391200VEP8JTCIG0G592</t>
        </is>
      </c>
      <c r="C30" t="inlineStr">
        <is>
          <t>signatory_change</t>
        </is>
      </c>
      <c r="D30" s="2" t="n">
        <v>46296.45833333334</v>
      </c>
      <c r="E30" s="2" t="n">
        <v>46297.41666666666</v>
      </c>
      <c r="F30" t="inlineStr">
        <is>
          <t>M3</t>
        </is>
      </c>
      <c r="G30" t="inlineStr">
        <is>
          <t>C2</t>
        </is>
      </c>
      <c r="H30" s="2" t="n">
        <v>46296.48888888889</v>
      </c>
      <c r="I30" s="2" t="n">
        <v>46296.49513888889</v>
      </c>
      <c r="J30" t="inlineStr">
        <is>
          <t>Completed</t>
        </is>
      </c>
      <c r="K30" t="n">
        <v>0.89</v>
      </c>
      <c r="L30" t="n">
        <v>8</v>
      </c>
      <c r="M30" t="b">
        <v>0</v>
      </c>
      <c r="N30" t="n">
        <v>0</v>
      </c>
      <c r="O30" t="b">
        <v>1</v>
      </c>
      <c r="P30" t="b">
        <v>0</v>
      </c>
      <c r="Q30" t="b">
        <v>0</v>
      </c>
    </row>
    <row r="31">
      <c r="A31" t="inlineStr">
        <is>
          <t>REQ00030</t>
        </is>
      </c>
      <c r="B31" t="inlineStr">
        <is>
          <t>254900C25E2GON39C965</t>
        </is>
      </c>
      <c r="C31" t="inlineStr">
        <is>
          <t>new_account</t>
        </is>
      </c>
      <c r="D31" s="2" t="n">
        <v>46296.45902777778</v>
      </c>
      <c r="E31" s="2" t="n">
        <v>46300.37569444445</v>
      </c>
      <c r="F31" t="inlineStr">
        <is>
          <t>M1</t>
        </is>
      </c>
      <c r="G31" t="inlineStr">
        <is>
          <t>C3</t>
        </is>
      </c>
      <c r="H31" s="2" t="n">
        <v>46296.50555555556</v>
      </c>
      <c r="I31" s="2" t="n">
        <v>46296.60277777778</v>
      </c>
      <c r="J31" t="inlineStr">
        <is>
          <t>Completed</t>
        </is>
      </c>
      <c r="K31" t="n">
        <v>3.45</v>
      </c>
      <c r="L31" t="n">
        <v>16</v>
      </c>
      <c r="M31" t="b">
        <v>0</v>
      </c>
      <c r="N31" t="n">
        <v>0</v>
      </c>
      <c r="O31" t="b">
        <v>1</v>
      </c>
      <c r="P31" t="b">
        <v>0</v>
      </c>
      <c r="Q31" t="b">
        <v>1</v>
      </c>
    </row>
    <row r="32">
      <c r="A32" t="inlineStr">
        <is>
          <t>REQ00031</t>
        </is>
      </c>
      <c r="B32" t="inlineStr">
        <is>
          <t>391200RKYPH0CYQU7D50</t>
        </is>
      </c>
      <c r="C32" t="inlineStr">
        <is>
          <t>new_account</t>
        </is>
      </c>
      <c r="D32" s="2" t="n">
        <v>46296.46597222222</v>
      </c>
      <c r="E32" s="2" t="n">
        <v>46300.38263888889</v>
      </c>
      <c r="F32" t="inlineStr">
        <is>
          <t>M5</t>
        </is>
      </c>
      <c r="G32" t="inlineStr">
        <is>
          <t>C2</t>
        </is>
      </c>
      <c r="H32" s="2" t="n">
        <v>46296.50833333333</v>
      </c>
      <c r="I32" s="2" t="n">
        <v>46296.51805555556</v>
      </c>
      <c r="J32" t="inlineStr">
        <is>
          <t>Completed</t>
        </is>
      </c>
      <c r="K32" t="n">
        <v>1.24</v>
      </c>
      <c r="L32" t="n">
        <v>16</v>
      </c>
      <c r="M32" t="b">
        <v>0</v>
      </c>
      <c r="N32" t="n">
        <v>0</v>
      </c>
      <c r="O32" t="b">
        <v>1</v>
      </c>
      <c r="P32" t="b">
        <v>0</v>
      </c>
      <c r="Q32" t="b">
        <v>0</v>
      </c>
    </row>
    <row r="33">
      <c r="A33" t="inlineStr">
        <is>
          <t>REQ00032</t>
        </is>
      </c>
      <c r="B33" t="inlineStr">
        <is>
          <t>984500AD6F0C99660D39</t>
        </is>
      </c>
      <c r="C33" t="inlineStr">
        <is>
          <t>document_refresh</t>
        </is>
      </c>
      <c r="D33" s="2" t="n">
        <v>46296.47013888889</v>
      </c>
      <c r="E33" s="2" t="n">
        <v>46297.59513888889</v>
      </c>
      <c r="F33" t="inlineStr">
        <is>
          <t>M4</t>
        </is>
      </c>
      <c r="G33" t="inlineStr">
        <is>
          <t>C3</t>
        </is>
      </c>
      <c r="H33" s="2" t="n">
        <v>46296.49097222222</v>
      </c>
      <c r="I33" s="2" t="n">
        <v>46296.49791666667</v>
      </c>
      <c r="J33" t="inlineStr">
        <is>
          <t>Completed</t>
        </is>
      </c>
      <c r="K33" t="n">
        <v>0.67</v>
      </c>
      <c r="L33" t="n">
        <v>12</v>
      </c>
      <c r="M33" t="b">
        <v>0</v>
      </c>
      <c r="N33" t="n">
        <v>0</v>
      </c>
      <c r="O33" t="b">
        <v>1</v>
      </c>
      <c r="P33" t="b">
        <v>0</v>
      </c>
      <c r="Q33" t="b">
        <v>0</v>
      </c>
    </row>
    <row r="34">
      <c r="A34" t="inlineStr">
        <is>
          <t>REQ00033</t>
        </is>
      </c>
      <c r="B34" t="inlineStr">
        <is>
          <t>335800WCC1SW7R9PCJ03</t>
        </is>
      </c>
      <c r="C34" t="inlineStr">
        <is>
          <t>signatory_change</t>
        </is>
      </c>
      <c r="D34" s="2" t="n">
        <v>46296.47291666667</v>
      </c>
      <c r="E34" s="2" t="n">
        <v>46297.43125</v>
      </c>
      <c r="F34" t="inlineStr">
        <is>
          <t>M3</t>
        </is>
      </c>
      <c r="G34" t="inlineStr">
        <is>
          <t>C3</t>
        </is>
      </c>
      <c r="H34" s="2" t="n">
        <v>46296.51388888889</v>
      </c>
      <c r="I34" s="2" t="n">
        <v>46296.52222222222</v>
      </c>
      <c r="J34" t="inlineStr">
        <is>
          <t>Completed</t>
        </is>
      </c>
      <c r="K34" t="n">
        <v>1.18</v>
      </c>
      <c r="L34" t="n">
        <v>8</v>
      </c>
      <c r="M34" t="b">
        <v>0</v>
      </c>
      <c r="N34" t="n">
        <v>0</v>
      </c>
      <c r="O34" t="b">
        <v>1</v>
      </c>
      <c r="P34" t="b">
        <v>0</v>
      </c>
      <c r="Q34" t="b">
        <v>0</v>
      </c>
    </row>
    <row r="35">
      <c r="A35" t="inlineStr">
        <is>
          <t>REQ00034</t>
        </is>
      </c>
      <c r="B35" t="inlineStr">
        <is>
          <t>391200H6V7IAU1GI1H44</t>
        </is>
      </c>
      <c r="C35" t="inlineStr">
        <is>
          <t>new_account</t>
        </is>
      </c>
      <c r="D35" s="2" t="n">
        <v>46296.47777777778</v>
      </c>
      <c r="E35" s="2" t="n">
        <v>46300.39444444444</v>
      </c>
      <c r="F35" t="inlineStr">
        <is>
          <t>M4</t>
        </is>
      </c>
      <c r="G35" t="inlineStr">
        <is>
          <t>C1</t>
        </is>
      </c>
      <c r="H35" s="2" t="n">
        <v>46296.51944444444</v>
      </c>
      <c r="I35" s="2" t="n">
        <v>46296.52777777778</v>
      </c>
      <c r="J35" t="inlineStr">
        <is>
          <t>Completed</t>
        </is>
      </c>
      <c r="K35" t="n">
        <v>1.21</v>
      </c>
      <c r="L35" t="n">
        <v>16</v>
      </c>
      <c r="M35" t="b">
        <v>0</v>
      </c>
      <c r="N35" t="n">
        <v>0</v>
      </c>
      <c r="O35" t="b">
        <v>1</v>
      </c>
      <c r="P35" t="b">
        <v>0</v>
      </c>
      <c r="Q35" t="b">
        <v>0</v>
      </c>
    </row>
    <row r="36">
      <c r="A36" t="inlineStr">
        <is>
          <t>REQ00035</t>
        </is>
      </c>
      <c r="B36" t="inlineStr">
        <is>
          <t>969500BZ0M80CM3HC847</t>
        </is>
      </c>
      <c r="C36" t="inlineStr">
        <is>
          <t>document_refresh</t>
        </is>
      </c>
      <c r="D36" s="2" t="n">
        <v>46296.47986111111</v>
      </c>
      <c r="E36" s="2" t="n">
        <v>46297.60486111111</v>
      </c>
      <c r="F36" t="inlineStr">
        <is>
          <t>M6</t>
        </is>
      </c>
      <c r="G36" t="inlineStr">
        <is>
          <t>C1</t>
        </is>
      </c>
      <c r="H36" s="2" t="n">
        <v>46296.50833333333</v>
      </c>
      <c r="I36" s="2" t="n">
        <v>46296.67152777778</v>
      </c>
      <c r="J36" t="inlineStr">
        <is>
          <t>Completed</t>
        </is>
      </c>
      <c r="K36" t="n">
        <v>4.6</v>
      </c>
      <c r="L36" t="n">
        <v>12</v>
      </c>
      <c r="M36" t="b">
        <v>0</v>
      </c>
      <c r="N36" t="n">
        <v>0</v>
      </c>
      <c r="O36" t="b">
        <v>1</v>
      </c>
      <c r="P36" t="b">
        <v>0</v>
      </c>
      <c r="Q36" t="b">
        <v>1</v>
      </c>
    </row>
    <row r="37">
      <c r="A37" t="inlineStr">
        <is>
          <t>REQ00036</t>
        </is>
      </c>
      <c r="B37" t="inlineStr">
        <is>
          <t>8945008DHCSZWAKJNY79</t>
        </is>
      </c>
      <c r="C37" t="inlineStr">
        <is>
          <t>signatory_change</t>
        </is>
      </c>
      <c r="D37" s="2" t="n">
        <v>46296.48402777778</v>
      </c>
      <c r="E37" s="2" t="n">
        <v>46297.44236111111</v>
      </c>
      <c r="F37" t="inlineStr">
        <is>
          <t>M2</t>
        </is>
      </c>
      <c r="G37" t="inlineStr">
        <is>
          <t>C3</t>
        </is>
      </c>
      <c r="H37" s="2" t="n">
        <v>46296.52777777778</v>
      </c>
      <c r="I37" s="2" t="n">
        <v>46296.69722222222</v>
      </c>
      <c r="J37" t="inlineStr">
        <is>
          <t>Completed</t>
        </is>
      </c>
      <c r="K37" t="n">
        <v>5.12</v>
      </c>
      <c r="L37" t="n">
        <v>8</v>
      </c>
      <c r="M37" t="b">
        <v>0</v>
      </c>
      <c r="N37" t="n">
        <v>0</v>
      </c>
      <c r="O37" t="b">
        <v>1</v>
      </c>
      <c r="P37" t="b">
        <v>0</v>
      </c>
      <c r="Q37" t="b">
        <v>1</v>
      </c>
    </row>
    <row r="38">
      <c r="A38" t="inlineStr">
        <is>
          <t>REQ00037</t>
        </is>
      </c>
      <c r="B38" t="inlineStr">
        <is>
          <t>8945009OFRYLO59X8836</t>
        </is>
      </c>
      <c r="C38" t="inlineStr">
        <is>
          <t>data_amendment</t>
        </is>
      </c>
      <c r="D38" s="2" t="n">
        <v>46296.48402777778</v>
      </c>
      <c r="E38" s="2" t="n">
        <v>46297.44236111111</v>
      </c>
      <c r="F38" t="inlineStr">
        <is>
          <t>M1</t>
        </is>
      </c>
      <c r="G38" t="inlineStr">
        <is>
          <t>C2</t>
        </is>
      </c>
      <c r="H38" s="2" t="n">
        <v>46296.51666666667</v>
      </c>
      <c r="I38" s="2" t="n">
        <v>46296.52222222222</v>
      </c>
      <c r="J38" t="inlineStr">
        <is>
          <t>Completed</t>
        </is>
      </c>
      <c r="K38" t="n">
        <v>0.92</v>
      </c>
      <c r="L38" t="n">
        <v>8</v>
      </c>
      <c r="M38" t="b">
        <v>0</v>
      </c>
      <c r="N38" t="n">
        <v>0</v>
      </c>
      <c r="O38" t="b">
        <v>1</v>
      </c>
      <c r="P38" t="b">
        <v>0</v>
      </c>
      <c r="Q38" t="b">
        <v>0</v>
      </c>
    </row>
    <row r="39">
      <c r="A39" t="inlineStr">
        <is>
          <t>REQ00038</t>
        </is>
      </c>
      <c r="B39" t="inlineStr">
        <is>
          <t>335800DVLSRR91NAJE16</t>
        </is>
      </c>
      <c r="C39" t="inlineStr">
        <is>
          <t>new_account</t>
        </is>
      </c>
      <c r="D39" s="2" t="n">
        <v>46296.49027777778</v>
      </c>
      <c r="E39" s="2" t="n">
        <v>46300.40694444445</v>
      </c>
      <c r="F39" t="inlineStr">
        <is>
          <t>M6</t>
        </is>
      </c>
      <c r="G39" t="inlineStr">
        <is>
          <t>C2</t>
        </is>
      </c>
      <c r="H39" s="2" t="n">
        <v>46296.54097222222</v>
      </c>
      <c r="I39" s="2" t="n">
        <v>46296.55069444444</v>
      </c>
      <c r="J39" t="inlineStr">
        <is>
          <t>Completed</t>
        </is>
      </c>
      <c r="K39" t="n">
        <v>1.45</v>
      </c>
      <c r="L39" t="n">
        <v>16</v>
      </c>
      <c r="M39" t="b">
        <v>0</v>
      </c>
      <c r="N39" t="n">
        <v>0</v>
      </c>
      <c r="O39" t="b">
        <v>1</v>
      </c>
      <c r="P39" t="b">
        <v>0</v>
      </c>
      <c r="Q39" t="b">
        <v>0</v>
      </c>
    </row>
    <row r="40">
      <c r="A40" t="inlineStr">
        <is>
          <t>REQ00039</t>
        </is>
      </c>
      <c r="B40" t="inlineStr">
        <is>
          <t>213800KU27ZPIIAKYB40</t>
        </is>
      </c>
      <c r="C40" t="inlineStr">
        <is>
          <t>signatory_change</t>
        </is>
      </c>
      <c r="D40" s="2" t="n">
        <v>46296.49652777778</v>
      </c>
      <c r="E40" s="2" t="n">
        <v>46297.45486111111</v>
      </c>
      <c r="F40" t="inlineStr">
        <is>
          <t>M5</t>
        </is>
      </c>
      <c r="G40" t="inlineStr">
        <is>
          <t>C1</t>
        </is>
      </c>
      <c r="H40" s="2" t="n">
        <v>46296.52638888889</v>
      </c>
      <c r="I40" s="2" t="n">
        <v>46296.63680555556</v>
      </c>
      <c r="J40" t="inlineStr">
        <is>
          <t>Completed</t>
        </is>
      </c>
      <c r="K40" t="n">
        <v>3.36</v>
      </c>
      <c r="L40" t="n">
        <v>8</v>
      </c>
      <c r="M40" t="b">
        <v>0</v>
      </c>
      <c r="N40" t="n">
        <v>0</v>
      </c>
      <c r="O40" t="b">
        <v>1</v>
      </c>
      <c r="P40" t="b">
        <v>0</v>
      </c>
      <c r="Q40" t="b">
        <v>1</v>
      </c>
    </row>
    <row r="41">
      <c r="A41" t="inlineStr">
        <is>
          <t>REQ00040</t>
        </is>
      </c>
      <c r="B41" t="inlineStr">
        <is>
          <t>335800VOQR1XDIQGZI17</t>
        </is>
      </c>
      <c r="C41" t="inlineStr">
        <is>
          <t>new_account</t>
        </is>
      </c>
      <c r="D41" s="2" t="n">
        <v>46296.49791666667</v>
      </c>
      <c r="E41" s="2" t="n">
        <v>46300.41458333333</v>
      </c>
      <c r="F41" t="inlineStr">
        <is>
          <t>M3</t>
        </is>
      </c>
      <c r="G41" t="inlineStr">
        <is>
          <t>C1</t>
        </is>
      </c>
      <c r="H41" s="2" t="n">
        <v>46296.54305555556</v>
      </c>
      <c r="I41" s="2" t="n">
        <v>46296.66666666666</v>
      </c>
      <c r="J41" t="inlineStr">
        <is>
          <t>Completed</t>
        </is>
      </c>
      <c r="K41" t="n">
        <v>4.05</v>
      </c>
      <c r="L41" t="n">
        <v>16</v>
      </c>
      <c r="M41" t="b">
        <v>0</v>
      </c>
      <c r="N41" t="n">
        <v>0</v>
      </c>
      <c r="O41" t="b">
        <v>1</v>
      </c>
      <c r="P41" t="b">
        <v>0</v>
      </c>
      <c r="Q41" t="b">
        <v>1</v>
      </c>
    </row>
    <row r="42">
      <c r="A42" t="inlineStr">
        <is>
          <t>REQ00041</t>
        </is>
      </c>
      <c r="B42" t="inlineStr">
        <is>
          <t>254900S7OTOH3P1HGX81</t>
        </is>
      </c>
      <c r="C42" t="inlineStr">
        <is>
          <t>data_amendment</t>
        </is>
      </c>
      <c r="D42" s="2" t="n">
        <v>46296.50416666667</v>
      </c>
      <c r="E42" s="2" t="n">
        <v>46297.4625</v>
      </c>
      <c r="F42" t="inlineStr">
        <is>
          <t>M1</t>
        </is>
      </c>
      <c r="G42" t="inlineStr">
        <is>
          <t>C3</t>
        </is>
      </c>
      <c r="H42" s="2" t="n">
        <v>46296.525</v>
      </c>
      <c r="I42" s="2" t="n">
        <v>46296.52847222222</v>
      </c>
      <c r="J42" t="inlineStr">
        <is>
          <t>Completed</t>
        </is>
      </c>
      <c r="K42" t="n">
        <v>0.59</v>
      </c>
      <c r="L42" t="n">
        <v>8</v>
      </c>
      <c r="M42" t="b">
        <v>0</v>
      </c>
      <c r="N42" t="n">
        <v>0</v>
      </c>
      <c r="O42" t="b">
        <v>1</v>
      </c>
      <c r="P42" t="b">
        <v>0</v>
      </c>
      <c r="Q42" t="b">
        <v>0</v>
      </c>
    </row>
    <row r="43">
      <c r="A43" t="inlineStr">
        <is>
          <t>REQ00042</t>
        </is>
      </c>
      <c r="B43" t="inlineStr">
        <is>
          <t>213800GCOJ49Y8OS8897</t>
        </is>
      </c>
      <c r="C43" t="inlineStr">
        <is>
          <t>new_account</t>
        </is>
      </c>
      <c r="D43" s="2" t="n">
        <v>46296.50416666667</v>
      </c>
      <c r="E43" s="2" t="n">
        <v>46300.42083333333</v>
      </c>
      <c r="F43" t="inlineStr">
        <is>
          <t>M4</t>
        </is>
      </c>
      <c r="G43" t="inlineStr">
        <is>
          <t>C1</t>
        </is>
      </c>
      <c r="H43" s="2" t="n">
        <v>46296.55972222222</v>
      </c>
      <c r="I43" s="2" t="n">
        <v>46296.74305555555</v>
      </c>
      <c r="J43" t="inlineStr">
        <is>
          <t>Completed</t>
        </is>
      </c>
      <c r="K43" t="n">
        <v>5.73</v>
      </c>
      <c r="L43" t="n">
        <v>16</v>
      </c>
      <c r="M43" t="b">
        <v>0</v>
      </c>
      <c r="N43" t="n">
        <v>0</v>
      </c>
      <c r="O43" t="b">
        <v>1</v>
      </c>
      <c r="P43" t="b">
        <v>0</v>
      </c>
      <c r="Q43" t="b">
        <v>1</v>
      </c>
    </row>
    <row r="44">
      <c r="A44" t="inlineStr">
        <is>
          <t>REQ00043</t>
        </is>
      </c>
      <c r="B44" t="inlineStr">
        <is>
          <t>724500T5QNS4R39I5O88</t>
        </is>
      </c>
      <c r="C44" t="inlineStr">
        <is>
          <t>new_account</t>
        </is>
      </c>
      <c r="D44" s="2" t="n">
        <v>46296.50694444445</v>
      </c>
      <c r="E44" s="2" t="n">
        <v>46300.42361111111</v>
      </c>
      <c r="F44" t="inlineStr">
        <is>
          <t>M1</t>
        </is>
      </c>
      <c r="G44" t="inlineStr">
        <is>
          <t>C1</t>
        </is>
      </c>
      <c r="H44" s="2" t="n">
        <v>46296.55763888889</v>
      </c>
      <c r="I44" s="2" t="n">
        <v>46296.69305555556</v>
      </c>
      <c r="J44" t="inlineStr">
        <is>
          <t>Completed</t>
        </is>
      </c>
      <c r="K44" t="n">
        <v>4.47</v>
      </c>
      <c r="L44" t="n">
        <v>16</v>
      </c>
      <c r="M44" t="b">
        <v>0</v>
      </c>
      <c r="N44" t="n">
        <v>0</v>
      </c>
      <c r="O44" t="b">
        <v>1</v>
      </c>
      <c r="P44" t="b">
        <v>0</v>
      </c>
      <c r="Q44" t="b">
        <v>1</v>
      </c>
    </row>
    <row r="45">
      <c r="A45" t="inlineStr">
        <is>
          <t>REQ00044</t>
        </is>
      </c>
      <c r="B45" t="inlineStr">
        <is>
          <t>529900DUUPKWSXOBSA82</t>
        </is>
      </c>
      <c r="C45" t="inlineStr">
        <is>
          <t>document_refresh</t>
        </is>
      </c>
      <c r="D45" s="2" t="n">
        <v>46296.51388888889</v>
      </c>
      <c r="E45" s="2" t="n">
        <v>46297.63888888889</v>
      </c>
      <c r="F45" t="inlineStr">
        <is>
          <t>M5</t>
        </is>
      </c>
      <c r="G45" t="inlineStr">
        <is>
          <t>C1</t>
        </is>
      </c>
      <c r="H45" s="2" t="n">
        <v>46296.5375</v>
      </c>
      <c r="I45" s="2" t="n">
        <v>46296.71875</v>
      </c>
      <c r="J45" t="inlineStr">
        <is>
          <t>Completed</t>
        </is>
      </c>
      <c r="K45" t="n">
        <v>4.91</v>
      </c>
      <c r="L45" t="n">
        <v>12</v>
      </c>
      <c r="M45" t="b">
        <v>0</v>
      </c>
      <c r="N45" t="n">
        <v>0</v>
      </c>
      <c r="O45" t="b">
        <v>1</v>
      </c>
      <c r="P45" t="b">
        <v>0</v>
      </c>
      <c r="Q45" t="b">
        <v>1</v>
      </c>
    </row>
    <row r="46">
      <c r="A46" t="inlineStr">
        <is>
          <t>REQ00045</t>
        </is>
      </c>
      <c r="B46" t="inlineStr">
        <is>
          <t>724500EWSHEUBUADEF13</t>
        </is>
      </c>
      <c r="C46" t="inlineStr">
        <is>
          <t>data_amendment</t>
        </is>
      </c>
      <c r="D46" s="2" t="n">
        <v>46296.52291666667</v>
      </c>
      <c r="E46" s="2" t="n">
        <v>46297.48125</v>
      </c>
      <c r="F46" t="inlineStr">
        <is>
          <t>M2</t>
        </is>
      </c>
      <c r="G46" t="inlineStr">
        <is>
          <t>C2</t>
        </is>
      </c>
      <c r="H46" s="2" t="n">
        <v>46296.53611111111</v>
      </c>
      <c r="I46" s="2" t="n">
        <v>46296.70972222222</v>
      </c>
      <c r="J46" t="inlineStr">
        <is>
          <t>Completed</t>
        </is>
      </c>
      <c r="K46" t="n">
        <v>4.49</v>
      </c>
      <c r="L46" t="n">
        <v>8</v>
      </c>
      <c r="M46" t="b">
        <v>0</v>
      </c>
      <c r="N46" t="n">
        <v>0</v>
      </c>
      <c r="O46" t="b">
        <v>1</v>
      </c>
      <c r="P46" t="b">
        <v>0</v>
      </c>
      <c r="Q46" t="b">
        <v>1</v>
      </c>
    </row>
    <row r="47">
      <c r="A47" t="inlineStr">
        <is>
          <t>REQ00046</t>
        </is>
      </c>
      <c r="B47" t="inlineStr">
        <is>
          <t>549300WZBIGRDU4KKJ07</t>
        </is>
      </c>
      <c r="C47" t="inlineStr">
        <is>
          <t>document_refresh</t>
        </is>
      </c>
      <c r="D47" s="2" t="n">
        <v>46296.52777777778</v>
      </c>
      <c r="E47" s="2" t="n">
        <v>46297.65277777778</v>
      </c>
      <c r="F47" t="inlineStr">
        <is>
          <t>M2</t>
        </is>
      </c>
      <c r="G47" t="inlineStr">
        <is>
          <t>C2</t>
        </is>
      </c>
      <c r="H47" s="2" t="n">
        <v>46296.55</v>
      </c>
      <c r="I47" s="2" t="n">
        <v>46296.68541666667</v>
      </c>
      <c r="J47" t="inlineStr">
        <is>
          <t>Completed</t>
        </is>
      </c>
      <c r="K47" t="n">
        <v>3.78</v>
      </c>
      <c r="L47" t="n">
        <v>12</v>
      </c>
      <c r="M47" t="b">
        <v>0</v>
      </c>
      <c r="N47" t="n">
        <v>0</v>
      </c>
      <c r="O47" t="b">
        <v>1</v>
      </c>
      <c r="P47" t="b">
        <v>0</v>
      </c>
      <c r="Q47" t="b">
        <v>1</v>
      </c>
    </row>
    <row r="48">
      <c r="A48" t="inlineStr">
        <is>
          <t>REQ00047</t>
        </is>
      </c>
      <c r="B48" t="inlineStr">
        <is>
          <t>984500B4GEA8CEB85A46</t>
        </is>
      </c>
      <c r="C48" t="inlineStr">
        <is>
          <t>new_account</t>
        </is>
      </c>
      <c r="D48" s="2" t="n">
        <v>46296.54791666667</v>
      </c>
      <c r="E48" s="2" t="n">
        <v>46300.46458333333</v>
      </c>
      <c r="F48" t="inlineStr">
        <is>
          <t>M5</t>
        </is>
      </c>
      <c r="G48" t="inlineStr">
        <is>
          <t>C1</t>
        </is>
      </c>
      <c r="H48" s="2" t="n">
        <v>46296.57777777778</v>
      </c>
      <c r="I48" s="2" t="n">
        <v>46296.58819444444</v>
      </c>
      <c r="J48" t="inlineStr">
        <is>
          <t>Completed</t>
        </is>
      </c>
      <c r="K48" t="n">
        <v>0.97</v>
      </c>
      <c r="L48" t="n">
        <v>16</v>
      </c>
      <c r="M48" t="b">
        <v>0</v>
      </c>
      <c r="N48" t="n">
        <v>0</v>
      </c>
      <c r="O48" t="b">
        <v>1</v>
      </c>
      <c r="P48" t="b">
        <v>0</v>
      </c>
      <c r="Q48" t="b">
        <v>0</v>
      </c>
    </row>
    <row r="49">
      <c r="A49" t="inlineStr">
        <is>
          <t>REQ00048</t>
        </is>
      </c>
      <c r="B49" t="inlineStr">
        <is>
          <t>335800IWZCQ25BILZ113</t>
        </is>
      </c>
      <c r="C49" t="inlineStr">
        <is>
          <t>new_account</t>
        </is>
      </c>
      <c r="D49" s="2" t="n">
        <v>46296.54930555556</v>
      </c>
      <c r="E49" s="2" t="n">
        <v>46300.46597222222</v>
      </c>
      <c r="F49" t="inlineStr">
        <is>
          <t>M6</t>
        </is>
      </c>
      <c r="G49" t="inlineStr">
        <is>
          <t>C3</t>
        </is>
      </c>
      <c r="H49" s="2" t="n">
        <v>46296.57291666666</v>
      </c>
      <c r="I49" s="2" t="n">
        <v>46296.67638888889</v>
      </c>
      <c r="J49" t="inlineStr">
        <is>
          <t>Completed</t>
        </is>
      </c>
      <c r="K49" t="n">
        <v>3.06</v>
      </c>
      <c r="L49" t="n">
        <v>16</v>
      </c>
      <c r="M49" t="b">
        <v>0</v>
      </c>
      <c r="N49" t="n">
        <v>0</v>
      </c>
      <c r="O49" t="b">
        <v>1</v>
      </c>
      <c r="P49" t="b">
        <v>0</v>
      </c>
      <c r="Q49" t="b">
        <v>1</v>
      </c>
    </row>
    <row r="50">
      <c r="A50" t="inlineStr">
        <is>
          <t>REQ00049</t>
        </is>
      </c>
      <c r="B50" t="inlineStr">
        <is>
          <t>984500D4I67F38ECYE67</t>
        </is>
      </c>
      <c r="C50" t="inlineStr">
        <is>
          <t>data_amendment</t>
        </is>
      </c>
      <c r="D50" s="2" t="n">
        <v>46296.55972222222</v>
      </c>
      <c r="E50" s="2" t="n">
        <v>46297.51805555556</v>
      </c>
      <c r="F50" t="inlineStr">
        <is>
          <t>M3</t>
        </is>
      </c>
      <c r="G50" t="inlineStr">
        <is>
          <t>C1</t>
        </is>
      </c>
      <c r="H50" s="2" t="n">
        <v>46296.57013888889</v>
      </c>
      <c r="I50" s="2" t="n">
        <v>46297.41111111111</v>
      </c>
      <c r="J50" t="inlineStr">
        <is>
          <t>Completed</t>
        </is>
      </c>
      <c r="K50" t="n">
        <v>5.44</v>
      </c>
      <c r="L50" t="n">
        <v>8</v>
      </c>
      <c r="M50" t="b">
        <v>0</v>
      </c>
      <c r="N50" t="n">
        <v>0</v>
      </c>
      <c r="O50" t="b">
        <v>1</v>
      </c>
      <c r="P50" t="b">
        <v>0</v>
      </c>
      <c r="Q50" t="b">
        <v>1</v>
      </c>
    </row>
    <row r="51">
      <c r="A51" t="inlineStr">
        <is>
          <t>REQ00050</t>
        </is>
      </c>
      <c r="B51" t="inlineStr">
        <is>
          <t>21380039VRE1ERZRLT08</t>
        </is>
      </c>
      <c r="C51" t="inlineStr">
        <is>
          <t>data_amendment</t>
        </is>
      </c>
      <c r="D51" s="2" t="n">
        <v>46296.56111111111</v>
      </c>
      <c r="E51" s="2" t="n">
        <v>46297.51944444444</v>
      </c>
      <c r="F51" t="inlineStr">
        <is>
          <t>M2</t>
        </is>
      </c>
      <c r="G51" t="inlineStr">
        <is>
          <t>C2</t>
        </is>
      </c>
      <c r="H51" s="2" t="n">
        <v>46296.57291666666</v>
      </c>
      <c r="I51" s="2" t="n">
        <v>46296.57638888889</v>
      </c>
      <c r="J51" t="inlineStr">
        <is>
          <t>Completed</t>
        </is>
      </c>
      <c r="K51" t="n">
        <v>0.37</v>
      </c>
      <c r="L51" t="n">
        <v>8</v>
      </c>
      <c r="M51" t="b">
        <v>0</v>
      </c>
      <c r="N51" t="n">
        <v>0</v>
      </c>
      <c r="O51" t="b">
        <v>1</v>
      </c>
      <c r="P51" t="b">
        <v>0</v>
      </c>
      <c r="Q51" t="b">
        <v>0</v>
      </c>
    </row>
    <row r="52">
      <c r="A52" t="inlineStr">
        <is>
          <t>REQ00051</t>
        </is>
      </c>
      <c r="B52" t="inlineStr">
        <is>
          <t>969500EITW7JCLV5UJ17</t>
        </is>
      </c>
      <c r="C52" t="inlineStr">
        <is>
          <t>signatory_change</t>
        </is>
      </c>
      <c r="D52" s="2" t="n">
        <v>46296.56319444445</v>
      </c>
      <c r="E52" s="2" t="n">
        <v>46297.52152777778</v>
      </c>
      <c r="F52" t="inlineStr">
        <is>
          <t>M1</t>
        </is>
      </c>
      <c r="G52" t="inlineStr">
        <is>
          <t>C2</t>
        </is>
      </c>
      <c r="H52" s="2" t="n">
        <v>46296.58402777778</v>
      </c>
      <c r="I52" s="2" t="n">
        <v>46296.70625</v>
      </c>
      <c r="J52" t="inlineStr">
        <is>
          <t>Completed</t>
        </is>
      </c>
      <c r="K52" t="n">
        <v>3.43</v>
      </c>
      <c r="L52" t="n">
        <v>8</v>
      </c>
      <c r="M52" t="b">
        <v>0</v>
      </c>
      <c r="N52" t="n">
        <v>0</v>
      </c>
      <c r="O52" t="b">
        <v>1</v>
      </c>
      <c r="P52" t="b">
        <v>0</v>
      </c>
      <c r="Q52" t="b">
        <v>1</v>
      </c>
    </row>
    <row r="53">
      <c r="A53" t="inlineStr">
        <is>
          <t>REQ00052</t>
        </is>
      </c>
      <c r="B53" t="inlineStr">
        <is>
          <t>2549007LKSS59DK48Z59</t>
        </is>
      </c>
      <c r="C53" t="inlineStr">
        <is>
          <t>document_refresh</t>
        </is>
      </c>
      <c r="D53" s="2" t="n">
        <v>46296.56388888889</v>
      </c>
      <c r="E53" s="2" t="n">
        <v>46297.68888888889</v>
      </c>
      <c r="F53" t="inlineStr">
        <is>
          <t>M4</t>
        </is>
      </c>
      <c r="G53" t="inlineStr">
        <is>
          <t>C3</t>
        </is>
      </c>
      <c r="H53" s="2" t="n">
        <v>46296.57430555556</v>
      </c>
      <c r="I53" s="2" t="n">
        <v>46296.70625</v>
      </c>
      <c r="J53" t="inlineStr">
        <is>
          <t>Completed</t>
        </is>
      </c>
      <c r="K53" t="n">
        <v>3.42</v>
      </c>
      <c r="L53" t="n">
        <v>12</v>
      </c>
      <c r="M53" t="b">
        <v>0</v>
      </c>
      <c r="N53" t="n">
        <v>0</v>
      </c>
      <c r="O53" t="b">
        <v>1</v>
      </c>
      <c r="P53" t="b">
        <v>0</v>
      </c>
      <c r="Q53" t="b">
        <v>1</v>
      </c>
    </row>
    <row r="54">
      <c r="A54" t="inlineStr">
        <is>
          <t>REQ00053</t>
        </is>
      </c>
      <c r="B54" t="inlineStr">
        <is>
          <t>335800WXKZB7XQO5NK17</t>
        </is>
      </c>
      <c r="C54" t="inlineStr">
        <is>
          <t>new_account</t>
        </is>
      </c>
      <c r="D54" s="2" t="n">
        <v>46296.56875</v>
      </c>
      <c r="E54" s="2" t="n">
        <v>46300.48541666667</v>
      </c>
      <c r="F54" t="inlineStr">
        <is>
          <t>M3</t>
        </is>
      </c>
      <c r="G54" t="inlineStr">
        <is>
          <t>C1</t>
        </is>
      </c>
      <c r="H54" s="2" t="n">
        <v>46296.60902777778</v>
      </c>
      <c r="I54" s="2" t="n">
        <v>46297.48541666667</v>
      </c>
      <c r="J54" t="inlineStr">
        <is>
          <t>Completed</t>
        </is>
      </c>
      <c r="K54" t="n">
        <v>7</v>
      </c>
      <c r="L54" t="n">
        <v>16</v>
      </c>
      <c r="M54" t="b">
        <v>0</v>
      </c>
      <c r="N54" t="n">
        <v>0</v>
      </c>
      <c r="O54" t="b">
        <v>1</v>
      </c>
      <c r="P54" t="b">
        <v>0</v>
      </c>
      <c r="Q54" t="b">
        <v>1</v>
      </c>
    </row>
    <row r="55">
      <c r="A55" t="inlineStr">
        <is>
          <t>REQ00054</t>
        </is>
      </c>
      <c r="B55" t="inlineStr">
        <is>
          <t>967600FZDP8RVLO5SK30</t>
        </is>
      </c>
      <c r="C55" t="inlineStr">
        <is>
          <t>new_account</t>
        </is>
      </c>
      <c r="D55" s="2" t="n">
        <v>46296.58333333334</v>
      </c>
      <c r="E55" s="2" t="n">
        <v>46300.5</v>
      </c>
      <c r="F55" t="inlineStr">
        <is>
          <t>M2</t>
        </is>
      </c>
      <c r="G55" t="inlineStr">
        <is>
          <t>C1</t>
        </is>
      </c>
      <c r="H55" s="2" t="n">
        <v>46296.60625</v>
      </c>
      <c r="I55" s="2" t="n">
        <v>46296.61666666667</v>
      </c>
      <c r="J55" t="inlineStr">
        <is>
          <t>Completed</t>
        </is>
      </c>
      <c r="K55" t="n">
        <v>0.8</v>
      </c>
      <c r="L55" t="n">
        <v>16</v>
      </c>
      <c r="M55" t="b">
        <v>0</v>
      </c>
      <c r="N55" t="n">
        <v>0</v>
      </c>
      <c r="O55" t="b">
        <v>1</v>
      </c>
      <c r="P55" t="b">
        <v>0</v>
      </c>
      <c r="Q55" t="b">
        <v>0</v>
      </c>
    </row>
    <row r="56">
      <c r="A56" t="inlineStr">
        <is>
          <t>REQ00055</t>
        </is>
      </c>
      <c r="B56" t="inlineStr">
        <is>
          <t>529900UZTSTCIAX28J09</t>
        </is>
      </c>
      <c r="C56" t="inlineStr">
        <is>
          <t>signatory_change</t>
        </is>
      </c>
      <c r="D56" s="2" t="n">
        <v>46296.58402777778</v>
      </c>
      <c r="E56" s="2" t="n">
        <v>46297.54236111111</v>
      </c>
      <c r="F56" t="inlineStr">
        <is>
          <t>M6</t>
        </is>
      </c>
      <c r="G56" t="inlineStr">
        <is>
          <t>C1</t>
        </is>
      </c>
      <c r="H56" s="2" t="n">
        <v>46296.60902777778</v>
      </c>
      <c r="I56" s="2" t="n">
        <v>46297.40555555555</v>
      </c>
      <c r="J56" t="inlineStr">
        <is>
          <t>Completed</t>
        </is>
      </c>
      <c r="K56" t="n">
        <v>4.72</v>
      </c>
      <c r="L56" t="n">
        <v>8</v>
      </c>
      <c r="M56" t="b">
        <v>0</v>
      </c>
      <c r="N56" t="n">
        <v>0</v>
      </c>
      <c r="O56" t="b">
        <v>1</v>
      </c>
      <c r="P56" t="b">
        <v>0</v>
      </c>
      <c r="Q56" t="b">
        <v>1</v>
      </c>
    </row>
    <row r="57">
      <c r="A57" t="inlineStr">
        <is>
          <t>REQ00056</t>
        </is>
      </c>
      <c r="B57" t="inlineStr">
        <is>
          <t>391200L0FCBCTVTPFH03</t>
        </is>
      </c>
      <c r="C57" t="inlineStr">
        <is>
          <t>document_refresh</t>
        </is>
      </c>
      <c r="D57" s="2" t="n">
        <v>46296.58888888889</v>
      </c>
      <c r="E57" s="2" t="n">
        <v>46297.71388888889</v>
      </c>
      <c r="F57" t="inlineStr">
        <is>
          <t>M4</t>
        </is>
      </c>
      <c r="G57" t="inlineStr">
        <is>
          <t>C2</t>
        </is>
      </c>
      <c r="H57" s="2" t="n">
        <v>46296.6</v>
      </c>
      <c r="I57" s="2" t="n">
        <v>46296.68958333333</v>
      </c>
      <c r="J57" t="inlineStr">
        <is>
          <t>Completed</t>
        </is>
      </c>
      <c r="K57" t="n">
        <v>2.42</v>
      </c>
      <c r="L57" t="n">
        <v>12</v>
      </c>
      <c r="M57" t="b">
        <v>0</v>
      </c>
      <c r="N57" t="n">
        <v>0</v>
      </c>
      <c r="O57" t="b">
        <v>1</v>
      </c>
      <c r="P57" t="b">
        <v>0</v>
      </c>
      <c r="Q57" t="b">
        <v>1</v>
      </c>
    </row>
    <row r="58">
      <c r="A58" t="inlineStr">
        <is>
          <t>REQ00057</t>
        </is>
      </c>
      <c r="B58" t="inlineStr">
        <is>
          <t>335800TY2UBCKDWO3D10</t>
        </is>
      </c>
      <c r="C58" t="inlineStr">
        <is>
          <t>document_refresh</t>
        </is>
      </c>
      <c r="D58" s="2" t="n">
        <v>46296.59791666667</v>
      </c>
      <c r="E58" s="2" t="n">
        <v>46297.72291666667</v>
      </c>
      <c r="F58" t="inlineStr">
        <is>
          <t>M5</t>
        </is>
      </c>
      <c r="G58" t="inlineStr">
        <is>
          <t>C2</t>
        </is>
      </c>
      <c r="H58" s="2" t="n">
        <v>46296.61458333334</v>
      </c>
      <c r="I58" s="2" t="n">
        <v>46296.63194444445</v>
      </c>
      <c r="J58" t="inlineStr">
        <is>
          <t>Completed</t>
        </is>
      </c>
      <c r="K58" t="n">
        <v>0.82</v>
      </c>
      <c r="L58" t="n">
        <v>12</v>
      </c>
      <c r="M58" t="b">
        <v>0</v>
      </c>
      <c r="N58" t="n">
        <v>1</v>
      </c>
      <c r="O58" t="b">
        <v>0</v>
      </c>
      <c r="P58" t="b">
        <v>1</v>
      </c>
      <c r="Q58" t="b">
        <v>0</v>
      </c>
    </row>
    <row r="59">
      <c r="A59" t="inlineStr">
        <is>
          <t>REQ00058</t>
        </is>
      </c>
      <c r="B59" t="inlineStr">
        <is>
          <t>984500DAA2AEFFBF0F97</t>
        </is>
      </c>
      <c r="C59" t="inlineStr">
        <is>
          <t>document_refresh</t>
        </is>
      </c>
      <c r="D59" s="2" t="n">
        <v>46296.59861111111</v>
      </c>
      <c r="E59" s="2" t="n">
        <v>46297.72361111111</v>
      </c>
      <c r="F59" t="inlineStr">
        <is>
          <t>M1</t>
        </is>
      </c>
      <c r="G59" t="inlineStr">
        <is>
          <t>C3</t>
        </is>
      </c>
      <c r="H59" s="2" t="n">
        <v>46296.61111111111</v>
      </c>
      <c r="I59" s="2" t="n">
        <v>46297.39791666667</v>
      </c>
      <c r="J59" t="inlineStr">
        <is>
          <t>Completed</t>
        </is>
      </c>
      <c r="K59" t="n">
        <v>4.18</v>
      </c>
      <c r="L59" t="n">
        <v>12</v>
      </c>
      <c r="M59" t="b">
        <v>0</v>
      </c>
      <c r="N59" t="n">
        <v>0</v>
      </c>
      <c r="O59" t="b">
        <v>1</v>
      </c>
      <c r="P59" t="b">
        <v>0</v>
      </c>
      <c r="Q59" t="b">
        <v>1</v>
      </c>
    </row>
    <row r="60">
      <c r="A60" t="inlineStr">
        <is>
          <t>REQ00059</t>
        </is>
      </c>
      <c r="B60" t="inlineStr">
        <is>
          <t>222100UCBCW9DDY6TO81</t>
        </is>
      </c>
      <c r="C60" t="inlineStr">
        <is>
          <t>data_amendment</t>
        </is>
      </c>
      <c r="D60" s="2" t="n">
        <v>46296.60208333333</v>
      </c>
      <c r="E60" s="2" t="n">
        <v>46297.56041666667</v>
      </c>
      <c r="F60" t="inlineStr">
        <is>
          <t>M4</t>
        </is>
      </c>
      <c r="G60" t="inlineStr">
        <is>
          <t>C3</t>
        </is>
      </c>
      <c r="H60" s="2" t="n">
        <v>46296.61111111111</v>
      </c>
      <c r="I60" s="2" t="n">
        <v>46296.62083333333</v>
      </c>
      <c r="J60" t="inlineStr">
        <is>
          <t>Completed</t>
        </is>
      </c>
      <c r="K60" t="n">
        <v>0.45</v>
      </c>
      <c r="L60" t="n">
        <v>8</v>
      </c>
      <c r="M60" t="b">
        <v>0</v>
      </c>
      <c r="N60" t="n">
        <v>1</v>
      </c>
      <c r="O60" t="b">
        <v>0</v>
      </c>
      <c r="P60" t="b">
        <v>1</v>
      </c>
      <c r="Q60" t="b">
        <v>0</v>
      </c>
    </row>
    <row r="61">
      <c r="A61" t="inlineStr">
        <is>
          <t>REQ00060</t>
        </is>
      </c>
      <c r="B61" t="inlineStr">
        <is>
          <t>2138002VR78MXZD5JH42</t>
        </is>
      </c>
      <c r="C61" t="inlineStr">
        <is>
          <t>document_refresh</t>
        </is>
      </c>
      <c r="D61" s="2" t="n">
        <v>46296.61180555556</v>
      </c>
      <c r="E61" s="2" t="n">
        <v>46297.73680555556</v>
      </c>
      <c r="F61" t="inlineStr">
        <is>
          <t>M2</t>
        </is>
      </c>
      <c r="G61" t="inlineStr">
        <is>
          <t>C2</t>
        </is>
      </c>
      <c r="H61" s="2" t="n">
        <v>46296.625</v>
      </c>
      <c r="I61" s="2" t="n">
        <v>46297.46805555555</v>
      </c>
      <c r="J61" t="inlineStr">
        <is>
          <t>Completed</t>
        </is>
      </c>
      <c r="K61" t="n">
        <v>5.54</v>
      </c>
      <c r="L61" t="n">
        <v>12</v>
      </c>
      <c r="M61" t="b">
        <v>0</v>
      </c>
      <c r="N61" t="n">
        <v>0</v>
      </c>
      <c r="O61" t="b">
        <v>1</v>
      </c>
      <c r="P61" t="b">
        <v>0</v>
      </c>
      <c r="Q61" t="b">
        <v>1</v>
      </c>
    </row>
    <row r="62">
      <c r="A62" t="inlineStr">
        <is>
          <t>REQ00061</t>
        </is>
      </c>
      <c r="B62" t="inlineStr">
        <is>
          <t>984500BBMA08EDB5IF24</t>
        </is>
      </c>
      <c r="C62" t="inlineStr">
        <is>
          <t>document_refresh</t>
        </is>
      </c>
      <c r="D62" s="2" t="n">
        <v>46296.61319444444</v>
      </c>
      <c r="E62" s="2" t="n">
        <v>46297.73819444444</v>
      </c>
      <c r="F62" t="inlineStr">
        <is>
          <t>M6</t>
        </is>
      </c>
      <c r="G62" t="inlineStr">
        <is>
          <t>C2</t>
        </is>
      </c>
      <c r="H62" s="2" t="n">
        <v>46296.62986111111</v>
      </c>
      <c r="I62" s="2" t="n">
        <v>46296.63680555556</v>
      </c>
      <c r="J62" t="inlineStr">
        <is>
          <t>Completed</t>
        </is>
      </c>
      <c r="K62" t="n">
        <v>0.5600000000000001</v>
      </c>
      <c r="L62" t="n">
        <v>12</v>
      </c>
      <c r="M62" t="b">
        <v>0</v>
      </c>
      <c r="N62" t="n">
        <v>0</v>
      </c>
      <c r="O62" t="b">
        <v>1</v>
      </c>
      <c r="P62" t="b">
        <v>0</v>
      </c>
      <c r="Q62" t="b">
        <v>0</v>
      </c>
    </row>
    <row r="63">
      <c r="A63" t="inlineStr">
        <is>
          <t>REQ00062</t>
        </is>
      </c>
      <c r="B63" t="inlineStr">
        <is>
          <t>254900HSLOFQWUJ6FR17</t>
        </is>
      </c>
      <c r="C63" t="inlineStr">
        <is>
          <t>data_amendment</t>
        </is>
      </c>
      <c r="D63" s="2" t="n">
        <v>46296.61666666667</v>
      </c>
      <c r="E63" s="2" t="n">
        <v>46297.575</v>
      </c>
      <c r="F63" t="inlineStr">
        <is>
          <t>M3</t>
        </is>
      </c>
      <c r="G63" t="inlineStr">
        <is>
          <t>C3</t>
        </is>
      </c>
      <c r="H63" s="2" t="n">
        <v>46296.62430555555</v>
      </c>
      <c r="I63" s="2" t="n">
        <v>46296.62847222222</v>
      </c>
      <c r="J63" t="inlineStr">
        <is>
          <t>Completed</t>
        </is>
      </c>
      <c r="K63" t="n">
        <v>0.29</v>
      </c>
      <c r="L63" t="n">
        <v>8</v>
      </c>
      <c r="M63" t="b">
        <v>0</v>
      </c>
      <c r="N63" t="n">
        <v>0</v>
      </c>
      <c r="O63" t="b">
        <v>1</v>
      </c>
      <c r="P63" t="b">
        <v>0</v>
      </c>
      <c r="Q63" t="b">
        <v>0</v>
      </c>
    </row>
    <row r="64">
      <c r="A64" t="inlineStr">
        <is>
          <t>REQ00063</t>
        </is>
      </c>
      <c r="B64" t="inlineStr">
        <is>
          <t>9695002K3FDW6YLZ1B77</t>
        </is>
      </c>
      <c r="C64" t="inlineStr">
        <is>
          <t>document_refresh</t>
        </is>
      </c>
      <c r="D64" s="2" t="n">
        <v>46296.61805555555</v>
      </c>
      <c r="E64" s="2" t="n">
        <v>46297.74305555555</v>
      </c>
      <c r="F64" t="inlineStr">
        <is>
          <t>M4</t>
        </is>
      </c>
      <c r="G64" t="inlineStr">
        <is>
          <t>C1</t>
        </is>
      </c>
      <c r="H64" s="2" t="n">
        <v>46296.63402777778</v>
      </c>
      <c r="I64" s="2" t="n">
        <v>46297.48958333334</v>
      </c>
      <c r="J64" t="inlineStr">
        <is>
          <t>Completed</t>
        </is>
      </c>
      <c r="K64" t="n">
        <v>5.91</v>
      </c>
      <c r="L64" t="n">
        <v>12</v>
      </c>
      <c r="M64" t="b">
        <v>0</v>
      </c>
      <c r="N64" t="n">
        <v>0</v>
      </c>
      <c r="O64" t="b">
        <v>1</v>
      </c>
      <c r="P64" t="b">
        <v>0</v>
      </c>
      <c r="Q64" t="b">
        <v>1</v>
      </c>
    </row>
    <row r="65">
      <c r="A65" t="inlineStr">
        <is>
          <t>REQ00064</t>
        </is>
      </c>
      <c r="B65" t="inlineStr">
        <is>
          <t>724500HS0DQHNN01ZF03</t>
        </is>
      </c>
      <c r="C65" t="inlineStr">
        <is>
          <t>document_refresh</t>
        </is>
      </c>
      <c r="D65" s="2" t="n">
        <v>46296.62361111111</v>
      </c>
      <c r="E65" s="2" t="n">
        <v>46297.74861111111</v>
      </c>
      <c r="F65" t="inlineStr">
        <is>
          <t>M1</t>
        </is>
      </c>
      <c r="G65" t="inlineStr">
        <is>
          <t>C2</t>
        </is>
      </c>
      <c r="H65" s="2" t="n">
        <v>46296.64166666667</v>
      </c>
      <c r="I65" s="2" t="n">
        <v>46296.64583333334</v>
      </c>
      <c r="J65" t="inlineStr">
        <is>
          <t>Completed</t>
        </is>
      </c>
      <c r="K65" t="n">
        <v>0.54</v>
      </c>
      <c r="L65" t="n">
        <v>12</v>
      </c>
      <c r="M65" t="b">
        <v>0</v>
      </c>
      <c r="N65" t="n">
        <v>0</v>
      </c>
      <c r="O65" t="b">
        <v>1</v>
      </c>
      <c r="P65" t="b">
        <v>0</v>
      </c>
      <c r="Q65" t="b">
        <v>0</v>
      </c>
    </row>
    <row r="66">
      <c r="A66" t="inlineStr">
        <is>
          <t>REQ00065</t>
        </is>
      </c>
      <c r="B66" t="inlineStr">
        <is>
          <t>549300PKF61PQTN6SE43</t>
        </is>
      </c>
      <c r="C66" t="inlineStr">
        <is>
          <t>data_amendment</t>
        </is>
      </c>
      <c r="D66" s="2" t="n">
        <v>46296.63680555556</v>
      </c>
      <c r="E66" s="2" t="n">
        <v>46297.59513888889</v>
      </c>
      <c r="F66" t="inlineStr">
        <is>
          <t>M5</t>
        </is>
      </c>
      <c r="G66" t="inlineStr">
        <is>
          <t>C3</t>
        </is>
      </c>
      <c r="H66" s="2" t="n">
        <v>46296.64444444444</v>
      </c>
      <c r="I66" s="2" t="n">
        <v>46297.47916666666</v>
      </c>
      <c r="J66" t="inlineStr">
        <is>
          <t>Completed</t>
        </is>
      </c>
      <c r="K66" t="n">
        <v>5.21</v>
      </c>
      <c r="L66" t="n">
        <v>8</v>
      </c>
      <c r="M66" t="b">
        <v>0</v>
      </c>
      <c r="N66" t="n">
        <v>0</v>
      </c>
      <c r="O66" t="b">
        <v>1</v>
      </c>
      <c r="P66" t="b">
        <v>0</v>
      </c>
      <c r="Q66" t="b">
        <v>1</v>
      </c>
    </row>
    <row r="67">
      <c r="A67" t="inlineStr">
        <is>
          <t>REQ00066</t>
        </is>
      </c>
      <c r="B67" t="inlineStr">
        <is>
          <t>549300OT9N7BK6NPW598</t>
        </is>
      </c>
      <c r="C67" t="inlineStr">
        <is>
          <t>signatory_change</t>
        </is>
      </c>
      <c r="D67" s="2" t="n">
        <v>46296.64375</v>
      </c>
      <c r="E67" s="2" t="n">
        <v>46297.60208333333</v>
      </c>
      <c r="F67" t="inlineStr">
        <is>
          <t>M3</t>
        </is>
      </c>
      <c r="G67" t="inlineStr">
        <is>
          <t>C3</t>
        </is>
      </c>
      <c r="H67" s="2" t="n">
        <v>46296.65902777778</v>
      </c>
      <c r="I67" s="2" t="n">
        <v>46297.48541666667</v>
      </c>
      <c r="J67" t="inlineStr">
        <is>
          <t>Completed</t>
        </is>
      </c>
      <c r="K67" t="n">
        <v>5.2</v>
      </c>
      <c r="L67" t="n">
        <v>8</v>
      </c>
      <c r="M67" t="b">
        <v>0</v>
      </c>
      <c r="N67" t="n">
        <v>0</v>
      </c>
      <c r="O67" t="b">
        <v>1</v>
      </c>
      <c r="P67" t="b">
        <v>0</v>
      </c>
      <c r="Q67" t="b">
        <v>1</v>
      </c>
    </row>
    <row r="68">
      <c r="A68" t="inlineStr">
        <is>
          <t>REQ00067</t>
        </is>
      </c>
      <c r="B68" t="inlineStr">
        <is>
          <t>9845005O3BE4AB4BWD84</t>
        </is>
      </c>
      <c r="C68" t="inlineStr">
        <is>
          <t>new_account</t>
        </is>
      </c>
      <c r="D68" s="2" t="n">
        <v>46296.64444444444</v>
      </c>
      <c r="E68" s="2" t="n">
        <v>46300.56111111111</v>
      </c>
      <c r="F68" t="inlineStr">
        <is>
          <t>M2</t>
        </is>
      </c>
      <c r="G68" t="inlineStr">
        <is>
          <t>C1</t>
        </is>
      </c>
      <c r="H68" s="2" t="n">
        <v>46296.66666666666</v>
      </c>
      <c r="I68" s="2" t="n">
        <v>46296.67916666667</v>
      </c>
      <c r="J68" t="inlineStr">
        <is>
          <t>Completed</t>
        </is>
      </c>
      <c r="K68" t="n">
        <v>0.84</v>
      </c>
      <c r="L68" t="n">
        <v>16</v>
      </c>
      <c r="M68" t="b">
        <v>0</v>
      </c>
      <c r="N68" t="n">
        <v>0</v>
      </c>
      <c r="O68" t="b">
        <v>1</v>
      </c>
      <c r="P68" t="b">
        <v>0</v>
      </c>
      <c r="Q68" t="b">
        <v>0</v>
      </c>
    </row>
    <row r="69">
      <c r="A69" t="inlineStr">
        <is>
          <t>REQ00068</t>
        </is>
      </c>
      <c r="B69" t="inlineStr">
        <is>
          <t>98450091AF7DD43B7192</t>
        </is>
      </c>
      <c r="C69" t="inlineStr">
        <is>
          <t>document_refresh</t>
        </is>
      </c>
      <c r="D69" s="2" t="n">
        <v>46296.64513888889</v>
      </c>
      <c r="E69" s="2" t="n">
        <v>46300.39513888889</v>
      </c>
      <c r="F69" t="inlineStr">
        <is>
          <t>M6</t>
        </is>
      </c>
      <c r="G69" t="inlineStr">
        <is>
          <t>C3</t>
        </is>
      </c>
      <c r="H69" s="2" t="n">
        <v>46296.65902777778</v>
      </c>
      <c r="I69" s="2" t="n">
        <v>46296.66597222222</v>
      </c>
      <c r="J69" t="inlineStr">
        <is>
          <t>Completed</t>
        </is>
      </c>
      <c r="K69" t="n">
        <v>0.49</v>
      </c>
      <c r="L69" t="n">
        <v>12</v>
      </c>
      <c r="M69" t="b">
        <v>0</v>
      </c>
      <c r="N69" t="n">
        <v>0</v>
      </c>
      <c r="O69" t="b">
        <v>1</v>
      </c>
      <c r="P69" t="b">
        <v>0</v>
      </c>
      <c r="Q69" t="b">
        <v>0</v>
      </c>
    </row>
    <row r="70">
      <c r="A70" t="inlineStr">
        <is>
          <t>REQ00069</t>
        </is>
      </c>
      <c r="B70" t="inlineStr">
        <is>
          <t>549300OT9N7BK6NPW598</t>
        </is>
      </c>
      <c r="C70" t="inlineStr">
        <is>
          <t>new_account</t>
        </is>
      </c>
      <c r="D70" s="2" t="n">
        <v>46296.64791666667</v>
      </c>
      <c r="E70" s="2" t="n">
        <v>46300.56458333333</v>
      </c>
      <c r="F70" t="inlineStr">
        <is>
          <t>M4</t>
        </is>
      </c>
      <c r="G70" t="inlineStr">
        <is>
          <t>C2</t>
        </is>
      </c>
      <c r="H70" s="2" t="n">
        <v>46296.68333333333</v>
      </c>
      <c r="I70" s="2" t="n">
        <v>46297.44513888889</v>
      </c>
      <c r="J70" t="inlineStr">
        <is>
          <t>Completed</t>
        </is>
      </c>
      <c r="K70" t="n">
        <v>4.14</v>
      </c>
      <c r="L70" t="n">
        <v>16</v>
      </c>
      <c r="M70" t="b">
        <v>0</v>
      </c>
      <c r="N70" t="n">
        <v>0</v>
      </c>
      <c r="O70" t="b">
        <v>1</v>
      </c>
      <c r="P70" t="b">
        <v>0</v>
      </c>
      <c r="Q70" t="b">
        <v>1</v>
      </c>
    </row>
    <row r="71">
      <c r="A71" t="inlineStr">
        <is>
          <t>REQ00070</t>
        </is>
      </c>
      <c r="B71" t="inlineStr">
        <is>
          <t>549300I5L8X22PJBD369</t>
        </is>
      </c>
      <c r="C71" t="inlineStr">
        <is>
          <t>signatory_change</t>
        </is>
      </c>
      <c r="D71" s="2" t="n">
        <v>46296.65</v>
      </c>
      <c r="E71" s="2" t="n">
        <v>46297.60833333333</v>
      </c>
      <c r="F71" t="inlineStr">
        <is>
          <t>M1</t>
        </is>
      </c>
      <c r="G71" t="inlineStr">
        <is>
          <t>C3</t>
        </is>
      </c>
      <c r="H71" s="2" t="n">
        <v>46296.66597222222</v>
      </c>
      <c r="I71" s="2" t="n">
        <v>46297.46805555555</v>
      </c>
      <c r="J71" t="inlineStr">
        <is>
          <t>Completed</t>
        </is>
      </c>
      <c r="K71" t="n">
        <v>4.63</v>
      </c>
      <c r="L71" t="n">
        <v>8</v>
      </c>
      <c r="M71" t="b">
        <v>0</v>
      </c>
      <c r="N71" t="n">
        <v>0</v>
      </c>
      <c r="O71" t="b">
        <v>1</v>
      </c>
      <c r="P71" t="b">
        <v>0</v>
      </c>
      <c r="Q71" t="b">
        <v>1</v>
      </c>
    </row>
    <row r="72">
      <c r="A72" t="inlineStr">
        <is>
          <t>REQ00071</t>
        </is>
      </c>
      <c r="B72" t="inlineStr">
        <is>
          <t>724500OLXOGEL0UDXT49</t>
        </is>
      </c>
      <c r="C72" t="inlineStr">
        <is>
          <t>document_refresh</t>
        </is>
      </c>
      <c r="D72" s="2" t="n">
        <v>46296.65416666667</v>
      </c>
      <c r="E72" s="2" t="n">
        <v>46300.40416666667</v>
      </c>
      <c r="F72" t="inlineStr">
        <is>
          <t>M5</t>
        </is>
      </c>
      <c r="G72" t="inlineStr">
        <is>
          <t>C2</t>
        </is>
      </c>
      <c r="H72" s="2" t="n">
        <v>46296.66597222222</v>
      </c>
      <c r="I72" s="2" t="n">
        <v>46296.68472222222</v>
      </c>
      <c r="J72" t="inlineStr">
        <is>
          <t>Completed</t>
        </is>
      </c>
      <c r="K72" t="n">
        <v>0.73</v>
      </c>
      <c r="L72" t="n">
        <v>12</v>
      </c>
      <c r="M72" t="b">
        <v>0</v>
      </c>
      <c r="N72" t="n">
        <v>1</v>
      </c>
      <c r="O72" t="b">
        <v>0</v>
      </c>
      <c r="P72" t="b">
        <v>1</v>
      </c>
      <c r="Q72" t="b">
        <v>0</v>
      </c>
    </row>
    <row r="73">
      <c r="A73" t="inlineStr">
        <is>
          <t>REQ00072</t>
        </is>
      </c>
      <c r="B73" t="inlineStr">
        <is>
          <t>5299003WOGOP888HTO14</t>
        </is>
      </c>
      <c r="C73" t="inlineStr">
        <is>
          <t>document_refresh</t>
        </is>
      </c>
      <c r="D73" s="2" t="n">
        <v>46296.65694444445</v>
      </c>
      <c r="E73" s="2" t="n">
        <v>46300.40694444445</v>
      </c>
      <c r="F73" t="inlineStr">
        <is>
          <t>M6</t>
        </is>
      </c>
      <c r="G73" t="inlineStr">
        <is>
          <t>C1</t>
        </is>
      </c>
      <c r="H73" s="2" t="n">
        <v>46296.675</v>
      </c>
      <c r="I73" s="2" t="n">
        <v>46297.54652777778</v>
      </c>
      <c r="J73" t="inlineStr">
        <is>
          <t>Completed</t>
        </is>
      </c>
      <c r="K73" t="n">
        <v>6.35</v>
      </c>
      <c r="L73" t="n">
        <v>12</v>
      </c>
      <c r="M73" t="b">
        <v>0</v>
      </c>
      <c r="N73" t="n">
        <v>0</v>
      </c>
      <c r="O73" t="b">
        <v>1</v>
      </c>
      <c r="P73" t="b">
        <v>0</v>
      </c>
      <c r="Q73" t="b">
        <v>1</v>
      </c>
    </row>
    <row r="74">
      <c r="A74" t="inlineStr">
        <is>
          <t>REQ00073</t>
        </is>
      </c>
      <c r="B74" t="inlineStr">
        <is>
          <t>9695002C2WA4MJJOBP13</t>
        </is>
      </c>
      <c r="C74" t="inlineStr">
        <is>
          <t>signatory_change</t>
        </is>
      </c>
      <c r="D74" s="2" t="n">
        <v>46296.66041666667</v>
      </c>
      <c r="E74" s="2" t="n">
        <v>46297.61875</v>
      </c>
      <c r="F74" t="inlineStr">
        <is>
          <t>M3</t>
        </is>
      </c>
      <c r="G74" t="inlineStr">
        <is>
          <t>C3</t>
        </is>
      </c>
      <c r="H74" s="2" t="n">
        <v>46296.68263888889</v>
      </c>
      <c r="I74" s="2" t="n">
        <v>46297.42361111111</v>
      </c>
      <c r="J74" t="inlineStr">
        <is>
          <t>Completed</t>
        </is>
      </c>
      <c r="K74" t="n">
        <v>3.31</v>
      </c>
      <c r="L74" t="n">
        <v>8</v>
      </c>
      <c r="M74" t="b">
        <v>0</v>
      </c>
      <c r="N74" t="n">
        <v>0</v>
      </c>
      <c r="O74" t="b">
        <v>1</v>
      </c>
      <c r="P74" t="b">
        <v>0</v>
      </c>
      <c r="Q74" t="b">
        <v>1</v>
      </c>
    </row>
    <row r="75">
      <c r="A75" t="inlineStr">
        <is>
          <t>REQ00074</t>
        </is>
      </c>
      <c r="B75" t="inlineStr">
        <is>
          <t>3358005WYX5SIMLVUP61</t>
        </is>
      </c>
      <c r="C75" t="inlineStr">
        <is>
          <t>document_refresh</t>
        </is>
      </c>
      <c r="D75" s="2" t="n">
        <v>46296.66388888889</v>
      </c>
      <c r="E75" s="2" t="n">
        <v>46300.41388888889</v>
      </c>
      <c r="F75" t="inlineStr">
        <is>
          <t>M1</t>
        </is>
      </c>
      <c r="G75" t="inlineStr">
        <is>
          <t>C3</t>
        </is>
      </c>
      <c r="H75" s="2" t="n">
        <v>46296.68125</v>
      </c>
      <c r="I75" s="2" t="n">
        <v>46296.68680555555</v>
      </c>
      <c r="J75" t="inlineStr">
        <is>
          <t>Completed</t>
        </is>
      </c>
      <c r="K75" t="n">
        <v>0.55</v>
      </c>
      <c r="L75" t="n">
        <v>12</v>
      </c>
      <c r="M75" t="b">
        <v>0</v>
      </c>
      <c r="N75" t="n">
        <v>0</v>
      </c>
      <c r="O75" t="b">
        <v>1</v>
      </c>
      <c r="P75" t="b">
        <v>0</v>
      </c>
      <c r="Q75" t="b">
        <v>0</v>
      </c>
    </row>
    <row r="76">
      <c r="A76" t="inlineStr">
        <is>
          <t>REQ00075</t>
        </is>
      </c>
      <c r="B76" t="inlineStr">
        <is>
          <t>724500P440HTAPSOQD72</t>
        </is>
      </c>
      <c r="C76" t="inlineStr">
        <is>
          <t>new_account</t>
        </is>
      </c>
      <c r="D76" s="2" t="n">
        <v>46296.66666666666</v>
      </c>
      <c r="E76" s="2" t="n">
        <v>46300.58333333334</v>
      </c>
      <c r="F76" t="inlineStr">
        <is>
          <t>M5</t>
        </is>
      </c>
      <c r="G76" t="inlineStr">
        <is>
          <t>C2</t>
        </is>
      </c>
      <c r="H76" s="2" t="n">
        <v>46296.69375</v>
      </c>
      <c r="I76" s="2" t="n">
        <v>46297.42916666667</v>
      </c>
      <c r="J76" t="inlineStr">
        <is>
          <t>Completed</t>
        </is>
      </c>
      <c r="K76" t="n">
        <v>3.29</v>
      </c>
      <c r="L76" t="n">
        <v>16</v>
      </c>
      <c r="M76" t="b">
        <v>0</v>
      </c>
      <c r="N76" t="n">
        <v>0</v>
      </c>
      <c r="O76" t="b">
        <v>1</v>
      </c>
      <c r="P76" t="b">
        <v>0</v>
      </c>
      <c r="Q76" t="b">
        <v>1</v>
      </c>
    </row>
    <row r="77">
      <c r="A77" t="inlineStr">
        <is>
          <t>REQ00076</t>
        </is>
      </c>
      <c r="B77" t="inlineStr">
        <is>
          <t>549300PM8W8PKERUC713</t>
        </is>
      </c>
      <c r="C77" t="inlineStr">
        <is>
          <t>signatory_change</t>
        </is>
      </c>
      <c r="D77" s="2" t="n">
        <v>46296.66736111111</v>
      </c>
      <c r="E77" s="2" t="n">
        <v>46297.62569444445</v>
      </c>
      <c r="F77" t="inlineStr">
        <is>
          <t>M2</t>
        </is>
      </c>
      <c r="G77" t="inlineStr">
        <is>
          <t>C2</t>
        </is>
      </c>
      <c r="H77" s="2" t="n">
        <v>46296.68333333333</v>
      </c>
      <c r="I77" s="2" t="n">
        <v>46297.55833333333</v>
      </c>
      <c r="J77" t="inlineStr">
        <is>
          <t>Completed</t>
        </is>
      </c>
      <c r="K77" t="n">
        <v>6.38</v>
      </c>
      <c r="L77" t="n">
        <v>8</v>
      </c>
      <c r="M77" t="b">
        <v>0</v>
      </c>
      <c r="N77" t="n">
        <v>1</v>
      </c>
      <c r="O77" t="b">
        <v>0</v>
      </c>
      <c r="P77" t="b">
        <v>1</v>
      </c>
      <c r="Q77" t="b">
        <v>1</v>
      </c>
    </row>
    <row r="78">
      <c r="A78" t="inlineStr">
        <is>
          <t>REQ00077</t>
        </is>
      </c>
      <c r="B78" t="inlineStr">
        <is>
          <t>529900CE02C1T2KL9H04</t>
        </is>
      </c>
      <c r="C78" t="inlineStr">
        <is>
          <t>new_account</t>
        </is>
      </c>
      <c r="D78" s="2" t="n">
        <v>46296.67361111111</v>
      </c>
      <c r="E78" s="2" t="n">
        <v>46300.59027777778</v>
      </c>
      <c r="F78" t="inlineStr">
        <is>
          <t>M6</t>
        </is>
      </c>
      <c r="G78" t="inlineStr">
        <is>
          <t>C3</t>
        </is>
      </c>
      <c r="H78" s="2" t="n">
        <v>46296.70972222222</v>
      </c>
      <c r="I78" s="2" t="n">
        <v>46296.72013888889</v>
      </c>
      <c r="J78" t="inlineStr">
        <is>
          <t>Completed</t>
        </is>
      </c>
      <c r="K78" t="n">
        <v>1.12</v>
      </c>
      <c r="L78" t="n">
        <v>16</v>
      </c>
      <c r="M78" t="b">
        <v>0</v>
      </c>
      <c r="N78" t="n">
        <v>0</v>
      </c>
      <c r="O78" t="b">
        <v>1</v>
      </c>
      <c r="P78" t="b">
        <v>0</v>
      </c>
      <c r="Q78" t="b">
        <v>0</v>
      </c>
    </row>
    <row r="79">
      <c r="A79" t="inlineStr">
        <is>
          <t>REQ00078</t>
        </is>
      </c>
      <c r="B79" t="inlineStr">
        <is>
          <t>969500RMBK0RHQGB1O46</t>
        </is>
      </c>
      <c r="C79" t="inlineStr">
        <is>
          <t>new_account</t>
        </is>
      </c>
      <c r="D79" s="2" t="n">
        <v>46296.69236111111</v>
      </c>
      <c r="E79" s="2" t="n">
        <v>46300.60902777778</v>
      </c>
      <c r="F79" t="inlineStr">
        <is>
          <t>M1</t>
        </is>
      </c>
      <c r="G79" t="inlineStr">
        <is>
          <t>C1</t>
        </is>
      </c>
      <c r="H79" s="2" t="n">
        <v>46296.73194444444</v>
      </c>
      <c r="I79" s="2" t="n">
        <v>46297.61527777778</v>
      </c>
      <c r="J79" t="inlineStr">
        <is>
          <t>Completed</t>
        </is>
      </c>
      <c r="K79" t="n">
        <v>7.15</v>
      </c>
      <c r="L79" t="n">
        <v>16</v>
      </c>
      <c r="M79" t="b">
        <v>0</v>
      </c>
      <c r="N79" t="n">
        <v>0</v>
      </c>
      <c r="O79" t="b">
        <v>1</v>
      </c>
      <c r="P79" t="b">
        <v>0</v>
      </c>
      <c r="Q79" t="b">
        <v>1</v>
      </c>
    </row>
    <row r="80">
      <c r="A80" t="inlineStr">
        <is>
          <t>REQ00079</t>
        </is>
      </c>
      <c r="B80" t="inlineStr">
        <is>
          <t>3OQOCPKUZCQOP7F5Z687</t>
        </is>
      </c>
      <c r="C80" t="inlineStr">
        <is>
          <t>document_refresh</t>
        </is>
      </c>
      <c r="D80" s="2" t="n">
        <v>46296.69305555556</v>
      </c>
      <c r="E80" s="2" t="n">
        <v>46300.44305555556</v>
      </c>
      <c r="F80" t="inlineStr">
        <is>
          <t>M3</t>
        </is>
      </c>
      <c r="G80" t="inlineStr">
        <is>
          <t>C1</t>
        </is>
      </c>
      <c r="H80" s="2" t="n">
        <v>46296.70555555556</v>
      </c>
      <c r="I80" s="2" t="n">
        <v>46297.4625</v>
      </c>
      <c r="J80" t="inlineStr">
        <is>
          <t>Completed</t>
        </is>
      </c>
      <c r="K80" t="n">
        <v>3.47</v>
      </c>
      <c r="L80" t="n">
        <v>12</v>
      </c>
      <c r="M80" t="b">
        <v>0</v>
      </c>
      <c r="N80" t="n">
        <v>0</v>
      </c>
      <c r="O80" t="b">
        <v>1</v>
      </c>
      <c r="P80" t="b">
        <v>0</v>
      </c>
      <c r="Q80" t="b">
        <v>1</v>
      </c>
    </row>
    <row r="81">
      <c r="A81" t="inlineStr">
        <is>
          <t>REQ00080</t>
        </is>
      </c>
      <c r="B81" t="inlineStr">
        <is>
          <t>3912003Z6G91TO3OV887</t>
        </is>
      </c>
      <c r="C81" t="inlineStr">
        <is>
          <t>signatory_change</t>
        </is>
      </c>
      <c r="D81" s="2" t="n">
        <v>46296.69583333333</v>
      </c>
      <c r="E81" s="2" t="n">
        <v>46297.65416666667</v>
      </c>
      <c r="F81" t="inlineStr">
        <is>
          <t>M4</t>
        </is>
      </c>
      <c r="G81" t="inlineStr">
        <is>
          <t>C2</t>
        </is>
      </c>
      <c r="H81" s="2" t="n">
        <v>46296.71458333333</v>
      </c>
      <c r="I81" s="2" t="n">
        <v>46296.72291666667</v>
      </c>
      <c r="J81" t="inlineStr">
        <is>
          <t>Completed</t>
        </is>
      </c>
      <c r="K81" t="n">
        <v>0.65</v>
      </c>
      <c r="L81" t="n">
        <v>8</v>
      </c>
      <c r="M81" t="b">
        <v>0</v>
      </c>
      <c r="N81" t="n">
        <v>0</v>
      </c>
      <c r="O81" t="b">
        <v>1</v>
      </c>
      <c r="P81" t="b">
        <v>0</v>
      </c>
      <c r="Q81" t="b">
        <v>0</v>
      </c>
    </row>
    <row r="82">
      <c r="A82" t="inlineStr">
        <is>
          <t>REQ00081</t>
        </is>
      </c>
      <c r="B82" t="inlineStr">
        <is>
          <t>213800FRKLFQ7WK4W562</t>
        </is>
      </c>
      <c r="C82" t="inlineStr">
        <is>
          <t>document_refresh</t>
        </is>
      </c>
      <c r="D82" s="2" t="n">
        <v>46296.70486111111</v>
      </c>
      <c r="E82" s="2" t="n">
        <v>46300.45486111111</v>
      </c>
      <c r="F82" t="inlineStr">
        <is>
          <t>M2</t>
        </is>
      </c>
      <c r="G82" t="inlineStr">
        <is>
          <t>C3</t>
        </is>
      </c>
      <c r="H82" s="2" t="n">
        <v>46296.72083333333</v>
      </c>
      <c r="I82" s="2" t="n">
        <v>46297.55972222222</v>
      </c>
      <c r="J82" t="inlineStr">
        <is>
          <t>Completed</t>
        </is>
      </c>
      <c r="K82" t="n">
        <v>5.52</v>
      </c>
      <c r="L82" t="n">
        <v>12</v>
      </c>
      <c r="M82" t="b">
        <v>0</v>
      </c>
      <c r="N82" t="n">
        <v>0</v>
      </c>
      <c r="O82" t="b">
        <v>1</v>
      </c>
      <c r="P82" t="b">
        <v>0</v>
      </c>
      <c r="Q82" t="b">
        <v>1</v>
      </c>
    </row>
    <row r="83">
      <c r="A83" t="inlineStr">
        <is>
          <t>REQ00082</t>
        </is>
      </c>
      <c r="B83" t="inlineStr">
        <is>
          <t>7245002ZBI8TH1AJUE08</t>
        </is>
      </c>
      <c r="C83" t="inlineStr">
        <is>
          <t>document_refresh</t>
        </is>
      </c>
      <c r="D83" s="2" t="n">
        <v>46296.71319444444</v>
      </c>
      <c r="E83" s="2" t="n">
        <v>46300.46319444444</v>
      </c>
      <c r="F83" t="inlineStr">
        <is>
          <t>M5</t>
        </is>
      </c>
      <c r="G83" t="inlineStr">
        <is>
          <t>C3</t>
        </is>
      </c>
      <c r="H83" s="2" t="n">
        <v>46296.73125</v>
      </c>
      <c r="I83" s="2" t="n">
        <v>46296.7375</v>
      </c>
      <c r="J83" t="inlineStr">
        <is>
          <t>Completed</t>
        </is>
      </c>
      <c r="K83" t="n">
        <v>0.58</v>
      </c>
      <c r="L83" t="n">
        <v>12</v>
      </c>
      <c r="M83" t="b">
        <v>0</v>
      </c>
      <c r="N83" t="n">
        <v>0</v>
      </c>
      <c r="O83" t="b">
        <v>1</v>
      </c>
      <c r="P83" t="b">
        <v>0</v>
      </c>
      <c r="Q83" t="b">
        <v>0</v>
      </c>
    </row>
    <row r="84">
      <c r="A84" t="inlineStr">
        <is>
          <t>REQ00083</t>
        </is>
      </c>
      <c r="B84" t="inlineStr">
        <is>
          <t>2549006EOM0473048951</t>
        </is>
      </c>
      <c r="C84" t="inlineStr">
        <is>
          <t>signatory_change</t>
        </is>
      </c>
      <c r="D84" s="2" t="n">
        <v>46296.72430555556</v>
      </c>
      <c r="E84" s="2" t="n">
        <v>46297.68263888889</v>
      </c>
      <c r="F84" t="inlineStr">
        <is>
          <t>M3</t>
        </is>
      </c>
      <c r="G84" t="inlineStr">
        <is>
          <t>C2</t>
        </is>
      </c>
      <c r="H84" s="2" t="n">
        <v>46296.74791666667</v>
      </c>
      <c r="I84" s="2" t="n">
        <v>46297.38125</v>
      </c>
      <c r="J84" t="inlineStr">
        <is>
          <t>Completed</t>
        </is>
      </c>
      <c r="K84" t="n">
        <v>0.77</v>
      </c>
      <c r="L84" t="n">
        <v>8</v>
      </c>
      <c r="M84" t="b">
        <v>0</v>
      </c>
      <c r="N84" t="n">
        <v>0</v>
      </c>
      <c r="O84" t="b">
        <v>1</v>
      </c>
      <c r="P84" t="b">
        <v>0</v>
      </c>
      <c r="Q84" t="b">
        <v>0</v>
      </c>
    </row>
    <row r="85">
      <c r="A85" t="inlineStr">
        <is>
          <t>REQ00084</t>
        </is>
      </c>
      <c r="B85" t="inlineStr">
        <is>
          <t>529900RPBX6EPE1XNU32</t>
        </is>
      </c>
      <c r="C85" t="inlineStr">
        <is>
          <t>document_refresh</t>
        </is>
      </c>
      <c r="D85" s="2" t="n">
        <v>46296.72847222222</v>
      </c>
      <c r="E85" s="2" t="n">
        <v>46300.47847222222</v>
      </c>
      <c r="F85" t="inlineStr">
        <is>
          <t>M6</t>
        </is>
      </c>
      <c r="G85" t="inlineStr">
        <is>
          <t>C2</t>
        </is>
      </c>
      <c r="H85" s="2" t="n">
        <v>46296.74305555555</v>
      </c>
      <c r="I85" s="2" t="n">
        <v>46297.47361111111</v>
      </c>
      <c r="J85" t="inlineStr">
        <is>
          <t>Completed</t>
        </is>
      </c>
      <c r="K85" t="n">
        <v>2.88</v>
      </c>
      <c r="L85" t="n">
        <v>12</v>
      </c>
      <c r="M85" t="b">
        <v>0</v>
      </c>
      <c r="N85" t="n">
        <v>0</v>
      </c>
      <c r="O85" t="b">
        <v>1</v>
      </c>
      <c r="P85" t="b">
        <v>0</v>
      </c>
      <c r="Q85" t="b">
        <v>1</v>
      </c>
    </row>
    <row r="86">
      <c r="A86" t="inlineStr">
        <is>
          <t>REQ00085</t>
        </is>
      </c>
      <c r="B86" t="inlineStr">
        <is>
          <t>984500BC50576M8E7941</t>
        </is>
      </c>
      <c r="C86" t="inlineStr">
        <is>
          <t>signatory_change</t>
        </is>
      </c>
      <c r="D86" s="2" t="n">
        <v>46296.73055555556</v>
      </c>
      <c r="E86" s="2" t="n">
        <v>46297.68888888889</v>
      </c>
      <c r="F86" t="inlineStr">
        <is>
          <t>M4</t>
        </is>
      </c>
      <c r="G86" t="inlineStr">
        <is>
          <t>C3</t>
        </is>
      </c>
      <c r="H86" s="2" t="n">
        <v>46297.38194444445</v>
      </c>
      <c r="I86" s="2" t="n">
        <v>46297.39097222222</v>
      </c>
      <c r="J86" t="inlineStr">
        <is>
          <t>Completed</t>
        </is>
      </c>
      <c r="K86" t="n">
        <v>0.85</v>
      </c>
      <c r="L86" t="n">
        <v>8</v>
      </c>
      <c r="M86" t="b">
        <v>0</v>
      </c>
      <c r="N86" t="n">
        <v>0</v>
      </c>
      <c r="O86" t="b">
        <v>1</v>
      </c>
      <c r="P86" t="b">
        <v>0</v>
      </c>
      <c r="Q86" t="b">
        <v>0</v>
      </c>
    </row>
    <row r="87">
      <c r="A87" t="inlineStr">
        <is>
          <t>REQ00086</t>
        </is>
      </c>
      <c r="B87" t="inlineStr">
        <is>
          <t>549300PQ8QEI6768Z054</t>
        </is>
      </c>
      <c r="C87" t="inlineStr">
        <is>
          <t>document_refresh</t>
        </is>
      </c>
      <c r="D87" s="2" t="n">
        <v>46296.73055555556</v>
      </c>
      <c r="E87" s="2" t="n">
        <v>46300.48055555556</v>
      </c>
      <c r="F87" t="inlineStr">
        <is>
          <t>M2</t>
        </is>
      </c>
      <c r="G87" t="inlineStr">
        <is>
          <t>C2</t>
        </is>
      </c>
      <c r="H87" s="2" t="n">
        <v>46296.74791666667</v>
      </c>
      <c r="I87" s="2" t="n">
        <v>46297.61875</v>
      </c>
      <c r="J87" t="inlineStr">
        <is>
          <t>Completed</t>
        </is>
      </c>
      <c r="K87" t="n">
        <v>6.32</v>
      </c>
      <c r="L87" t="n">
        <v>12</v>
      </c>
      <c r="M87" t="b">
        <v>0</v>
      </c>
      <c r="N87" t="n">
        <v>0</v>
      </c>
      <c r="O87" t="b">
        <v>1</v>
      </c>
      <c r="P87" t="b">
        <v>0</v>
      </c>
      <c r="Q87" t="b">
        <v>1</v>
      </c>
    </row>
    <row r="88">
      <c r="A88" t="inlineStr">
        <is>
          <t>REQ00087</t>
        </is>
      </c>
      <c r="B88" t="inlineStr">
        <is>
          <t>984500A7FFD9375AK286</t>
        </is>
      </c>
      <c r="C88" t="inlineStr">
        <is>
          <t>signatory_change</t>
        </is>
      </c>
      <c r="D88" s="2" t="n">
        <v>46296.73958333334</v>
      </c>
      <c r="E88" s="2" t="n">
        <v>46297.69791666666</v>
      </c>
      <c r="F88" t="inlineStr">
        <is>
          <t>M5</t>
        </is>
      </c>
      <c r="G88" t="inlineStr">
        <is>
          <t>C1</t>
        </is>
      </c>
      <c r="H88" s="2" t="n">
        <v>46297.38263888889</v>
      </c>
      <c r="I88" s="2" t="n">
        <v>46297.39097222222</v>
      </c>
      <c r="J88" t="inlineStr">
        <is>
          <t>Completed</t>
        </is>
      </c>
      <c r="K88" t="n">
        <v>0.64</v>
      </c>
      <c r="L88" t="n">
        <v>8</v>
      </c>
      <c r="M88" t="b">
        <v>0</v>
      </c>
      <c r="N88" t="n">
        <v>0</v>
      </c>
      <c r="O88" t="b">
        <v>1</v>
      </c>
      <c r="P88" t="b">
        <v>0</v>
      </c>
      <c r="Q88" t="b">
        <v>0</v>
      </c>
    </row>
    <row r="89">
      <c r="A89" t="inlineStr">
        <is>
          <t>REQ00088</t>
        </is>
      </c>
      <c r="B89" t="inlineStr">
        <is>
          <t>549300KOXOTGUZPWBD38</t>
        </is>
      </c>
      <c r="C89" t="inlineStr">
        <is>
          <t>signatory_change</t>
        </is>
      </c>
      <c r="D89" s="2" t="n">
        <v>46296.74027777778</v>
      </c>
      <c r="E89" s="2" t="n">
        <v>46297.69861111111</v>
      </c>
      <c r="F89" t="inlineStr">
        <is>
          <t>M1</t>
        </is>
      </c>
      <c r="G89" t="inlineStr">
        <is>
          <t>C2</t>
        </is>
      </c>
      <c r="H89" s="2" t="n">
        <v>46297.38541666666</v>
      </c>
      <c r="I89" s="2" t="n">
        <v>46297.39305555556</v>
      </c>
      <c r="J89" t="inlineStr">
        <is>
          <t>Completed</t>
        </is>
      </c>
      <c r="K89" t="n">
        <v>0.67</v>
      </c>
      <c r="L89" t="n">
        <v>8</v>
      </c>
      <c r="M89" t="b">
        <v>0</v>
      </c>
      <c r="N89" t="n">
        <v>0</v>
      </c>
      <c r="O89" t="b">
        <v>1</v>
      </c>
      <c r="P89" t="b">
        <v>0</v>
      </c>
      <c r="Q89" t="b">
        <v>0</v>
      </c>
    </row>
    <row r="90">
      <c r="A90" t="inlineStr">
        <is>
          <t>REQ00089</t>
        </is>
      </c>
      <c r="B90" t="inlineStr">
        <is>
          <t>39120007XU4SROU2LJ93</t>
        </is>
      </c>
      <c r="C90" t="inlineStr">
        <is>
          <t>new_account</t>
        </is>
      </c>
      <c r="D90" s="2" t="n">
        <v>46296.74652777778</v>
      </c>
      <c r="E90" s="2" t="n">
        <v>46300.66319444445</v>
      </c>
      <c r="F90" t="inlineStr">
        <is>
          <t>M6</t>
        </is>
      </c>
      <c r="G90" t="inlineStr">
        <is>
          <t>C2</t>
        </is>
      </c>
      <c r="H90" s="2" t="n">
        <v>46297.40277777778</v>
      </c>
      <c r="I90" s="2" t="n">
        <v>46297.41041666667</v>
      </c>
      <c r="J90" t="inlineStr">
        <is>
          <t>Completed</t>
        </is>
      </c>
      <c r="K90" t="n">
        <v>0.93</v>
      </c>
      <c r="L90" t="n">
        <v>16</v>
      </c>
      <c r="M90" t="b">
        <v>0</v>
      </c>
      <c r="N90" t="n">
        <v>0</v>
      </c>
      <c r="O90" t="b">
        <v>1</v>
      </c>
      <c r="P90" t="b">
        <v>0</v>
      </c>
      <c r="Q90" t="b">
        <v>0</v>
      </c>
    </row>
    <row r="91">
      <c r="A91" t="inlineStr">
        <is>
          <t>REQ00090</t>
        </is>
      </c>
      <c r="B91" t="inlineStr">
        <is>
          <t>213800UG3R1S5PKV3M55</t>
        </is>
      </c>
      <c r="C91" t="inlineStr">
        <is>
          <t>data_amendment</t>
        </is>
      </c>
      <c r="D91" s="2" t="n">
        <v>46297.38333333333</v>
      </c>
      <c r="E91" s="2" t="n">
        <v>46297.71666666667</v>
      </c>
      <c r="F91" t="inlineStr">
        <is>
          <t>M3</t>
        </is>
      </c>
      <c r="G91" t="inlineStr">
        <is>
          <t>C1</t>
        </is>
      </c>
      <c r="H91" s="2" t="n">
        <v>46297.39305555556</v>
      </c>
      <c r="I91" s="2" t="n">
        <v>46297.55486111111</v>
      </c>
      <c r="J91" t="inlineStr">
        <is>
          <t>Completed</t>
        </is>
      </c>
      <c r="K91" t="n">
        <v>4.12</v>
      </c>
      <c r="L91" t="n">
        <v>8</v>
      </c>
      <c r="M91" t="b">
        <v>0</v>
      </c>
      <c r="N91" t="n">
        <v>0</v>
      </c>
      <c r="O91" t="b">
        <v>1</v>
      </c>
      <c r="P91" t="b">
        <v>0</v>
      </c>
      <c r="Q91" t="b">
        <v>1</v>
      </c>
    </row>
    <row r="92">
      <c r="A92" t="inlineStr">
        <is>
          <t>REQ00091</t>
        </is>
      </c>
      <c r="B92" t="inlineStr">
        <is>
          <t>549300U6CFGN5UGVS402</t>
        </is>
      </c>
      <c r="C92" t="inlineStr">
        <is>
          <t>document_refresh</t>
        </is>
      </c>
      <c r="D92" s="2" t="n">
        <v>46297.38611111111</v>
      </c>
      <c r="E92" s="2" t="n">
        <v>46300.51111111111</v>
      </c>
      <c r="F92" t="inlineStr">
        <is>
          <t>M2</t>
        </is>
      </c>
      <c r="G92" t="inlineStr">
        <is>
          <t>C2</t>
        </is>
      </c>
      <c r="H92" s="2" t="n">
        <v>46297.4</v>
      </c>
      <c r="I92" s="2" t="n">
        <v>46297.55555555555</v>
      </c>
      <c r="J92" t="inlineStr">
        <is>
          <t>Completed</t>
        </is>
      </c>
      <c r="K92" t="n">
        <v>4.07</v>
      </c>
      <c r="L92" t="n">
        <v>12</v>
      </c>
      <c r="M92" t="b">
        <v>0</v>
      </c>
      <c r="N92" t="n">
        <v>0</v>
      </c>
      <c r="O92" t="b">
        <v>1</v>
      </c>
      <c r="P92" t="b">
        <v>0</v>
      </c>
      <c r="Q92" t="b">
        <v>1</v>
      </c>
    </row>
    <row r="93">
      <c r="A93" t="inlineStr">
        <is>
          <t>REQ00092</t>
        </is>
      </c>
      <c r="B93" t="inlineStr">
        <is>
          <t>5299000XDTH3900OQB45</t>
        </is>
      </c>
      <c r="C93" t="inlineStr">
        <is>
          <t>data_amendment</t>
        </is>
      </c>
      <c r="D93" s="2" t="n">
        <v>46297.39166666667</v>
      </c>
      <c r="E93" s="2" t="n">
        <v>46297.725</v>
      </c>
      <c r="F93" t="inlineStr">
        <is>
          <t>M4</t>
        </is>
      </c>
      <c r="G93" t="inlineStr">
        <is>
          <t>C3</t>
        </is>
      </c>
      <c r="H93" s="2" t="n">
        <v>46297.40486111111</v>
      </c>
      <c r="I93" s="2" t="n">
        <v>46297.40902777778</v>
      </c>
      <c r="J93" t="inlineStr">
        <is>
          <t>Completed</t>
        </is>
      </c>
      <c r="K93" t="n">
        <v>0.41</v>
      </c>
      <c r="L93" t="n">
        <v>8</v>
      </c>
      <c r="M93" t="b">
        <v>0</v>
      </c>
      <c r="N93" t="n">
        <v>0</v>
      </c>
      <c r="O93" t="b">
        <v>1</v>
      </c>
      <c r="P93" t="b">
        <v>0</v>
      </c>
      <c r="Q93" t="b">
        <v>0</v>
      </c>
    </row>
    <row r="94">
      <c r="A94" t="inlineStr">
        <is>
          <t>REQ00093</t>
        </is>
      </c>
      <c r="B94" t="inlineStr">
        <is>
          <t>254900G6OVFNXBF3VD79</t>
        </is>
      </c>
      <c r="C94" t="inlineStr">
        <is>
          <t>document_refresh</t>
        </is>
      </c>
      <c r="D94" s="2" t="n">
        <v>46297.39444444444</v>
      </c>
      <c r="E94" s="2" t="n">
        <v>46300.51944444444</v>
      </c>
      <c r="F94" t="inlineStr">
        <is>
          <t>M5</t>
        </is>
      </c>
      <c r="G94" t="inlineStr">
        <is>
          <t>C3</t>
        </is>
      </c>
      <c r="H94" s="2" t="n">
        <v>46297.41041666667</v>
      </c>
      <c r="I94" s="2" t="n">
        <v>46297.62916666667</v>
      </c>
      <c r="J94" t="inlineStr">
        <is>
          <t>Completed</t>
        </is>
      </c>
      <c r="K94" t="n">
        <v>5.64</v>
      </c>
      <c r="L94" t="n">
        <v>12</v>
      </c>
      <c r="M94" t="b">
        <v>0</v>
      </c>
      <c r="N94" t="n">
        <v>0</v>
      </c>
      <c r="O94" t="b">
        <v>1</v>
      </c>
      <c r="P94" t="b">
        <v>0</v>
      </c>
      <c r="Q94" t="b">
        <v>1</v>
      </c>
    </row>
    <row r="95">
      <c r="A95" t="inlineStr">
        <is>
          <t>REQ00094</t>
        </is>
      </c>
      <c r="B95" t="inlineStr">
        <is>
          <t>391200ZMTFT6S7DBHI20</t>
        </is>
      </c>
      <c r="C95" t="inlineStr">
        <is>
          <t>signatory_change</t>
        </is>
      </c>
      <c r="D95" s="2" t="n">
        <v>46297.40347222222</v>
      </c>
      <c r="E95" s="2" t="n">
        <v>46297.73680555556</v>
      </c>
      <c r="F95" t="inlineStr">
        <is>
          <t>M1</t>
        </is>
      </c>
      <c r="G95" t="inlineStr">
        <is>
          <t>C1</t>
        </is>
      </c>
      <c r="H95" s="2" t="n">
        <v>46297.42847222222</v>
      </c>
      <c r="I95" s="2" t="n">
        <v>46297.43472222222</v>
      </c>
      <c r="J95" t="inlineStr">
        <is>
          <t>Completed</t>
        </is>
      </c>
      <c r="K95" t="n">
        <v>0.75</v>
      </c>
      <c r="L95" t="n">
        <v>8</v>
      </c>
      <c r="M95" t="b">
        <v>0</v>
      </c>
      <c r="N95" t="n">
        <v>0</v>
      </c>
      <c r="O95" t="b">
        <v>1</v>
      </c>
      <c r="P95" t="b">
        <v>0</v>
      </c>
      <c r="Q95" t="b">
        <v>0</v>
      </c>
    </row>
    <row r="96">
      <c r="A96" t="inlineStr">
        <is>
          <t>REQ00095</t>
        </is>
      </c>
      <c r="B96" t="inlineStr">
        <is>
          <t>254900P0EWCOU3PP1Q96</t>
        </is>
      </c>
      <c r="C96" t="inlineStr">
        <is>
          <t>new_account</t>
        </is>
      </c>
      <c r="D96" s="2" t="n">
        <v>46297.41180555556</v>
      </c>
      <c r="E96" s="2" t="n">
        <v>46300.70347222222</v>
      </c>
      <c r="F96" t="inlineStr">
        <is>
          <t>M3</t>
        </is>
      </c>
      <c r="G96" t="inlineStr">
        <is>
          <t>C3</t>
        </is>
      </c>
      <c r="H96" s="2" t="n">
        <v>46297.43472222222</v>
      </c>
      <c r="I96" s="2" t="n">
        <v>46297.44513888889</v>
      </c>
      <c r="J96" t="inlineStr">
        <is>
          <t>Completed</t>
        </is>
      </c>
      <c r="K96" t="n">
        <v>0.8</v>
      </c>
      <c r="L96" t="n">
        <v>16</v>
      </c>
      <c r="M96" t="b">
        <v>0</v>
      </c>
      <c r="N96" t="n">
        <v>0</v>
      </c>
      <c r="O96" t="b">
        <v>1</v>
      </c>
      <c r="P96" t="b">
        <v>0</v>
      </c>
      <c r="Q96" t="b">
        <v>0</v>
      </c>
    </row>
    <row r="97">
      <c r="A97" t="inlineStr">
        <is>
          <t>REQ00096</t>
        </is>
      </c>
      <c r="B97" t="inlineStr">
        <is>
          <t>213800AJLONEVHM9IQ75</t>
        </is>
      </c>
      <c r="C97" t="inlineStr">
        <is>
          <t>new_account</t>
        </is>
      </c>
      <c r="D97" s="2" t="n">
        <v>46297.41319444445</v>
      </c>
      <c r="E97" s="2" t="n">
        <v>46300.70486111111</v>
      </c>
      <c r="F97" t="inlineStr">
        <is>
          <t>M2</t>
        </is>
      </c>
      <c r="G97" t="inlineStr">
        <is>
          <t>C2</t>
        </is>
      </c>
      <c r="H97" s="2" t="n">
        <v>46297.44652777778</v>
      </c>
      <c r="I97" s="2" t="n">
        <v>46297.45763888889</v>
      </c>
      <c r="J97" t="inlineStr">
        <is>
          <t>Completed</t>
        </is>
      </c>
      <c r="K97" t="n">
        <v>1.07</v>
      </c>
      <c r="L97" t="n">
        <v>16</v>
      </c>
      <c r="M97" t="b">
        <v>0</v>
      </c>
      <c r="N97" t="n">
        <v>0</v>
      </c>
      <c r="O97" t="b">
        <v>1</v>
      </c>
      <c r="P97" t="b">
        <v>0</v>
      </c>
      <c r="Q97" t="b">
        <v>0</v>
      </c>
    </row>
    <row r="98">
      <c r="A98" t="inlineStr">
        <is>
          <t>REQ00097</t>
        </is>
      </c>
      <c r="B98" t="inlineStr">
        <is>
          <t>969500XVU8FKIP5GP684</t>
        </is>
      </c>
      <c r="C98" t="inlineStr">
        <is>
          <t>signatory_change</t>
        </is>
      </c>
      <c r="D98" s="2" t="n">
        <v>46297.41388888889</v>
      </c>
      <c r="E98" s="2" t="n">
        <v>46297.74722222222</v>
      </c>
      <c r="F98" t="inlineStr">
        <is>
          <t>M6</t>
        </is>
      </c>
      <c r="G98" t="inlineStr">
        <is>
          <t>C3</t>
        </is>
      </c>
      <c r="H98" s="2" t="n">
        <v>46297.44027777778</v>
      </c>
      <c r="I98" s="2" t="n">
        <v>46297.60555555556</v>
      </c>
      <c r="J98" t="inlineStr">
        <is>
          <t>Completed</t>
        </is>
      </c>
      <c r="K98" t="n">
        <v>4.6</v>
      </c>
      <c r="L98" t="n">
        <v>8</v>
      </c>
      <c r="M98" t="b">
        <v>0</v>
      </c>
      <c r="N98" t="n">
        <v>0</v>
      </c>
      <c r="O98" t="b">
        <v>1</v>
      </c>
      <c r="P98" t="b">
        <v>0</v>
      </c>
      <c r="Q98" t="b">
        <v>1</v>
      </c>
    </row>
    <row r="99">
      <c r="A99" t="inlineStr">
        <is>
          <t>REQ00098</t>
        </is>
      </c>
      <c r="B99" t="inlineStr">
        <is>
          <t>506700IEONDC23KGSF62</t>
        </is>
      </c>
      <c r="C99" t="inlineStr">
        <is>
          <t>new_account</t>
        </is>
      </c>
      <c r="D99" s="2" t="n">
        <v>46297.41458333333</v>
      </c>
      <c r="E99" s="2" t="n">
        <v>46300.70625</v>
      </c>
      <c r="F99" t="inlineStr">
        <is>
          <t>M4</t>
        </is>
      </c>
      <c r="G99" t="inlineStr">
        <is>
          <t>C3</t>
        </is>
      </c>
      <c r="H99" s="2" t="n">
        <v>46297.44583333333</v>
      </c>
      <c r="I99" s="2" t="n">
        <v>46297.45763888889</v>
      </c>
      <c r="J99" t="inlineStr">
        <is>
          <t>Completed</t>
        </is>
      </c>
      <c r="K99" t="n">
        <v>1.03</v>
      </c>
      <c r="L99" t="n">
        <v>16</v>
      </c>
      <c r="M99" t="b">
        <v>0</v>
      </c>
      <c r="N99" t="n">
        <v>0</v>
      </c>
      <c r="O99" t="b">
        <v>1</v>
      </c>
      <c r="P99" t="b">
        <v>0</v>
      </c>
      <c r="Q99" t="b">
        <v>0</v>
      </c>
    </row>
    <row r="100">
      <c r="A100" t="inlineStr">
        <is>
          <t>REQ00099</t>
        </is>
      </c>
      <c r="B100" t="inlineStr">
        <is>
          <t>984500KA7A7075BD9997</t>
        </is>
      </c>
      <c r="C100" t="inlineStr">
        <is>
          <t>new_account</t>
        </is>
      </c>
      <c r="D100" s="2" t="n">
        <v>46297.41458333333</v>
      </c>
      <c r="E100" s="2" t="n">
        <v>46300.70625</v>
      </c>
      <c r="F100" t="inlineStr">
        <is>
          <t>M5</t>
        </is>
      </c>
      <c r="G100" t="inlineStr">
        <is>
          <t>C1</t>
        </is>
      </c>
      <c r="H100" s="2" t="n">
        <v>46297.44513888889</v>
      </c>
      <c r="I100" s="2" t="n">
        <v>46297.45625</v>
      </c>
      <c r="J100" t="inlineStr">
        <is>
          <t>Completed</t>
        </is>
      </c>
      <c r="K100" t="n">
        <v>1.01</v>
      </c>
      <c r="L100" t="n">
        <v>16</v>
      </c>
      <c r="M100" t="b">
        <v>0</v>
      </c>
      <c r="N100" t="n">
        <v>0</v>
      </c>
      <c r="O100" t="b">
        <v>1</v>
      </c>
      <c r="P100" t="b">
        <v>0</v>
      </c>
      <c r="Q100" t="b">
        <v>0</v>
      </c>
    </row>
    <row r="101">
      <c r="A101" t="inlineStr">
        <is>
          <t>REQ00100</t>
        </is>
      </c>
      <c r="B101" t="inlineStr">
        <is>
          <t>984500B14AB73DV36115</t>
        </is>
      </c>
      <c r="C101" t="inlineStr">
        <is>
          <t>data_amendment</t>
        </is>
      </c>
      <c r="D101" s="2" t="n">
        <v>46297.42361111111</v>
      </c>
      <c r="E101" s="2" t="n">
        <v>46300.38194444445</v>
      </c>
      <c r="F101" t="inlineStr">
        <is>
          <t>M1</t>
        </is>
      </c>
      <c r="G101" t="inlineStr">
        <is>
          <t>C1</t>
        </is>
      </c>
      <c r="H101" s="2" t="n">
        <v>46297.43888888889</v>
      </c>
      <c r="I101" s="2" t="n">
        <v>46297.44236111111</v>
      </c>
      <c r="J101" t="inlineStr">
        <is>
          <t>Completed</t>
        </is>
      </c>
      <c r="K101" t="n">
        <v>0.45</v>
      </c>
      <c r="L101" t="n">
        <v>8</v>
      </c>
      <c r="M101" t="b">
        <v>0</v>
      </c>
      <c r="N101" t="n">
        <v>0</v>
      </c>
      <c r="O101" t="b">
        <v>1</v>
      </c>
      <c r="P101" t="b">
        <v>0</v>
      </c>
      <c r="Q101" t="b">
        <v>0</v>
      </c>
    </row>
    <row r="102">
      <c r="A102" t="inlineStr">
        <is>
          <t>REQ00101</t>
        </is>
      </c>
      <c r="B102" t="inlineStr">
        <is>
          <t>724500ZW8DRSJ212NR08</t>
        </is>
      </c>
      <c r="C102" t="inlineStr">
        <is>
          <t>document_refresh</t>
        </is>
      </c>
      <c r="D102" s="2" t="n">
        <v>46297.42430555556</v>
      </c>
      <c r="E102" s="2" t="n">
        <v>46300.54930555556</v>
      </c>
      <c r="F102" t="inlineStr">
        <is>
          <t>M3</t>
        </is>
      </c>
      <c r="G102" t="inlineStr">
        <is>
          <t>C2</t>
        </is>
      </c>
      <c r="H102" s="2" t="n">
        <v>46297.44791666666</v>
      </c>
      <c r="I102" s="2" t="n">
        <v>46297.58125</v>
      </c>
      <c r="J102" t="inlineStr">
        <is>
          <t>Completed</t>
        </is>
      </c>
      <c r="K102" t="n">
        <v>3.77</v>
      </c>
      <c r="L102" t="n">
        <v>12</v>
      </c>
      <c r="M102" t="b">
        <v>0</v>
      </c>
      <c r="N102" t="n">
        <v>0</v>
      </c>
      <c r="O102" t="b">
        <v>1</v>
      </c>
      <c r="P102" t="b">
        <v>0</v>
      </c>
      <c r="Q102" t="b">
        <v>1</v>
      </c>
    </row>
    <row r="103">
      <c r="A103" t="inlineStr">
        <is>
          <t>REQ00102</t>
        </is>
      </c>
      <c r="B103" t="inlineStr">
        <is>
          <t>5493002RPRHCSJQ5MZ46</t>
        </is>
      </c>
      <c r="C103" t="inlineStr">
        <is>
          <t>signatory_change</t>
        </is>
      </c>
      <c r="D103" s="2" t="n">
        <v>46297.42777777778</v>
      </c>
      <c r="E103" s="2" t="n">
        <v>46300.38611111111</v>
      </c>
      <c r="F103" t="inlineStr">
        <is>
          <t>M1</t>
        </is>
      </c>
      <c r="G103" t="inlineStr">
        <is>
          <t>C3</t>
        </is>
      </c>
      <c r="H103" s="2" t="n">
        <v>46297.45347222222</v>
      </c>
      <c r="I103" s="2" t="n">
        <v>46297.61319444444</v>
      </c>
      <c r="J103" t="inlineStr">
        <is>
          <t>Completed</t>
        </is>
      </c>
      <c r="K103" t="n">
        <v>4.44</v>
      </c>
      <c r="L103" t="n">
        <v>8</v>
      </c>
      <c r="M103" t="b">
        <v>0</v>
      </c>
      <c r="N103" t="n">
        <v>0</v>
      </c>
      <c r="O103" t="b">
        <v>1</v>
      </c>
      <c r="P103" t="b">
        <v>0</v>
      </c>
      <c r="Q103" t="b">
        <v>1</v>
      </c>
    </row>
    <row r="104">
      <c r="A104" t="inlineStr">
        <is>
          <t>REQ00103</t>
        </is>
      </c>
      <c r="B104" t="inlineStr">
        <is>
          <t>549300VI7Y5W4PB8DG72</t>
        </is>
      </c>
      <c r="C104" t="inlineStr">
        <is>
          <t>document_refresh</t>
        </is>
      </c>
      <c r="D104" s="2" t="n">
        <v>46297.42916666667</v>
      </c>
      <c r="E104" s="2" t="n">
        <v>46300.55416666667</v>
      </c>
      <c r="F104" t="inlineStr">
        <is>
          <t>M6</t>
        </is>
      </c>
      <c r="G104" t="inlineStr">
        <is>
          <t>C1</t>
        </is>
      </c>
      <c r="H104" s="2" t="n">
        <v>46297.45833333334</v>
      </c>
      <c r="I104" s="2" t="n">
        <v>46297.63888888889</v>
      </c>
      <c r="J104" t="inlineStr">
        <is>
          <t>Completed</t>
        </is>
      </c>
      <c r="K104" t="n">
        <v>5.04</v>
      </c>
      <c r="L104" t="n">
        <v>12</v>
      </c>
      <c r="M104" t="b">
        <v>0</v>
      </c>
      <c r="N104" t="n">
        <v>0</v>
      </c>
      <c r="O104" t="b">
        <v>1</v>
      </c>
      <c r="P104" t="b">
        <v>0</v>
      </c>
      <c r="Q104" t="b">
        <v>1</v>
      </c>
    </row>
    <row r="105">
      <c r="A105" t="inlineStr">
        <is>
          <t>REQ00104</t>
        </is>
      </c>
      <c r="B105" t="inlineStr">
        <is>
          <t>724500SZNC3MFQ99HY08</t>
        </is>
      </c>
      <c r="C105" t="inlineStr">
        <is>
          <t>document_refresh</t>
        </is>
      </c>
      <c r="D105" s="2" t="n">
        <v>46297.43333333333</v>
      </c>
      <c r="E105" s="2" t="n">
        <v>46300.55833333333</v>
      </c>
      <c r="F105" t="inlineStr">
        <is>
          <t>M5</t>
        </is>
      </c>
      <c r="G105" t="inlineStr">
        <is>
          <t>C3</t>
        </is>
      </c>
      <c r="H105" s="2" t="n">
        <v>46297.45694444444</v>
      </c>
      <c r="I105" s="2" t="n">
        <v>46297.70347222222</v>
      </c>
      <c r="J105" t="inlineStr">
        <is>
          <t>Completed</t>
        </is>
      </c>
      <c r="K105" t="n">
        <v>6.49</v>
      </c>
      <c r="L105" t="n">
        <v>12</v>
      </c>
      <c r="M105" t="b">
        <v>0</v>
      </c>
      <c r="N105" t="n">
        <v>0</v>
      </c>
      <c r="O105" t="b">
        <v>1</v>
      </c>
      <c r="P105" t="b">
        <v>0</v>
      </c>
      <c r="Q105" t="b">
        <v>1</v>
      </c>
    </row>
    <row r="106">
      <c r="A106" t="inlineStr">
        <is>
          <t>REQ00105</t>
        </is>
      </c>
      <c r="B106" t="inlineStr">
        <is>
          <t>724500CKLURXW1U4S326</t>
        </is>
      </c>
      <c r="C106" t="inlineStr">
        <is>
          <t>signatory_change</t>
        </is>
      </c>
      <c r="D106" s="2" t="n">
        <v>46297.44166666667</v>
      </c>
      <c r="E106" s="2" t="n">
        <v>46300.4</v>
      </c>
      <c r="F106" t="inlineStr">
        <is>
          <t>M4</t>
        </is>
      </c>
      <c r="G106" t="inlineStr">
        <is>
          <t>C3</t>
        </is>
      </c>
      <c r="H106" s="2" t="n">
        <v>46297.46805555555</v>
      </c>
      <c r="I106" s="2" t="n">
        <v>46297.47430555556</v>
      </c>
      <c r="J106" t="inlineStr">
        <is>
          <t>Completed</t>
        </is>
      </c>
      <c r="K106" t="n">
        <v>0.78</v>
      </c>
      <c r="L106" t="n">
        <v>8</v>
      </c>
      <c r="M106" t="b">
        <v>0</v>
      </c>
      <c r="N106" t="n">
        <v>0</v>
      </c>
      <c r="O106" t="b">
        <v>1</v>
      </c>
      <c r="P106" t="b">
        <v>0</v>
      </c>
      <c r="Q106" t="b">
        <v>0</v>
      </c>
    </row>
    <row r="107">
      <c r="A107" t="inlineStr">
        <is>
          <t>REQ00106</t>
        </is>
      </c>
      <c r="B107" t="inlineStr">
        <is>
          <t>724500H1IVLQHNYZTV03</t>
        </is>
      </c>
      <c r="C107" t="inlineStr">
        <is>
          <t>signatory_change</t>
        </is>
      </c>
      <c r="D107" s="2" t="n">
        <v>46297.44305555556</v>
      </c>
      <c r="E107" s="2" t="n">
        <v>46300.40138888889</v>
      </c>
      <c r="F107" t="inlineStr">
        <is>
          <t>M2</t>
        </is>
      </c>
      <c r="G107" t="inlineStr">
        <is>
          <t>C2</t>
        </is>
      </c>
      <c r="H107" s="2" t="n">
        <v>46297.46180555555</v>
      </c>
      <c r="I107" s="2" t="n">
        <v>46297.64305555556</v>
      </c>
      <c r="J107" t="inlineStr">
        <is>
          <t>Completed</t>
        </is>
      </c>
      <c r="K107" t="n">
        <v>4.8</v>
      </c>
      <c r="L107" t="n">
        <v>8</v>
      </c>
      <c r="M107" t="b">
        <v>0</v>
      </c>
      <c r="N107" t="n">
        <v>0</v>
      </c>
      <c r="O107" t="b">
        <v>1</v>
      </c>
      <c r="P107" t="b">
        <v>0</v>
      </c>
      <c r="Q107" t="b">
        <v>1</v>
      </c>
    </row>
    <row r="108">
      <c r="A108" t="inlineStr">
        <is>
          <t>REQ00107</t>
        </is>
      </c>
      <c r="B108" t="inlineStr">
        <is>
          <t>9845009E7429AEAD4894</t>
        </is>
      </c>
      <c r="C108" t="inlineStr">
        <is>
          <t>signatory_change</t>
        </is>
      </c>
      <c r="D108" s="2" t="n">
        <v>46297.44791666666</v>
      </c>
      <c r="E108" s="2" t="n">
        <v>46300.40625</v>
      </c>
      <c r="F108" t="inlineStr">
        <is>
          <t>M3</t>
        </is>
      </c>
      <c r="G108" t="inlineStr">
        <is>
          <t>C1</t>
        </is>
      </c>
      <c r="H108" s="2" t="n">
        <v>46297.46458333333</v>
      </c>
      <c r="I108" s="2" t="n">
        <v>46297.47222222222</v>
      </c>
      <c r="J108" t="inlineStr">
        <is>
          <t>Completed</t>
        </is>
      </c>
      <c r="K108" t="n">
        <v>0.59</v>
      </c>
      <c r="L108" t="n">
        <v>8</v>
      </c>
      <c r="M108" t="b">
        <v>0</v>
      </c>
      <c r="N108" t="n">
        <v>0</v>
      </c>
      <c r="O108" t="b">
        <v>1</v>
      </c>
      <c r="P108" t="b">
        <v>0</v>
      </c>
      <c r="Q108" t="b">
        <v>0</v>
      </c>
    </row>
    <row r="109">
      <c r="A109" t="inlineStr">
        <is>
          <t>REQ00108</t>
        </is>
      </c>
      <c r="B109" t="inlineStr">
        <is>
          <t>254900F668HRS170GT83</t>
        </is>
      </c>
      <c r="C109" t="inlineStr">
        <is>
          <t>signatory_change</t>
        </is>
      </c>
      <c r="D109" s="2" t="n">
        <v>46297.45069444444</v>
      </c>
      <c r="E109" s="2" t="n">
        <v>46300.40902777778</v>
      </c>
      <c r="F109" t="inlineStr">
        <is>
          <t>M1</t>
        </is>
      </c>
      <c r="G109" t="inlineStr">
        <is>
          <t>C2</t>
        </is>
      </c>
      <c r="H109" s="2" t="n">
        <v>46297.46944444445</v>
      </c>
      <c r="I109" s="2" t="n">
        <v>46297.48125</v>
      </c>
      <c r="J109" t="inlineStr">
        <is>
          <t>Completed</t>
        </is>
      </c>
      <c r="K109" t="n">
        <v>0.73</v>
      </c>
      <c r="L109" t="n">
        <v>8</v>
      </c>
      <c r="M109" t="b">
        <v>0</v>
      </c>
      <c r="N109" t="n">
        <v>0</v>
      </c>
      <c r="O109" t="b">
        <v>1</v>
      </c>
      <c r="P109" t="b">
        <v>0</v>
      </c>
      <c r="Q109" t="b">
        <v>0</v>
      </c>
    </row>
    <row r="110">
      <c r="A110" t="inlineStr">
        <is>
          <t>REQ00109</t>
        </is>
      </c>
      <c r="B110" t="inlineStr">
        <is>
          <t>969500FEKK527RVCPM68</t>
        </is>
      </c>
      <c r="C110" t="inlineStr">
        <is>
          <t>signatory_change</t>
        </is>
      </c>
      <c r="D110" s="2" t="n">
        <v>46297.45833333334</v>
      </c>
      <c r="E110" s="2" t="n">
        <v>46300.41666666666</v>
      </c>
      <c r="F110" t="inlineStr">
        <is>
          <t>M5</t>
        </is>
      </c>
      <c r="G110" t="inlineStr">
        <is>
          <t>C3</t>
        </is>
      </c>
      <c r="H110" s="2" t="n">
        <v>46297.47708333333</v>
      </c>
      <c r="I110" s="2" t="n">
        <v>46297.49375</v>
      </c>
      <c r="J110" t="inlineStr">
        <is>
          <t>Completed</t>
        </is>
      </c>
      <c r="K110" t="n">
        <v>0.85</v>
      </c>
      <c r="L110" t="n">
        <v>8</v>
      </c>
      <c r="M110" t="b">
        <v>0</v>
      </c>
      <c r="N110" t="n">
        <v>0</v>
      </c>
      <c r="O110" t="b">
        <v>1</v>
      </c>
      <c r="P110" t="b">
        <v>0</v>
      </c>
      <c r="Q110" t="b">
        <v>0</v>
      </c>
    </row>
    <row r="111">
      <c r="A111" t="inlineStr">
        <is>
          <t>REQ00110</t>
        </is>
      </c>
      <c r="B111" t="inlineStr">
        <is>
          <t>213800G2HXJAJUZ22E07</t>
        </is>
      </c>
      <c r="C111" t="inlineStr">
        <is>
          <t>new_account</t>
        </is>
      </c>
      <c r="D111" s="2" t="n">
        <v>46297.46111111111</v>
      </c>
      <c r="E111" s="2" t="n">
        <v>46301.37777777778</v>
      </c>
      <c r="F111" t="inlineStr">
        <is>
          <t>M6</t>
        </is>
      </c>
      <c r="G111" t="inlineStr">
        <is>
          <t>C3</t>
        </is>
      </c>
      <c r="H111" s="2" t="n">
        <v>46297.48888888889</v>
      </c>
      <c r="I111" s="2" t="n">
        <v>46297.64652777778</v>
      </c>
      <c r="J111" t="inlineStr">
        <is>
          <t>Completed</t>
        </is>
      </c>
      <c r="K111" t="n">
        <v>4.45</v>
      </c>
      <c r="L111" t="n">
        <v>16</v>
      </c>
      <c r="M111" t="b">
        <v>0</v>
      </c>
      <c r="N111" t="n">
        <v>1</v>
      </c>
      <c r="O111" t="b">
        <v>0</v>
      </c>
      <c r="P111" t="b">
        <v>1</v>
      </c>
      <c r="Q111" t="b">
        <v>1</v>
      </c>
    </row>
    <row r="112">
      <c r="A112" t="inlineStr">
        <is>
          <t>REQ00111</t>
        </is>
      </c>
      <c r="B112" t="inlineStr">
        <is>
          <t>6488SYC674B9705NCG83</t>
        </is>
      </c>
      <c r="C112" t="inlineStr">
        <is>
          <t>data_amendment</t>
        </is>
      </c>
      <c r="D112" s="2" t="n">
        <v>46297.46180555555</v>
      </c>
      <c r="E112" s="2" t="n">
        <v>46300.42013888889</v>
      </c>
      <c r="F112" t="inlineStr">
        <is>
          <t>M2</t>
        </is>
      </c>
      <c r="G112" t="inlineStr">
        <is>
          <t>C2</t>
        </is>
      </c>
      <c r="H112" s="2" t="n">
        <v>46297.47083333333</v>
      </c>
      <c r="I112" s="2" t="n">
        <v>46297.48611111111</v>
      </c>
      <c r="J112" t="inlineStr">
        <is>
          <t>Completed</t>
        </is>
      </c>
      <c r="K112" t="n">
        <v>0.59</v>
      </c>
      <c r="L112" t="n">
        <v>8</v>
      </c>
      <c r="M112" t="b">
        <v>0</v>
      </c>
      <c r="N112" t="n">
        <v>0</v>
      </c>
      <c r="O112" t="b">
        <v>1</v>
      </c>
      <c r="P112" t="b">
        <v>0</v>
      </c>
      <c r="Q112" t="b">
        <v>0</v>
      </c>
    </row>
    <row r="113">
      <c r="A113" t="inlineStr">
        <is>
          <t>REQ00112</t>
        </is>
      </c>
      <c r="B113" t="inlineStr">
        <is>
          <t>5493009MX3I7MJOM4R27</t>
        </is>
      </c>
      <c r="C113" t="inlineStr">
        <is>
          <t>signatory_change</t>
        </is>
      </c>
      <c r="D113" s="2" t="n">
        <v>46297.47013888889</v>
      </c>
      <c r="E113" s="2" t="n">
        <v>46300.42847222222</v>
      </c>
      <c r="F113" t="inlineStr">
        <is>
          <t>M3</t>
        </is>
      </c>
      <c r="G113" t="inlineStr">
        <is>
          <t>C3</t>
        </is>
      </c>
      <c r="H113" s="2" t="n">
        <v>46297.48819444444</v>
      </c>
      <c r="I113" s="2" t="n">
        <v>46297.71527777778</v>
      </c>
      <c r="J113" t="inlineStr">
        <is>
          <t>Completed</t>
        </is>
      </c>
      <c r="K113" t="n">
        <v>5.89</v>
      </c>
      <c r="L113" t="n">
        <v>8</v>
      </c>
      <c r="M113" t="b">
        <v>0</v>
      </c>
      <c r="N113" t="n">
        <v>0</v>
      </c>
      <c r="O113" t="b">
        <v>1</v>
      </c>
      <c r="P113" t="b">
        <v>0</v>
      </c>
      <c r="Q113" t="b">
        <v>1</v>
      </c>
    </row>
    <row r="114">
      <c r="A114" t="inlineStr">
        <is>
          <t>REQ00113</t>
        </is>
      </c>
      <c r="B114" t="inlineStr">
        <is>
          <t>64888NT2DI840Z8DQ083</t>
        </is>
      </c>
      <c r="C114" t="inlineStr">
        <is>
          <t>signatory_change</t>
        </is>
      </c>
      <c r="D114" s="2" t="n">
        <v>46297.48125</v>
      </c>
      <c r="E114" s="2" t="n">
        <v>46300.43958333333</v>
      </c>
      <c r="F114" t="inlineStr">
        <is>
          <t>M4</t>
        </is>
      </c>
      <c r="G114" t="inlineStr">
        <is>
          <t>C2</t>
        </is>
      </c>
      <c r="H114" s="2" t="n">
        <v>46297.50138888889</v>
      </c>
      <c r="I114" s="2" t="n">
        <v>46297.50972222222</v>
      </c>
      <c r="J114" t="inlineStr">
        <is>
          <t>Completed</t>
        </is>
      </c>
      <c r="K114" t="n">
        <v>0.68</v>
      </c>
      <c r="L114" t="n">
        <v>8</v>
      </c>
      <c r="M114" t="b">
        <v>0</v>
      </c>
      <c r="N114" t="n">
        <v>0</v>
      </c>
      <c r="O114" t="b">
        <v>1</v>
      </c>
      <c r="P114" t="b">
        <v>0</v>
      </c>
      <c r="Q114" t="b">
        <v>0</v>
      </c>
    </row>
    <row r="115">
      <c r="A115" t="inlineStr">
        <is>
          <t>REQ00114</t>
        </is>
      </c>
      <c r="B115" t="inlineStr">
        <is>
          <t>549300LCEJ8EZKVGQQ26</t>
        </is>
      </c>
      <c r="C115" t="inlineStr">
        <is>
          <t>new_account</t>
        </is>
      </c>
      <c r="D115" s="2" t="n">
        <v>46297.48333333333</v>
      </c>
      <c r="E115" s="2" t="n">
        <v>46301.4</v>
      </c>
      <c r="F115" t="inlineStr">
        <is>
          <t>M1</t>
        </is>
      </c>
      <c r="G115" t="inlineStr">
        <is>
          <t>C1</t>
        </is>
      </c>
      <c r="H115" s="2" t="n">
        <v>46297.51875</v>
      </c>
      <c r="I115" s="2" t="n">
        <v>46297.53055555555</v>
      </c>
      <c r="J115" t="inlineStr">
        <is>
          <t>Completed</t>
        </is>
      </c>
      <c r="K115" t="n">
        <v>1.13</v>
      </c>
      <c r="L115" t="n">
        <v>16</v>
      </c>
      <c r="M115" t="b">
        <v>0</v>
      </c>
      <c r="N115" t="n">
        <v>0</v>
      </c>
      <c r="O115" t="b">
        <v>1</v>
      </c>
      <c r="P115" t="b">
        <v>0</v>
      </c>
      <c r="Q115" t="b">
        <v>0</v>
      </c>
    </row>
    <row r="116">
      <c r="A116" t="inlineStr">
        <is>
          <t>REQ00115</t>
        </is>
      </c>
      <c r="B116" t="inlineStr">
        <is>
          <t>969500YQ6ONFKACYS940</t>
        </is>
      </c>
      <c r="C116" t="inlineStr">
        <is>
          <t>data_amendment</t>
        </is>
      </c>
      <c r="D116" s="2" t="n">
        <v>46297.4875</v>
      </c>
      <c r="E116" s="2" t="n">
        <v>46300.44583333333</v>
      </c>
      <c r="F116" t="inlineStr">
        <is>
          <t>M2</t>
        </is>
      </c>
      <c r="G116" t="inlineStr">
        <is>
          <t>C3</t>
        </is>
      </c>
      <c r="H116" s="2" t="n">
        <v>46297.50069444445</v>
      </c>
      <c r="I116" s="2" t="n">
        <v>46297.59166666667</v>
      </c>
      <c r="J116" t="inlineStr">
        <is>
          <t>Completed</t>
        </is>
      </c>
      <c r="K116" t="n">
        <v>2.5</v>
      </c>
      <c r="L116" t="n">
        <v>8</v>
      </c>
      <c r="M116" t="b">
        <v>0</v>
      </c>
      <c r="N116" t="n">
        <v>0</v>
      </c>
      <c r="O116" t="b">
        <v>1</v>
      </c>
      <c r="P116" t="b">
        <v>0</v>
      </c>
      <c r="Q116" t="b">
        <v>1</v>
      </c>
    </row>
    <row r="117">
      <c r="A117" t="inlineStr">
        <is>
          <t>REQ00116</t>
        </is>
      </c>
      <c r="B117" t="inlineStr">
        <is>
          <t>335800T8VNJBH7X6AO38</t>
        </is>
      </c>
      <c r="C117" t="inlineStr">
        <is>
          <t>new_account</t>
        </is>
      </c>
      <c r="D117" s="2" t="n">
        <v>46297.49652777778</v>
      </c>
      <c r="E117" s="2" t="n">
        <v>46301.41319444445</v>
      </c>
      <c r="F117" t="inlineStr">
        <is>
          <t>M5</t>
        </is>
      </c>
      <c r="G117" t="inlineStr">
        <is>
          <t>C2</t>
        </is>
      </c>
      <c r="H117" s="2" t="n">
        <v>46297.52013888889</v>
      </c>
      <c r="I117" s="2" t="n">
        <v>46297.63055555556</v>
      </c>
      <c r="J117" t="inlineStr">
        <is>
          <t>Completed</t>
        </is>
      </c>
      <c r="K117" t="n">
        <v>3.22</v>
      </c>
      <c r="L117" t="n">
        <v>16</v>
      </c>
      <c r="M117" t="b">
        <v>0</v>
      </c>
      <c r="N117" t="n">
        <v>0</v>
      </c>
      <c r="O117" t="b">
        <v>1</v>
      </c>
      <c r="P117" t="b">
        <v>0</v>
      </c>
      <c r="Q117" t="b">
        <v>1</v>
      </c>
    </row>
    <row r="118">
      <c r="A118" t="inlineStr">
        <is>
          <t>REQ00117</t>
        </is>
      </c>
      <c r="B118" t="inlineStr">
        <is>
          <t>549300T82LY3NKC7G964</t>
        </is>
      </c>
      <c r="C118" t="inlineStr">
        <is>
          <t>data_amendment</t>
        </is>
      </c>
      <c r="D118" s="2" t="n">
        <v>46297.49791666667</v>
      </c>
      <c r="E118" s="2" t="n">
        <v>46300.45625</v>
      </c>
      <c r="F118" t="inlineStr">
        <is>
          <t>M3</t>
        </is>
      </c>
      <c r="G118" t="inlineStr">
        <is>
          <t>C3</t>
        </is>
      </c>
      <c r="H118" s="2" t="n">
        <v>46297.50694444445</v>
      </c>
      <c r="I118" s="2" t="n">
        <v>46297.64166666667</v>
      </c>
      <c r="J118" t="inlineStr">
        <is>
          <t>Completed</t>
        </is>
      </c>
      <c r="K118" t="n">
        <v>3.45</v>
      </c>
      <c r="L118" t="n">
        <v>8</v>
      </c>
      <c r="M118" t="b">
        <v>0</v>
      </c>
      <c r="N118" t="n">
        <v>0</v>
      </c>
      <c r="O118" t="b">
        <v>1</v>
      </c>
      <c r="P118" t="b">
        <v>0</v>
      </c>
      <c r="Q118" t="b">
        <v>1</v>
      </c>
    </row>
    <row r="119">
      <c r="A119" t="inlineStr">
        <is>
          <t>REQ00118</t>
        </is>
      </c>
      <c r="B119" t="inlineStr">
        <is>
          <t>549300J204QFLWUU4E78</t>
        </is>
      </c>
      <c r="C119" t="inlineStr">
        <is>
          <t>signatory_change</t>
        </is>
      </c>
      <c r="D119" s="2" t="n">
        <v>46297.49861111111</v>
      </c>
      <c r="E119" s="2" t="n">
        <v>46300.45694444444</v>
      </c>
      <c r="F119" t="inlineStr">
        <is>
          <t>M6</t>
        </is>
      </c>
      <c r="G119" t="inlineStr">
        <is>
          <t>C2</t>
        </is>
      </c>
      <c r="H119" s="2" t="n">
        <v>46297.525</v>
      </c>
      <c r="I119" s="2" t="n">
        <v>46300.37638888889</v>
      </c>
      <c r="J119" t="inlineStr">
        <is>
          <t>Completed</t>
        </is>
      </c>
      <c r="K119" t="n">
        <v>6.06</v>
      </c>
      <c r="L119" t="n">
        <v>8</v>
      </c>
      <c r="M119" t="b">
        <v>0</v>
      </c>
      <c r="N119" t="n">
        <v>0</v>
      </c>
      <c r="O119" t="b">
        <v>1</v>
      </c>
      <c r="P119" t="b">
        <v>0</v>
      </c>
      <c r="Q119" t="b">
        <v>1</v>
      </c>
    </row>
    <row r="120">
      <c r="A120" t="inlineStr">
        <is>
          <t>REQ00119</t>
        </is>
      </c>
      <c r="B120" t="inlineStr">
        <is>
          <t>894500L5PH2QZNVQFH03</t>
        </is>
      </c>
      <c r="C120" t="inlineStr">
        <is>
          <t>data_amendment</t>
        </is>
      </c>
      <c r="D120" s="2" t="n">
        <v>46297.51041666666</v>
      </c>
      <c r="E120" s="2" t="n">
        <v>46300.46875</v>
      </c>
      <c r="F120" t="inlineStr">
        <is>
          <t>M2</t>
        </is>
      </c>
      <c r="G120" t="inlineStr">
        <is>
          <t>C3</t>
        </is>
      </c>
      <c r="H120" s="2" t="n">
        <v>46297.52013888889</v>
      </c>
      <c r="I120" s="2" t="n">
        <v>46297.52361111111</v>
      </c>
      <c r="J120" t="inlineStr">
        <is>
          <t>Completed</t>
        </is>
      </c>
      <c r="K120" t="n">
        <v>0.31</v>
      </c>
      <c r="L120" t="n">
        <v>8</v>
      </c>
      <c r="M120" t="b">
        <v>0</v>
      </c>
      <c r="N120" t="n">
        <v>0</v>
      </c>
      <c r="O120" t="b">
        <v>1</v>
      </c>
      <c r="P120" t="b">
        <v>0</v>
      </c>
      <c r="Q120" t="b">
        <v>0</v>
      </c>
    </row>
    <row r="121">
      <c r="A121" t="inlineStr">
        <is>
          <t>REQ00120</t>
        </is>
      </c>
      <c r="B121" t="inlineStr">
        <is>
          <t>549300DE02ONIOZ69V71</t>
        </is>
      </c>
      <c r="C121" t="inlineStr">
        <is>
          <t>data_amendment</t>
        </is>
      </c>
      <c r="D121" s="2" t="n">
        <v>46297.51180555556</v>
      </c>
      <c r="E121" s="2" t="n">
        <v>46300.47013888889</v>
      </c>
      <c r="F121" t="inlineStr">
        <is>
          <t>M4</t>
        </is>
      </c>
      <c r="G121" t="inlineStr">
        <is>
          <t>C2</t>
        </is>
      </c>
      <c r="H121" s="2" t="n">
        <v>46297.52152777778</v>
      </c>
      <c r="I121" s="2" t="n">
        <v>46297.525</v>
      </c>
      <c r="J121" t="inlineStr">
        <is>
          <t>Completed</t>
        </is>
      </c>
      <c r="K121" t="n">
        <v>0.32</v>
      </c>
      <c r="L121" t="n">
        <v>8</v>
      </c>
      <c r="M121" t="b">
        <v>0</v>
      </c>
      <c r="N121" t="n">
        <v>0</v>
      </c>
      <c r="O121" t="b">
        <v>1</v>
      </c>
      <c r="P121" t="b">
        <v>0</v>
      </c>
      <c r="Q121" t="b">
        <v>0</v>
      </c>
    </row>
    <row r="122">
      <c r="A122" t="inlineStr">
        <is>
          <t>REQ00121</t>
        </is>
      </c>
      <c r="B122" t="inlineStr">
        <is>
          <t>7245004MUOQIWTY4AG22</t>
        </is>
      </c>
      <c r="C122" t="inlineStr">
        <is>
          <t>document_refresh</t>
        </is>
      </c>
      <c r="D122" s="2" t="n">
        <v>46297.52361111111</v>
      </c>
      <c r="E122" s="2" t="n">
        <v>46300.64861111111</v>
      </c>
      <c r="F122" t="inlineStr">
        <is>
          <t>M3</t>
        </is>
      </c>
      <c r="G122" t="inlineStr">
        <is>
          <t>C2</t>
        </is>
      </c>
      <c r="H122" s="2" t="n">
        <v>46297.53402777778</v>
      </c>
      <c r="I122" s="2" t="n">
        <v>46297.69861111111</v>
      </c>
      <c r="J122" t="inlineStr">
        <is>
          <t>Completed</t>
        </is>
      </c>
      <c r="K122" t="n">
        <v>4.21</v>
      </c>
      <c r="L122" t="n">
        <v>12</v>
      </c>
      <c r="M122" t="b">
        <v>0</v>
      </c>
      <c r="N122" t="n">
        <v>0</v>
      </c>
      <c r="O122" t="b">
        <v>1</v>
      </c>
      <c r="P122" t="b">
        <v>0</v>
      </c>
      <c r="Q122" t="b">
        <v>1</v>
      </c>
    </row>
    <row r="123">
      <c r="A123" t="inlineStr">
        <is>
          <t>REQ00122</t>
        </is>
      </c>
      <c r="B123" t="inlineStr">
        <is>
          <t>213800J3CZ451BTW6J16</t>
        </is>
      </c>
      <c r="C123" t="inlineStr">
        <is>
          <t>data_amendment</t>
        </is>
      </c>
      <c r="D123" s="2" t="n">
        <v>46297.52847222222</v>
      </c>
      <c r="E123" s="2" t="n">
        <v>46300.48680555556</v>
      </c>
      <c r="F123" t="inlineStr">
        <is>
          <t>M1</t>
        </is>
      </c>
      <c r="G123" t="inlineStr">
        <is>
          <t>C3</t>
        </is>
      </c>
      <c r="H123" s="2" t="n">
        <v>46297.53611111111</v>
      </c>
      <c r="I123" s="2" t="n">
        <v>46297.54027777778</v>
      </c>
      <c r="J123" t="inlineStr">
        <is>
          <t>Completed</t>
        </is>
      </c>
      <c r="K123" t="n">
        <v>0.28</v>
      </c>
      <c r="L123" t="n">
        <v>8</v>
      </c>
      <c r="M123" t="b">
        <v>0</v>
      </c>
      <c r="N123" t="n">
        <v>0</v>
      </c>
      <c r="O123" t="b">
        <v>1</v>
      </c>
      <c r="P123" t="b">
        <v>0</v>
      </c>
      <c r="Q123" t="b">
        <v>0</v>
      </c>
    </row>
    <row r="124">
      <c r="A124" t="inlineStr">
        <is>
          <t>REQ00123</t>
        </is>
      </c>
      <c r="B124" t="inlineStr">
        <is>
          <t>9695000MU9A6AEUAFQ86</t>
        </is>
      </c>
      <c r="C124" t="inlineStr">
        <is>
          <t>document_refresh</t>
        </is>
      </c>
      <c r="D124" s="2" t="n">
        <v>46297.53402777778</v>
      </c>
      <c r="E124" s="2" t="n">
        <v>46300.65902777778</v>
      </c>
      <c r="F124" t="inlineStr">
        <is>
          <t>M5</t>
        </is>
      </c>
      <c r="G124" t="inlineStr">
        <is>
          <t>C3</t>
        </is>
      </c>
      <c r="H124" s="2" t="n">
        <v>46297.55208333334</v>
      </c>
      <c r="I124" s="2" t="n">
        <v>46300.42708333334</v>
      </c>
      <c r="J124" t="inlineStr">
        <is>
          <t>Completed</t>
        </is>
      </c>
      <c r="K124" t="n">
        <v>6.44</v>
      </c>
      <c r="L124" t="n">
        <v>12</v>
      </c>
      <c r="M124" t="b">
        <v>0</v>
      </c>
      <c r="N124" t="n">
        <v>0</v>
      </c>
      <c r="O124" t="b">
        <v>1</v>
      </c>
      <c r="P124" t="b">
        <v>0</v>
      </c>
      <c r="Q124" t="b">
        <v>1</v>
      </c>
    </row>
    <row r="125">
      <c r="A125" t="inlineStr">
        <is>
          <t>REQ00124</t>
        </is>
      </c>
      <c r="B125" t="inlineStr">
        <is>
          <t>724500XI9W605DEC8V69</t>
        </is>
      </c>
      <c r="C125" t="inlineStr">
        <is>
          <t>data_amendment</t>
        </is>
      </c>
      <c r="D125" s="2" t="n">
        <v>46297.53472222222</v>
      </c>
      <c r="E125" s="2" t="n">
        <v>46300.49305555555</v>
      </c>
      <c r="F125" t="inlineStr">
        <is>
          <t>M2</t>
        </is>
      </c>
      <c r="G125" t="inlineStr">
        <is>
          <t>C3</t>
        </is>
      </c>
      <c r="H125" s="2" t="n">
        <v>46297.54652777778</v>
      </c>
      <c r="I125" s="2" t="n">
        <v>46297.55069444444</v>
      </c>
      <c r="J125" t="inlineStr">
        <is>
          <t>Completed</t>
        </is>
      </c>
      <c r="K125" t="n">
        <v>0.39</v>
      </c>
      <c r="L125" t="n">
        <v>8</v>
      </c>
      <c r="M125" t="b">
        <v>0</v>
      </c>
      <c r="N125" t="n">
        <v>0</v>
      </c>
      <c r="O125" t="b">
        <v>1</v>
      </c>
      <c r="P125" t="b">
        <v>0</v>
      </c>
      <c r="Q125" t="b">
        <v>0</v>
      </c>
    </row>
    <row r="126">
      <c r="A126" t="inlineStr">
        <is>
          <t>REQ00125</t>
        </is>
      </c>
      <c r="B126" t="inlineStr">
        <is>
          <t>9695007LTUSAUC9RQK33</t>
        </is>
      </c>
      <c r="C126" t="inlineStr">
        <is>
          <t>data_amendment</t>
        </is>
      </c>
      <c r="D126" s="2" t="n">
        <v>46297.53611111111</v>
      </c>
      <c r="E126" s="2" t="n">
        <v>46300.49444444444</v>
      </c>
      <c r="F126" t="inlineStr">
        <is>
          <t>M4</t>
        </is>
      </c>
      <c r="G126" t="inlineStr">
        <is>
          <t>C2</t>
        </is>
      </c>
      <c r="H126" s="2" t="n">
        <v>46297.54444444444</v>
      </c>
      <c r="I126" s="2" t="n">
        <v>46297.73472222222</v>
      </c>
      <c r="J126" t="inlineStr">
        <is>
          <t>Completed</t>
        </is>
      </c>
      <c r="K126" t="n">
        <v>4.77</v>
      </c>
      <c r="L126" t="n">
        <v>8</v>
      </c>
      <c r="M126" t="b">
        <v>0</v>
      </c>
      <c r="N126" t="n">
        <v>0</v>
      </c>
      <c r="O126" t="b">
        <v>1</v>
      </c>
      <c r="P126" t="b">
        <v>0</v>
      </c>
      <c r="Q126" t="b">
        <v>1</v>
      </c>
    </row>
    <row r="127">
      <c r="A127" t="inlineStr">
        <is>
          <t>REQ00126</t>
        </is>
      </c>
      <c r="B127" t="inlineStr">
        <is>
          <t>984500FAFBCA9F1FA487</t>
        </is>
      </c>
      <c r="C127" t="inlineStr">
        <is>
          <t>document_refresh</t>
        </is>
      </c>
      <c r="D127" s="2" t="n">
        <v>46297.54375</v>
      </c>
      <c r="E127" s="2" t="n">
        <v>46300.66875</v>
      </c>
      <c r="F127" t="inlineStr">
        <is>
          <t>M6</t>
        </is>
      </c>
      <c r="G127" t="inlineStr">
        <is>
          <t>C2</t>
        </is>
      </c>
      <c r="H127" s="2" t="n">
        <v>46297.56180555555</v>
      </c>
      <c r="I127" s="2" t="n">
        <v>46297.56597222222</v>
      </c>
      <c r="J127" t="inlineStr">
        <is>
          <t>Completed</t>
        </is>
      </c>
      <c r="K127" t="n">
        <v>0.53</v>
      </c>
      <c r="L127" t="n">
        <v>12</v>
      </c>
      <c r="M127" t="b">
        <v>0</v>
      </c>
      <c r="N127" t="n">
        <v>0</v>
      </c>
      <c r="O127" t="b">
        <v>1</v>
      </c>
      <c r="P127" t="b">
        <v>0</v>
      </c>
      <c r="Q127" t="b">
        <v>0</v>
      </c>
    </row>
    <row r="128">
      <c r="A128" t="inlineStr">
        <is>
          <t>REQ00127</t>
        </is>
      </c>
      <c r="B128" t="inlineStr">
        <is>
          <t>9845000D4703C2C74A04</t>
        </is>
      </c>
      <c r="C128" t="inlineStr">
        <is>
          <t>document_refresh</t>
        </is>
      </c>
      <c r="D128" s="2" t="n">
        <v>46297.54583333333</v>
      </c>
      <c r="E128" s="2" t="n">
        <v>46300.67083333333</v>
      </c>
      <c r="F128" t="inlineStr">
        <is>
          <t>M3</t>
        </is>
      </c>
      <c r="G128" t="inlineStr">
        <is>
          <t>C1</t>
        </is>
      </c>
      <c r="H128" s="2" t="n">
        <v>46297.55763888889</v>
      </c>
      <c r="I128" s="2" t="n">
        <v>46297.5625</v>
      </c>
      <c r="J128" t="inlineStr">
        <is>
          <t>Completed</t>
        </is>
      </c>
      <c r="K128" t="n">
        <v>0.41</v>
      </c>
      <c r="L128" t="n">
        <v>12</v>
      </c>
      <c r="M128" t="b">
        <v>0</v>
      </c>
      <c r="N128" t="n">
        <v>0</v>
      </c>
      <c r="O128" t="b">
        <v>1</v>
      </c>
      <c r="P128" t="b">
        <v>0</v>
      </c>
      <c r="Q128" t="b">
        <v>0</v>
      </c>
    </row>
    <row r="129">
      <c r="A129" t="inlineStr">
        <is>
          <t>REQ00128</t>
        </is>
      </c>
      <c r="B129" t="inlineStr">
        <is>
          <t>213800XB5GL4DZBGQN71</t>
        </is>
      </c>
      <c r="C129" t="inlineStr">
        <is>
          <t>signatory_change</t>
        </is>
      </c>
      <c r="D129" s="2" t="n">
        <v>46297.55138888889</v>
      </c>
      <c r="E129" s="2" t="n">
        <v>46300.50972222222</v>
      </c>
      <c r="F129" t="inlineStr">
        <is>
          <t>M1</t>
        </is>
      </c>
      <c r="G129" t="inlineStr">
        <is>
          <t>C1</t>
        </is>
      </c>
      <c r="H129" s="2" t="n">
        <v>46297.56944444445</v>
      </c>
      <c r="I129" s="2" t="n">
        <v>46297.57638888889</v>
      </c>
      <c r="J129" t="inlineStr">
        <is>
          <t>Completed</t>
        </is>
      </c>
      <c r="K129" t="n">
        <v>0.6</v>
      </c>
      <c r="L129" t="n">
        <v>8</v>
      </c>
      <c r="M129" t="b">
        <v>0</v>
      </c>
      <c r="N129" t="n">
        <v>0</v>
      </c>
      <c r="O129" t="b">
        <v>1</v>
      </c>
      <c r="P129" t="b">
        <v>0</v>
      </c>
      <c r="Q129" t="b">
        <v>0</v>
      </c>
    </row>
    <row r="130">
      <c r="A130" t="inlineStr">
        <is>
          <t>REQ00129</t>
        </is>
      </c>
      <c r="B130" t="inlineStr">
        <is>
          <t>391200C1TJH8LLGYPH27</t>
        </is>
      </c>
      <c r="C130" t="inlineStr">
        <is>
          <t>new_account</t>
        </is>
      </c>
      <c r="D130" s="2" t="n">
        <v>46297.55625</v>
      </c>
      <c r="E130" s="2" t="n">
        <v>46301.47291666667</v>
      </c>
      <c r="F130" t="inlineStr">
        <is>
          <t>M4</t>
        </is>
      </c>
      <c r="G130" t="inlineStr">
        <is>
          <t>C1</t>
        </is>
      </c>
      <c r="H130" s="2" t="n">
        <v>46297.58888888889</v>
      </c>
      <c r="I130" s="2" t="n">
        <v>46297.59652777778</v>
      </c>
      <c r="J130" t="inlineStr">
        <is>
          <t>Completed</t>
        </is>
      </c>
      <c r="K130" t="n">
        <v>0.96</v>
      </c>
      <c r="L130" t="n">
        <v>16</v>
      </c>
      <c r="M130" t="b">
        <v>0</v>
      </c>
      <c r="N130" t="n">
        <v>0</v>
      </c>
      <c r="O130" t="b">
        <v>1</v>
      </c>
      <c r="P130" t="b">
        <v>0</v>
      </c>
      <c r="Q130" t="b">
        <v>0</v>
      </c>
    </row>
    <row r="131">
      <c r="A131" t="inlineStr">
        <is>
          <t>REQ00130</t>
        </is>
      </c>
      <c r="B131" t="inlineStr">
        <is>
          <t>254900VTH6HXN87EYG25</t>
        </is>
      </c>
      <c r="C131" t="inlineStr">
        <is>
          <t>document_refresh</t>
        </is>
      </c>
      <c r="D131" s="2" t="n">
        <v>46297.55833333333</v>
      </c>
      <c r="E131" s="2" t="n">
        <v>46300.68333333333</v>
      </c>
      <c r="F131" t="inlineStr">
        <is>
          <t>M2</t>
        </is>
      </c>
      <c r="G131" t="inlineStr">
        <is>
          <t>C3</t>
        </is>
      </c>
      <c r="H131" s="2" t="n">
        <v>46297.56875</v>
      </c>
      <c r="I131" s="2" t="n">
        <v>46297.57569444444</v>
      </c>
      <c r="J131" t="inlineStr">
        <is>
          <t>Completed</t>
        </is>
      </c>
      <c r="K131" t="n">
        <v>0.42</v>
      </c>
      <c r="L131" t="n">
        <v>12</v>
      </c>
      <c r="M131" t="b">
        <v>0</v>
      </c>
      <c r="N131" t="n">
        <v>0</v>
      </c>
      <c r="O131" t="b">
        <v>1</v>
      </c>
      <c r="P131" t="b">
        <v>0</v>
      </c>
      <c r="Q131" t="b">
        <v>0</v>
      </c>
    </row>
    <row r="132">
      <c r="A132" t="inlineStr">
        <is>
          <t>REQ00131</t>
        </is>
      </c>
      <c r="B132" t="inlineStr">
        <is>
          <t>724500DWDMX0UYDUYR50</t>
        </is>
      </c>
      <c r="C132" t="inlineStr">
        <is>
          <t>new_account</t>
        </is>
      </c>
      <c r="D132" s="2" t="n">
        <v>46297.55902777778</v>
      </c>
      <c r="E132" s="2" t="n">
        <v>46301.47569444445</v>
      </c>
      <c r="F132" t="inlineStr">
        <is>
          <t>M5</t>
        </is>
      </c>
      <c r="G132" t="inlineStr">
        <is>
          <t>C2</t>
        </is>
      </c>
      <c r="H132" s="2" t="n">
        <v>46297.59444444445</v>
      </c>
      <c r="I132" s="2" t="n">
        <v>46297.60277777778</v>
      </c>
      <c r="J132" t="inlineStr">
        <is>
          <t>Completed</t>
        </is>
      </c>
      <c r="K132" t="n">
        <v>1.05</v>
      </c>
      <c r="L132" t="n">
        <v>16</v>
      </c>
      <c r="M132" t="b">
        <v>0</v>
      </c>
      <c r="N132" t="n">
        <v>0</v>
      </c>
      <c r="O132" t="b">
        <v>1</v>
      </c>
      <c r="P132" t="b">
        <v>0</v>
      </c>
      <c r="Q132" t="b">
        <v>0</v>
      </c>
    </row>
    <row r="133">
      <c r="A133" t="inlineStr">
        <is>
          <t>REQ00132</t>
        </is>
      </c>
      <c r="B133" t="inlineStr">
        <is>
          <t>549300SPG36K1AJK2T53</t>
        </is>
      </c>
      <c r="C133" t="inlineStr">
        <is>
          <t>document_refresh</t>
        </is>
      </c>
      <c r="D133" s="2" t="n">
        <v>46297.55902777778</v>
      </c>
      <c r="E133" s="2" t="n">
        <v>46300.68402777778</v>
      </c>
      <c r="F133" t="inlineStr">
        <is>
          <t>M3</t>
        </is>
      </c>
      <c r="G133" t="inlineStr">
        <is>
          <t>C2</t>
        </is>
      </c>
      <c r="H133" s="2" t="n">
        <v>46297.575</v>
      </c>
      <c r="I133" s="2" t="n">
        <v>46300.43263888889</v>
      </c>
      <c r="J133" t="inlineStr">
        <is>
          <t>Completed</t>
        </is>
      </c>
      <c r="K133" t="n">
        <v>5.96</v>
      </c>
      <c r="L133" t="n">
        <v>12</v>
      </c>
      <c r="M133" t="b">
        <v>0</v>
      </c>
      <c r="N133" t="n">
        <v>0</v>
      </c>
      <c r="O133" t="b">
        <v>1</v>
      </c>
      <c r="P133" t="b">
        <v>0</v>
      </c>
      <c r="Q133" t="b">
        <v>1</v>
      </c>
    </row>
    <row r="134">
      <c r="A134" t="inlineStr">
        <is>
          <t>REQ00133</t>
        </is>
      </c>
      <c r="B134" t="inlineStr">
        <is>
          <t>724500NHYFM61K2C6L59</t>
        </is>
      </c>
      <c r="C134" t="inlineStr">
        <is>
          <t>document_refresh</t>
        </is>
      </c>
      <c r="D134" s="2" t="n">
        <v>46297.58194444444</v>
      </c>
      <c r="E134" s="2" t="n">
        <v>46300.70694444444</v>
      </c>
      <c r="F134" t="inlineStr">
        <is>
          <t>M6</t>
        </is>
      </c>
      <c r="G134" t="inlineStr">
        <is>
          <t>C3</t>
        </is>
      </c>
      <c r="H134" s="2" t="n">
        <v>46297.59513888889</v>
      </c>
      <c r="I134" s="2" t="n">
        <v>46297.69305555556</v>
      </c>
      <c r="J134" t="inlineStr">
        <is>
          <t>Completed</t>
        </is>
      </c>
      <c r="K134" t="n">
        <v>2.67</v>
      </c>
      <c r="L134" t="n">
        <v>12</v>
      </c>
      <c r="M134" t="b">
        <v>0</v>
      </c>
      <c r="N134" t="n">
        <v>0</v>
      </c>
      <c r="O134" t="b">
        <v>1</v>
      </c>
      <c r="P134" t="b">
        <v>0</v>
      </c>
      <c r="Q134" t="b">
        <v>1</v>
      </c>
    </row>
    <row r="135">
      <c r="A135" t="inlineStr">
        <is>
          <t>REQ00134</t>
        </is>
      </c>
      <c r="B135" t="inlineStr">
        <is>
          <t>335800QTJSZBRMS18S82</t>
        </is>
      </c>
      <c r="C135" t="inlineStr">
        <is>
          <t>new_account</t>
        </is>
      </c>
      <c r="D135" s="2" t="n">
        <v>46297.58333333334</v>
      </c>
      <c r="E135" s="2" t="n">
        <v>46301.5</v>
      </c>
      <c r="F135" t="inlineStr">
        <is>
          <t>M2</t>
        </is>
      </c>
      <c r="G135" t="inlineStr">
        <is>
          <t>C1</t>
        </is>
      </c>
      <c r="H135" s="2" t="n">
        <v>46297.6125</v>
      </c>
      <c r="I135" s="2" t="n">
        <v>46297.62708333333</v>
      </c>
      <c r="J135" t="inlineStr">
        <is>
          <t>Completed</t>
        </is>
      </c>
      <c r="K135" t="n">
        <v>1.04</v>
      </c>
      <c r="L135" t="n">
        <v>16</v>
      </c>
      <c r="M135" t="b">
        <v>0</v>
      </c>
      <c r="N135" t="n">
        <v>0</v>
      </c>
      <c r="O135" t="b">
        <v>1</v>
      </c>
      <c r="P135" t="b">
        <v>0</v>
      </c>
      <c r="Q135" t="b">
        <v>0</v>
      </c>
    </row>
    <row r="136">
      <c r="A136" t="inlineStr">
        <is>
          <t>REQ00135</t>
        </is>
      </c>
      <c r="B136" t="inlineStr">
        <is>
          <t>UCOTF9YRR08GZH880T26</t>
        </is>
      </c>
      <c r="C136" t="inlineStr">
        <is>
          <t>document_refresh</t>
        </is>
      </c>
      <c r="D136" s="2" t="n">
        <v>46297.58402777778</v>
      </c>
      <c r="E136" s="2" t="n">
        <v>46300.70902777778</v>
      </c>
      <c r="F136" t="inlineStr">
        <is>
          <t>M1</t>
        </is>
      </c>
      <c r="G136" t="inlineStr">
        <is>
          <t>C1</t>
        </is>
      </c>
      <c r="H136" s="2" t="n">
        <v>46297.59930555556</v>
      </c>
      <c r="I136" s="2" t="n">
        <v>46297.70277777778</v>
      </c>
      <c r="J136" t="inlineStr">
        <is>
          <t>Completed</t>
        </is>
      </c>
      <c r="K136" t="n">
        <v>2.85</v>
      </c>
      <c r="L136" t="n">
        <v>12</v>
      </c>
      <c r="M136" t="b">
        <v>0</v>
      </c>
      <c r="N136" t="n">
        <v>0</v>
      </c>
      <c r="O136" t="b">
        <v>1</v>
      </c>
      <c r="P136" t="b">
        <v>0</v>
      </c>
      <c r="Q136" t="b">
        <v>1</v>
      </c>
    </row>
    <row r="137">
      <c r="A137" t="inlineStr">
        <is>
          <t>REQ00136</t>
        </is>
      </c>
      <c r="B137" t="inlineStr">
        <is>
          <t>724500MLVPU8TJG3RS17</t>
        </is>
      </c>
      <c r="C137" t="inlineStr">
        <is>
          <t>new_account</t>
        </is>
      </c>
      <c r="D137" s="2" t="n">
        <v>46297.58472222222</v>
      </c>
      <c r="E137" s="2" t="n">
        <v>46301.50138888889</v>
      </c>
      <c r="F137" t="inlineStr">
        <is>
          <t>M3</t>
        </is>
      </c>
      <c r="G137" t="inlineStr">
        <is>
          <t>C2</t>
        </is>
      </c>
      <c r="H137" s="2" t="n">
        <v>46297.61319444444</v>
      </c>
      <c r="I137" s="2" t="n">
        <v>46300.38541666666</v>
      </c>
      <c r="J137" t="inlineStr">
        <is>
          <t>Completed</t>
        </is>
      </c>
      <c r="K137" t="n">
        <v>4.22</v>
      </c>
      <c r="L137" t="n">
        <v>16</v>
      </c>
      <c r="M137" t="b">
        <v>0</v>
      </c>
      <c r="N137" t="n">
        <v>0</v>
      </c>
      <c r="O137" t="b">
        <v>1</v>
      </c>
      <c r="P137" t="b">
        <v>0</v>
      </c>
      <c r="Q137" t="b">
        <v>1</v>
      </c>
    </row>
    <row r="138">
      <c r="A138" t="inlineStr">
        <is>
          <t>REQ00137</t>
        </is>
      </c>
      <c r="B138" t="inlineStr">
        <is>
          <t>6488B9B8L5WS2SK63658</t>
        </is>
      </c>
      <c r="C138" t="inlineStr">
        <is>
          <t>signatory_change</t>
        </is>
      </c>
      <c r="D138" s="2" t="n">
        <v>46297.58680555555</v>
      </c>
      <c r="E138" s="2" t="n">
        <v>46300.54513888889</v>
      </c>
      <c r="F138" t="inlineStr">
        <is>
          <t>M4</t>
        </is>
      </c>
      <c r="G138" t="inlineStr">
        <is>
          <t>C2</t>
        </is>
      </c>
      <c r="H138" s="2" t="n">
        <v>46297.60486111111</v>
      </c>
      <c r="I138" s="2" t="n">
        <v>46297.61111111111</v>
      </c>
      <c r="J138" t="inlineStr">
        <is>
          <t>Completed</t>
        </is>
      </c>
      <c r="K138" t="n">
        <v>0.58</v>
      </c>
      <c r="L138" t="n">
        <v>8</v>
      </c>
      <c r="M138" t="b">
        <v>0</v>
      </c>
      <c r="N138" t="n">
        <v>0</v>
      </c>
      <c r="O138" t="b">
        <v>1</v>
      </c>
      <c r="P138" t="b">
        <v>0</v>
      </c>
      <c r="Q138" t="b">
        <v>0</v>
      </c>
    </row>
    <row r="139">
      <c r="A139" t="inlineStr">
        <is>
          <t>REQ00138</t>
        </is>
      </c>
      <c r="B139" t="inlineStr">
        <is>
          <t>894500L7E4X76SYD1L68</t>
        </is>
      </c>
      <c r="C139" t="inlineStr">
        <is>
          <t>data_amendment</t>
        </is>
      </c>
      <c r="D139" s="2" t="n">
        <v>46297.59166666667</v>
      </c>
      <c r="E139" s="2" t="n">
        <v>46300.55</v>
      </c>
      <c r="F139" t="inlineStr">
        <is>
          <t>M5</t>
        </is>
      </c>
      <c r="G139" t="inlineStr">
        <is>
          <t>C2</t>
        </is>
      </c>
      <c r="H139" s="2" t="n">
        <v>46297.60763888889</v>
      </c>
      <c r="I139" s="2" t="n">
        <v>46297.61388888889</v>
      </c>
      <c r="J139" t="inlineStr">
        <is>
          <t>Completed</t>
        </is>
      </c>
      <c r="K139" t="n">
        <v>0.53</v>
      </c>
      <c r="L139" t="n">
        <v>8</v>
      </c>
      <c r="M139" t="b">
        <v>0</v>
      </c>
      <c r="N139" t="n">
        <v>0</v>
      </c>
      <c r="O139" t="b">
        <v>1</v>
      </c>
      <c r="P139" t="b">
        <v>0</v>
      </c>
      <c r="Q139" t="b">
        <v>0</v>
      </c>
    </row>
    <row r="140">
      <c r="A140" t="inlineStr">
        <is>
          <t>REQ00139</t>
        </is>
      </c>
      <c r="B140" t="inlineStr">
        <is>
          <t>549300U3Z45YR5Y2IE59</t>
        </is>
      </c>
      <c r="C140" t="inlineStr">
        <is>
          <t>document_refresh</t>
        </is>
      </c>
      <c r="D140" s="2" t="n">
        <v>46297.59583333333</v>
      </c>
      <c r="E140" s="2" t="n">
        <v>46300.72083333333</v>
      </c>
      <c r="F140" t="inlineStr">
        <is>
          <t>M6</t>
        </is>
      </c>
      <c r="G140" t="inlineStr">
        <is>
          <t>C2</t>
        </is>
      </c>
      <c r="H140" s="2" t="n">
        <v>46297.61111111111</v>
      </c>
      <c r="I140" s="2" t="n">
        <v>46300.48333333333</v>
      </c>
      <c r="J140" t="inlineStr">
        <is>
          <t>Completed</t>
        </is>
      </c>
      <c r="K140" t="n">
        <v>6.31</v>
      </c>
      <c r="L140" t="n">
        <v>12</v>
      </c>
      <c r="M140" t="b">
        <v>0</v>
      </c>
      <c r="N140" t="n">
        <v>0</v>
      </c>
      <c r="O140" t="b">
        <v>1</v>
      </c>
      <c r="P140" t="b">
        <v>0</v>
      </c>
      <c r="Q140" t="b">
        <v>1</v>
      </c>
    </row>
    <row r="141">
      <c r="A141" t="inlineStr">
        <is>
          <t>REQ00140</t>
        </is>
      </c>
      <c r="B141" t="inlineStr">
        <is>
          <t>549300FX6M3B01TYJW46</t>
        </is>
      </c>
      <c r="C141" t="inlineStr">
        <is>
          <t>new_account</t>
        </is>
      </c>
      <c r="D141" s="2" t="n">
        <v>46297.59652777778</v>
      </c>
      <c r="E141" s="2" t="n">
        <v>46301.51319444444</v>
      </c>
      <c r="F141" t="inlineStr">
        <is>
          <t>M1</t>
        </is>
      </c>
      <c r="G141" t="inlineStr">
        <is>
          <t>C2</t>
        </is>
      </c>
      <c r="H141" s="2" t="n">
        <v>46297.62152777778</v>
      </c>
      <c r="I141" s="2" t="n">
        <v>46297.74583333333</v>
      </c>
      <c r="J141" t="inlineStr">
        <is>
          <t>Completed</t>
        </is>
      </c>
      <c r="K141" t="n">
        <v>3.59</v>
      </c>
      <c r="L141" t="n">
        <v>16</v>
      </c>
      <c r="M141" t="b">
        <v>0</v>
      </c>
      <c r="N141" t="n">
        <v>0</v>
      </c>
      <c r="O141" t="b">
        <v>1</v>
      </c>
      <c r="P141" t="b">
        <v>0</v>
      </c>
      <c r="Q141" t="b">
        <v>1</v>
      </c>
    </row>
    <row r="142">
      <c r="A142" t="inlineStr">
        <is>
          <t>REQ00141</t>
        </is>
      </c>
      <c r="B142" t="inlineStr">
        <is>
          <t>549300SOI2K0ZL16R564</t>
        </is>
      </c>
      <c r="C142" t="inlineStr">
        <is>
          <t>new_account</t>
        </is>
      </c>
      <c r="D142" s="2" t="n">
        <v>46297.59652777778</v>
      </c>
      <c r="E142" s="2" t="n">
        <v>46301.51319444444</v>
      </c>
      <c r="F142" t="inlineStr">
        <is>
          <t>M4</t>
        </is>
      </c>
      <c r="G142" t="inlineStr">
        <is>
          <t>C3</t>
        </is>
      </c>
      <c r="H142" s="2" t="n">
        <v>46297.63194444445</v>
      </c>
      <c r="I142" s="2" t="n">
        <v>46300.45972222222</v>
      </c>
      <c r="J142" t="inlineStr">
        <is>
          <t>Completed</t>
        </is>
      </c>
      <c r="K142" t="n">
        <v>5.72</v>
      </c>
      <c r="L142" t="n">
        <v>16</v>
      </c>
      <c r="M142" t="b">
        <v>0</v>
      </c>
      <c r="N142" t="n">
        <v>0</v>
      </c>
      <c r="O142" t="b">
        <v>1</v>
      </c>
      <c r="P142" t="b">
        <v>0</v>
      </c>
      <c r="Q142" t="b">
        <v>1</v>
      </c>
    </row>
    <row r="143">
      <c r="A143" t="inlineStr">
        <is>
          <t>REQ00142</t>
        </is>
      </c>
      <c r="B143" t="inlineStr">
        <is>
          <t>549300BEBY2ELYZNEX22</t>
        </is>
      </c>
      <c r="C143" t="inlineStr">
        <is>
          <t>new_account</t>
        </is>
      </c>
      <c r="D143" s="2" t="n">
        <v>46297.59930555556</v>
      </c>
      <c r="E143" s="2" t="n">
        <v>46301.51597222222</v>
      </c>
      <c r="F143" t="inlineStr">
        <is>
          <t>M5</t>
        </is>
      </c>
      <c r="G143" t="inlineStr">
        <is>
          <t>C3</t>
        </is>
      </c>
      <c r="H143" s="2" t="n">
        <v>46297.64652777778</v>
      </c>
      <c r="I143" s="2" t="n">
        <v>46300.40069444444</v>
      </c>
      <c r="J143" t="inlineStr">
        <is>
          <t>Completed</t>
        </is>
      </c>
      <c r="K143" t="n">
        <v>4.23</v>
      </c>
      <c r="L143" t="n">
        <v>16</v>
      </c>
      <c r="M143" t="b">
        <v>0</v>
      </c>
      <c r="N143" t="n">
        <v>1</v>
      </c>
      <c r="O143" t="b">
        <v>0</v>
      </c>
      <c r="P143" t="b">
        <v>1</v>
      </c>
      <c r="Q143" t="b">
        <v>1</v>
      </c>
    </row>
    <row r="144">
      <c r="A144" t="inlineStr">
        <is>
          <t>REQ00143</t>
        </is>
      </c>
      <c r="B144" t="inlineStr">
        <is>
          <t>254900KF4KGISZ3UIP18</t>
        </is>
      </c>
      <c r="C144" t="inlineStr">
        <is>
          <t>new_account</t>
        </is>
      </c>
      <c r="D144" s="2" t="n">
        <v>46297.60069444445</v>
      </c>
      <c r="E144" s="2" t="n">
        <v>46301.51736111111</v>
      </c>
      <c r="F144" t="inlineStr">
        <is>
          <t>M6</t>
        </is>
      </c>
      <c r="G144" t="inlineStr">
        <is>
          <t>C3</t>
        </is>
      </c>
      <c r="H144" s="2" t="n">
        <v>46297.64166666667</v>
      </c>
      <c r="I144" s="2" t="n">
        <v>46297.65069444444</v>
      </c>
      <c r="J144" t="inlineStr">
        <is>
          <t>Completed</t>
        </is>
      </c>
      <c r="K144" t="n">
        <v>1.2</v>
      </c>
      <c r="L144" t="n">
        <v>16</v>
      </c>
      <c r="M144" t="b">
        <v>0</v>
      </c>
      <c r="N144" t="n">
        <v>0</v>
      </c>
      <c r="O144" t="b">
        <v>1</v>
      </c>
      <c r="P144" t="b">
        <v>0</v>
      </c>
      <c r="Q144" t="b">
        <v>0</v>
      </c>
    </row>
    <row r="145">
      <c r="A145" t="inlineStr">
        <is>
          <t>REQ00144</t>
        </is>
      </c>
      <c r="B145" t="inlineStr">
        <is>
          <t>9845007AB9DB0MD5C847</t>
        </is>
      </c>
      <c r="C145" t="inlineStr">
        <is>
          <t>new_account</t>
        </is>
      </c>
      <c r="D145" s="2" t="n">
        <v>46297.60416666666</v>
      </c>
      <c r="E145" s="2" t="n">
        <v>46301.52083333334</v>
      </c>
      <c r="F145" t="inlineStr">
        <is>
          <t>M2</t>
        </is>
      </c>
      <c r="G145" t="inlineStr">
        <is>
          <t>C2</t>
        </is>
      </c>
      <c r="H145" s="2" t="n">
        <v>46297.64930555555</v>
      </c>
      <c r="I145" s="2" t="n">
        <v>46297.66180555556</v>
      </c>
      <c r="J145" t="inlineStr">
        <is>
          <t>Completed</t>
        </is>
      </c>
      <c r="K145" t="n">
        <v>1.38</v>
      </c>
      <c r="L145" t="n">
        <v>16</v>
      </c>
      <c r="M145" t="b">
        <v>0</v>
      </c>
      <c r="N145" t="n">
        <v>0</v>
      </c>
      <c r="O145" t="b">
        <v>1</v>
      </c>
      <c r="P145" t="b">
        <v>0</v>
      </c>
      <c r="Q145" t="b">
        <v>0</v>
      </c>
    </row>
    <row r="146">
      <c r="A146" t="inlineStr">
        <is>
          <t>REQ00145</t>
        </is>
      </c>
      <c r="B146" t="inlineStr">
        <is>
          <t>894500IUK18MC8R43A08</t>
        </is>
      </c>
      <c r="C146" t="inlineStr">
        <is>
          <t>new_account</t>
        </is>
      </c>
      <c r="D146" s="2" t="n">
        <v>46297.60625</v>
      </c>
      <c r="E146" s="2" t="n">
        <v>46301.52291666667</v>
      </c>
      <c r="F146" t="inlineStr">
        <is>
          <t>M3</t>
        </is>
      </c>
      <c r="G146" t="inlineStr">
        <is>
          <t>C1</t>
        </is>
      </c>
      <c r="H146" s="2" t="n">
        <v>46297.63958333333</v>
      </c>
      <c r="I146" s="2" t="n">
        <v>46297.65208333333</v>
      </c>
      <c r="J146" t="inlineStr">
        <is>
          <t>Completed</t>
        </is>
      </c>
      <c r="K146" t="n">
        <v>1.1</v>
      </c>
      <c r="L146" t="n">
        <v>16</v>
      </c>
      <c r="M146" t="b">
        <v>0</v>
      </c>
      <c r="N146" t="n">
        <v>0</v>
      </c>
      <c r="O146" t="b">
        <v>1</v>
      </c>
      <c r="P146" t="b">
        <v>0</v>
      </c>
      <c r="Q146" t="b">
        <v>0</v>
      </c>
    </row>
    <row r="147">
      <c r="A147" t="inlineStr">
        <is>
          <t>REQ00146</t>
        </is>
      </c>
      <c r="B147" t="inlineStr">
        <is>
          <t>549300ERXMXUOB813845</t>
        </is>
      </c>
      <c r="C147" t="inlineStr">
        <is>
          <t>new_account</t>
        </is>
      </c>
      <c r="D147" s="2" t="n">
        <v>46297.61666666667</v>
      </c>
      <c r="E147" s="2" t="n">
        <v>46301.53333333333</v>
      </c>
      <c r="F147" t="inlineStr">
        <is>
          <t>M1</t>
        </is>
      </c>
      <c r="G147" t="inlineStr">
        <is>
          <t>C3</t>
        </is>
      </c>
      <c r="H147" s="2" t="n">
        <v>46297.66041666667</v>
      </c>
      <c r="I147" s="2" t="n">
        <v>46300.39305555556</v>
      </c>
      <c r="J147" t="inlineStr">
        <is>
          <t>Completed</t>
        </is>
      </c>
      <c r="K147" t="n">
        <v>3.64</v>
      </c>
      <c r="L147" t="n">
        <v>16</v>
      </c>
      <c r="M147" t="b">
        <v>0</v>
      </c>
      <c r="N147" t="n">
        <v>0</v>
      </c>
      <c r="O147" t="b">
        <v>1</v>
      </c>
      <c r="P147" t="b">
        <v>0</v>
      </c>
      <c r="Q147" t="b">
        <v>1</v>
      </c>
    </row>
    <row r="148">
      <c r="A148" t="inlineStr">
        <is>
          <t>REQ00147</t>
        </is>
      </c>
      <c r="B148" t="inlineStr">
        <is>
          <t>969500AD73WSETDY1K03</t>
        </is>
      </c>
      <c r="C148" t="inlineStr">
        <is>
          <t>signatory_change</t>
        </is>
      </c>
      <c r="D148" s="2" t="n">
        <v>46297.61944444444</v>
      </c>
      <c r="E148" s="2" t="n">
        <v>46300.57777777778</v>
      </c>
      <c r="F148" t="inlineStr">
        <is>
          <t>M4</t>
        </is>
      </c>
      <c r="G148" t="inlineStr">
        <is>
          <t>C3</t>
        </is>
      </c>
      <c r="H148" s="2" t="n">
        <v>46297.64861111111</v>
      </c>
      <c r="I148" s="2" t="n">
        <v>46300.43472222222</v>
      </c>
      <c r="J148" t="inlineStr">
        <is>
          <t>Completed</t>
        </is>
      </c>
      <c r="K148" t="n">
        <v>4.57</v>
      </c>
      <c r="L148" t="n">
        <v>8</v>
      </c>
      <c r="M148" t="b">
        <v>0</v>
      </c>
      <c r="N148" t="n">
        <v>0</v>
      </c>
      <c r="O148" t="b">
        <v>1</v>
      </c>
      <c r="P148" t="b">
        <v>0</v>
      </c>
      <c r="Q148" t="b">
        <v>1</v>
      </c>
    </row>
    <row r="149">
      <c r="A149" t="inlineStr">
        <is>
          <t>REQ00148</t>
        </is>
      </c>
      <c r="B149" t="inlineStr">
        <is>
          <t>894500BBVA1I6S137V39</t>
        </is>
      </c>
      <c r="C149" t="inlineStr">
        <is>
          <t>document_refresh</t>
        </is>
      </c>
      <c r="D149" s="2" t="n">
        <v>46297.62152777778</v>
      </c>
      <c r="E149" s="2" t="n">
        <v>46300.74652777778</v>
      </c>
      <c r="F149" t="inlineStr">
        <is>
          <t>M3</t>
        </is>
      </c>
      <c r="G149" t="inlineStr">
        <is>
          <t>C3</t>
        </is>
      </c>
      <c r="H149" s="2" t="n">
        <v>46297.65069444444</v>
      </c>
      <c r="I149" s="2" t="n">
        <v>46297.65694444445</v>
      </c>
      <c r="J149" t="inlineStr">
        <is>
          <t>Completed</t>
        </is>
      </c>
      <c r="K149" t="n">
        <v>0.84</v>
      </c>
      <c r="L149" t="n">
        <v>12</v>
      </c>
      <c r="M149" t="b">
        <v>0</v>
      </c>
      <c r="N149" t="n">
        <v>0</v>
      </c>
      <c r="O149" t="b">
        <v>1</v>
      </c>
      <c r="P149" t="b">
        <v>0</v>
      </c>
      <c r="Q149" t="b">
        <v>0</v>
      </c>
    </row>
    <row r="150">
      <c r="A150" t="inlineStr">
        <is>
          <t>REQ00149</t>
        </is>
      </c>
      <c r="B150" t="inlineStr">
        <is>
          <t>2138002G4M9QLHOQJJ20</t>
        </is>
      </c>
      <c r="C150" t="inlineStr">
        <is>
          <t>signatory_change</t>
        </is>
      </c>
      <c r="D150" s="2" t="n">
        <v>46297.625</v>
      </c>
      <c r="E150" s="2" t="n">
        <v>46300.58333333334</v>
      </c>
      <c r="F150" t="inlineStr">
        <is>
          <t>M6</t>
        </is>
      </c>
      <c r="G150" t="inlineStr">
        <is>
          <t>C3</t>
        </is>
      </c>
      <c r="H150" s="2" t="n">
        <v>46297.66805555556</v>
      </c>
      <c r="I150" s="2" t="n">
        <v>46300.55069444444</v>
      </c>
      <c r="J150" t="inlineStr">
        <is>
          <t>Completed</t>
        </is>
      </c>
      <c r="K150" t="n">
        <v>7.21</v>
      </c>
      <c r="L150" t="n">
        <v>8</v>
      </c>
      <c r="M150" t="b">
        <v>0</v>
      </c>
      <c r="N150" t="n">
        <v>0</v>
      </c>
      <c r="O150" t="b">
        <v>1</v>
      </c>
      <c r="P150" t="b">
        <v>0</v>
      </c>
      <c r="Q150" t="b">
        <v>1</v>
      </c>
    </row>
    <row r="151">
      <c r="A151" t="inlineStr">
        <is>
          <t>REQ00150</t>
        </is>
      </c>
      <c r="B151" t="inlineStr">
        <is>
          <t>8945005I0FT2WSTNYI40</t>
        </is>
      </c>
      <c r="C151" t="inlineStr">
        <is>
          <t>document_refresh</t>
        </is>
      </c>
      <c r="D151" s="2" t="n">
        <v>46297.62638888889</v>
      </c>
      <c r="E151" s="2" t="n">
        <v>46301.37638888889</v>
      </c>
      <c r="F151" t="inlineStr">
        <is>
          <t>M5</t>
        </is>
      </c>
      <c r="G151" t="inlineStr">
        <is>
          <t>C1</t>
        </is>
      </c>
      <c r="H151" s="2" t="n">
        <v>46297.65972222222</v>
      </c>
      <c r="I151" s="2" t="n">
        <v>46300.45555555556</v>
      </c>
      <c r="J151" t="inlineStr">
        <is>
          <t>Completed</t>
        </is>
      </c>
      <c r="K151" t="n">
        <v>4.89</v>
      </c>
      <c r="L151" t="n">
        <v>12</v>
      </c>
      <c r="M151" t="b">
        <v>0</v>
      </c>
      <c r="N151" t="n">
        <v>0</v>
      </c>
      <c r="O151" t="b">
        <v>1</v>
      </c>
      <c r="P151" t="b">
        <v>0</v>
      </c>
      <c r="Q151" t="b">
        <v>1</v>
      </c>
    </row>
    <row r="152">
      <c r="A152" t="inlineStr">
        <is>
          <t>REQ00151</t>
        </is>
      </c>
      <c r="B152" t="inlineStr">
        <is>
          <t>52990001MRCN0SKVUG51</t>
        </is>
      </c>
      <c r="C152" t="inlineStr">
        <is>
          <t>document_refresh</t>
        </is>
      </c>
      <c r="D152" s="2" t="n">
        <v>46297.62777777778</v>
      </c>
      <c r="E152" s="2" t="n">
        <v>46301.37777777778</v>
      </c>
      <c r="F152" t="inlineStr">
        <is>
          <t>M4</t>
        </is>
      </c>
      <c r="G152" t="inlineStr">
        <is>
          <t>C1</t>
        </is>
      </c>
      <c r="H152" s="2" t="n">
        <v>46297.66319444445</v>
      </c>
      <c r="I152" s="2" t="n">
        <v>46297.66875</v>
      </c>
      <c r="J152" t="inlineStr">
        <is>
          <t>Completed</t>
        </is>
      </c>
      <c r="K152" t="n">
        <v>0.98</v>
      </c>
      <c r="L152" t="n">
        <v>12</v>
      </c>
      <c r="M152" t="b">
        <v>0</v>
      </c>
      <c r="N152" t="n">
        <v>0</v>
      </c>
      <c r="O152" t="b">
        <v>1</v>
      </c>
      <c r="P152" t="b">
        <v>0</v>
      </c>
      <c r="Q152" t="b">
        <v>0</v>
      </c>
    </row>
    <row r="153">
      <c r="A153" t="inlineStr">
        <is>
          <t>REQ00152</t>
        </is>
      </c>
      <c r="B153" t="inlineStr">
        <is>
          <t>335800EI8D32JL2YF511</t>
        </is>
      </c>
      <c r="C153" t="inlineStr">
        <is>
          <t>new_account</t>
        </is>
      </c>
      <c r="D153" s="2" t="n">
        <v>46297.63194444445</v>
      </c>
      <c r="E153" s="2" t="n">
        <v>46301.54861111111</v>
      </c>
      <c r="F153" t="inlineStr">
        <is>
          <t>M2</t>
        </is>
      </c>
      <c r="G153" t="inlineStr">
        <is>
          <t>C2</t>
        </is>
      </c>
      <c r="H153" s="2" t="n">
        <v>46297.67569444444</v>
      </c>
      <c r="I153" s="2" t="n">
        <v>46297.68819444445</v>
      </c>
      <c r="J153" t="inlineStr">
        <is>
          <t>Completed</t>
        </is>
      </c>
      <c r="K153" t="n">
        <v>1.34</v>
      </c>
      <c r="L153" t="n">
        <v>16</v>
      </c>
      <c r="M153" t="b">
        <v>0</v>
      </c>
      <c r="N153" t="n">
        <v>0</v>
      </c>
      <c r="O153" t="b">
        <v>1</v>
      </c>
      <c r="P153" t="b">
        <v>0</v>
      </c>
      <c r="Q153" t="b">
        <v>0</v>
      </c>
    </row>
    <row r="154">
      <c r="A154" t="inlineStr">
        <is>
          <t>REQ00153</t>
        </is>
      </c>
      <c r="B154" t="inlineStr">
        <is>
          <t>222100JV2FSQ5161UK29</t>
        </is>
      </c>
      <c r="C154" t="inlineStr">
        <is>
          <t>new_account</t>
        </is>
      </c>
      <c r="D154" s="2" t="n">
        <v>46297.63333333333</v>
      </c>
      <c r="E154" s="2" t="n">
        <v>46301.55</v>
      </c>
      <c r="F154" t="inlineStr">
        <is>
          <t>M3</t>
        </is>
      </c>
      <c r="G154" t="inlineStr">
        <is>
          <t>C2</t>
        </is>
      </c>
      <c r="H154" s="2" t="n">
        <v>46297.67430555556</v>
      </c>
      <c r="I154" s="2" t="n">
        <v>46300.51666666667</v>
      </c>
      <c r="J154" t="inlineStr">
        <is>
          <t>Completed</t>
        </is>
      </c>
      <c r="K154" t="n">
        <v>6.2</v>
      </c>
      <c r="L154" t="n">
        <v>16</v>
      </c>
      <c r="M154" t="b">
        <v>0</v>
      </c>
      <c r="N154" t="n">
        <v>0</v>
      </c>
      <c r="O154" t="b">
        <v>1</v>
      </c>
      <c r="P154" t="b">
        <v>0</v>
      </c>
      <c r="Q154" t="b">
        <v>1</v>
      </c>
    </row>
    <row r="155">
      <c r="A155" t="inlineStr">
        <is>
          <t>REQ00154</t>
        </is>
      </c>
      <c r="B155" t="inlineStr">
        <is>
          <t>254900S7OTOH3P1HGX81</t>
        </is>
      </c>
      <c r="C155" t="inlineStr">
        <is>
          <t>signatory_change</t>
        </is>
      </c>
      <c r="D155" s="2" t="n">
        <v>46297.63402777778</v>
      </c>
      <c r="E155" s="2" t="n">
        <v>46300.59236111111</v>
      </c>
      <c r="F155" t="inlineStr">
        <is>
          <t>M5</t>
        </is>
      </c>
      <c r="G155" t="inlineStr">
        <is>
          <t>C1</t>
        </is>
      </c>
      <c r="H155" s="2" t="n">
        <v>46297.68055555555</v>
      </c>
      <c r="I155" s="2" t="n">
        <v>46297.68819444445</v>
      </c>
      <c r="J155" t="inlineStr">
        <is>
          <t>Completed</t>
        </is>
      </c>
      <c r="K155" t="n">
        <v>1.29</v>
      </c>
      <c r="L155" t="n">
        <v>8</v>
      </c>
      <c r="M155" t="b">
        <v>0</v>
      </c>
      <c r="N155" t="n">
        <v>0</v>
      </c>
      <c r="O155" t="b">
        <v>1</v>
      </c>
      <c r="P155" t="b">
        <v>0</v>
      </c>
      <c r="Q155" t="b">
        <v>0</v>
      </c>
    </row>
    <row r="156">
      <c r="A156" t="inlineStr">
        <is>
          <t>REQ00155</t>
        </is>
      </c>
      <c r="B156" t="inlineStr">
        <is>
          <t>54930001ZGEVT44PWG30</t>
        </is>
      </c>
      <c r="C156" t="inlineStr">
        <is>
          <t>document_refresh</t>
        </is>
      </c>
      <c r="D156" s="2" t="n">
        <v>46297.63888888889</v>
      </c>
      <c r="E156" s="2" t="n">
        <v>46301.38888888889</v>
      </c>
      <c r="F156" t="inlineStr">
        <is>
          <t>M1</t>
        </is>
      </c>
      <c r="G156" t="inlineStr">
        <is>
          <t>C2</t>
        </is>
      </c>
      <c r="H156" s="2" t="n">
        <v>46297.675</v>
      </c>
      <c r="I156" s="2" t="n">
        <v>46300.425</v>
      </c>
      <c r="J156" t="inlineStr">
        <is>
          <t>Completed</t>
        </is>
      </c>
      <c r="K156" t="n">
        <v>3.87</v>
      </c>
      <c r="L156" t="n">
        <v>12</v>
      </c>
      <c r="M156" t="b">
        <v>0</v>
      </c>
      <c r="N156" t="n">
        <v>0</v>
      </c>
      <c r="O156" t="b">
        <v>1</v>
      </c>
      <c r="P156" t="b">
        <v>0</v>
      </c>
      <c r="Q156" t="b">
        <v>1</v>
      </c>
    </row>
    <row r="157">
      <c r="A157" t="inlineStr">
        <is>
          <t>REQ00156</t>
        </is>
      </c>
      <c r="B157" t="inlineStr">
        <is>
          <t>335800DHS5RA18D2QL21</t>
        </is>
      </c>
      <c r="C157" t="inlineStr">
        <is>
          <t>data_amendment</t>
        </is>
      </c>
      <c r="D157" s="2" t="n">
        <v>46297.64027777778</v>
      </c>
      <c r="E157" s="2" t="n">
        <v>46300.59861111111</v>
      </c>
      <c r="F157" t="inlineStr">
        <is>
          <t>M4</t>
        </is>
      </c>
      <c r="G157" t="inlineStr">
        <is>
          <t>C3</t>
        </is>
      </c>
      <c r="H157" s="2" t="n">
        <v>46297.67430555556</v>
      </c>
      <c r="I157" s="2" t="n">
        <v>46297.67777777778</v>
      </c>
      <c r="J157" t="inlineStr">
        <is>
          <t>Completed</t>
        </is>
      </c>
      <c r="K157" t="n">
        <v>0.91</v>
      </c>
      <c r="L157" t="n">
        <v>8</v>
      </c>
      <c r="M157" t="b">
        <v>0</v>
      </c>
      <c r="N157" t="n">
        <v>0</v>
      </c>
      <c r="O157" t="b">
        <v>1</v>
      </c>
      <c r="P157" t="b">
        <v>0</v>
      </c>
      <c r="Q157" t="b">
        <v>0</v>
      </c>
    </row>
    <row r="158">
      <c r="A158" t="inlineStr">
        <is>
          <t>REQ00157</t>
        </is>
      </c>
      <c r="B158" t="inlineStr">
        <is>
          <t>213800DRSHRUIPOZ3433</t>
        </is>
      </c>
      <c r="C158" t="inlineStr">
        <is>
          <t>signatory_change</t>
        </is>
      </c>
      <c r="D158" s="2" t="n">
        <v>46297.64513888889</v>
      </c>
      <c r="E158" s="2" t="n">
        <v>46300.60347222222</v>
      </c>
      <c r="F158" t="inlineStr">
        <is>
          <t>M6</t>
        </is>
      </c>
      <c r="G158" t="inlineStr">
        <is>
          <t>C2</t>
        </is>
      </c>
      <c r="H158" s="2" t="n">
        <v>46297.69097222222</v>
      </c>
      <c r="I158" s="2" t="n">
        <v>46300.52916666667</v>
      </c>
      <c r="J158" t="inlineStr">
        <is>
          <t>Completed</t>
        </is>
      </c>
      <c r="K158" t="n">
        <v>6.22</v>
      </c>
      <c r="L158" t="n">
        <v>8</v>
      </c>
      <c r="M158" t="b">
        <v>0</v>
      </c>
      <c r="N158" t="n">
        <v>0</v>
      </c>
      <c r="O158" t="b">
        <v>1</v>
      </c>
      <c r="P158" t="b">
        <v>0</v>
      </c>
      <c r="Q158" t="b">
        <v>1</v>
      </c>
    </row>
    <row r="159">
      <c r="A159" t="inlineStr">
        <is>
          <t>REQ00158</t>
        </is>
      </c>
      <c r="B159" t="inlineStr">
        <is>
          <t>529900FK94RFSKC24Y17</t>
        </is>
      </c>
      <c r="C159" t="inlineStr">
        <is>
          <t>data_amendment</t>
        </is>
      </c>
      <c r="D159" s="2" t="n">
        <v>46297.64791666667</v>
      </c>
      <c r="E159" s="2" t="n">
        <v>46300.60625</v>
      </c>
      <c r="F159" t="inlineStr">
        <is>
          <t>M4</t>
        </is>
      </c>
      <c r="G159" t="inlineStr">
        <is>
          <t>C3</t>
        </is>
      </c>
      <c r="H159" s="2" t="n">
        <v>46297.68541666667</v>
      </c>
      <c r="I159" s="2" t="n">
        <v>46300.44305555556</v>
      </c>
      <c r="J159" t="inlineStr">
        <is>
          <t>Completed</t>
        </is>
      </c>
      <c r="K159" t="n">
        <v>4.08</v>
      </c>
      <c r="L159" t="n">
        <v>8</v>
      </c>
      <c r="M159" t="b">
        <v>0</v>
      </c>
      <c r="N159" t="n">
        <v>0</v>
      </c>
      <c r="O159" t="b">
        <v>1</v>
      </c>
      <c r="P159" t="b">
        <v>0</v>
      </c>
      <c r="Q159" t="b">
        <v>1</v>
      </c>
    </row>
    <row r="160">
      <c r="A160" t="inlineStr">
        <is>
          <t>REQ00159</t>
        </is>
      </c>
      <c r="B160" t="inlineStr">
        <is>
          <t>7245003WUM24ELI6J105</t>
        </is>
      </c>
      <c r="C160" t="inlineStr">
        <is>
          <t>signatory_change</t>
        </is>
      </c>
      <c r="D160" s="2" t="n">
        <v>46297.64930555555</v>
      </c>
      <c r="E160" s="2" t="n">
        <v>46300.60763888889</v>
      </c>
      <c r="F160" t="inlineStr">
        <is>
          <t>M3</t>
        </is>
      </c>
      <c r="G160" t="inlineStr">
        <is>
          <t>C2</t>
        </is>
      </c>
      <c r="H160" s="2" t="n">
        <v>46297.7</v>
      </c>
      <c r="I160" s="2" t="n">
        <v>46297.70555555556</v>
      </c>
      <c r="J160" t="inlineStr">
        <is>
          <t>Completed</t>
        </is>
      </c>
      <c r="K160" t="n">
        <v>1.35</v>
      </c>
      <c r="L160" t="n">
        <v>8</v>
      </c>
      <c r="M160" t="b">
        <v>0</v>
      </c>
      <c r="N160" t="n">
        <v>0</v>
      </c>
      <c r="O160" t="b">
        <v>1</v>
      </c>
      <c r="P160" t="b">
        <v>0</v>
      </c>
      <c r="Q160" t="b">
        <v>0</v>
      </c>
    </row>
    <row r="161">
      <c r="A161" t="inlineStr">
        <is>
          <t>REQ00160</t>
        </is>
      </c>
      <c r="B161" t="inlineStr">
        <is>
          <t>549300268AXNX47RNQ24</t>
        </is>
      </c>
      <c r="C161" t="inlineStr">
        <is>
          <t>new_account</t>
        </is>
      </c>
      <c r="D161" s="2" t="n">
        <v>46297.65</v>
      </c>
      <c r="E161" s="2" t="n">
        <v>46301.56666666667</v>
      </c>
      <c r="F161" t="inlineStr">
        <is>
          <t>M1</t>
        </is>
      </c>
      <c r="G161" t="inlineStr">
        <is>
          <t>C1</t>
        </is>
      </c>
      <c r="H161" s="2" t="n">
        <v>46297.70625</v>
      </c>
      <c r="I161" s="2" t="n">
        <v>46300.55486111111</v>
      </c>
      <c r="J161" t="inlineStr">
        <is>
          <t>Completed</t>
        </is>
      </c>
      <c r="K161" t="n">
        <v>6.71</v>
      </c>
      <c r="L161" t="n">
        <v>16</v>
      </c>
      <c r="M161" t="b">
        <v>0</v>
      </c>
      <c r="N161" t="n">
        <v>0</v>
      </c>
      <c r="O161" t="b">
        <v>1</v>
      </c>
      <c r="P161" t="b">
        <v>0</v>
      </c>
      <c r="Q161" t="b">
        <v>1</v>
      </c>
    </row>
    <row r="162">
      <c r="A162" t="inlineStr">
        <is>
          <t>REQ00161</t>
        </is>
      </c>
      <c r="B162" t="inlineStr">
        <is>
          <t>549300W7BB1BEL78MJ93</t>
        </is>
      </c>
      <c r="C162" t="inlineStr">
        <is>
          <t>document_refresh</t>
        </is>
      </c>
      <c r="D162" s="2" t="n">
        <v>46297.66319444445</v>
      </c>
      <c r="E162" s="2" t="n">
        <v>46301.41319444445</v>
      </c>
      <c r="F162" t="inlineStr">
        <is>
          <t>M2</t>
        </is>
      </c>
      <c r="G162" t="inlineStr">
        <is>
          <t>C2</t>
        </is>
      </c>
      <c r="H162" s="2" t="n">
        <v>46297.69097222222</v>
      </c>
      <c r="I162" s="2" t="n">
        <v>46300.49722222222</v>
      </c>
      <c r="J162" t="inlineStr">
        <is>
          <t>Completed</t>
        </is>
      </c>
      <c r="K162" t="n">
        <v>5.01</v>
      </c>
      <c r="L162" t="n">
        <v>12</v>
      </c>
      <c r="M162" t="b">
        <v>0</v>
      </c>
      <c r="N162" t="n">
        <v>0</v>
      </c>
      <c r="O162" t="b">
        <v>1</v>
      </c>
      <c r="P162" t="b">
        <v>0</v>
      </c>
      <c r="Q162" t="b">
        <v>1</v>
      </c>
    </row>
    <row r="163">
      <c r="A163" t="inlineStr">
        <is>
          <t>REQ00162</t>
        </is>
      </c>
      <c r="B163" t="inlineStr">
        <is>
          <t>98450097E000CED5CA16</t>
        </is>
      </c>
      <c r="C163" t="inlineStr">
        <is>
          <t>signatory_change</t>
        </is>
      </c>
      <c r="D163" s="2" t="n">
        <v>46297.66458333333</v>
      </c>
      <c r="E163" s="2" t="n">
        <v>46300.62291666667</v>
      </c>
      <c r="F163" t="inlineStr">
        <is>
          <t>M5</t>
        </is>
      </c>
      <c r="G163" t="inlineStr">
        <is>
          <t>C3</t>
        </is>
      </c>
      <c r="H163" s="2" t="n">
        <v>46297.69861111111</v>
      </c>
      <c r="I163" s="2" t="n">
        <v>46300.42013888889</v>
      </c>
      <c r="J163" t="inlineStr">
        <is>
          <t>Completed</t>
        </is>
      </c>
      <c r="K163" t="n">
        <v>3.13</v>
      </c>
      <c r="L163" t="n">
        <v>8</v>
      </c>
      <c r="M163" t="b">
        <v>0</v>
      </c>
      <c r="N163" t="n">
        <v>0</v>
      </c>
      <c r="O163" t="b">
        <v>1</v>
      </c>
      <c r="P163" t="b">
        <v>0</v>
      </c>
      <c r="Q163" t="b">
        <v>1</v>
      </c>
    </row>
    <row r="164">
      <c r="A164" t="inlineStr">
        <is>
          <t>REQ00163</t>
        </is>
      </c>
      <c r="B164" t="inlineStr">
        <is>
          <t>549300RHMPELTPMTST81</t>
        </is>
      </c>
      <c r="C164" t="inlineStr">
        <is>
          <t>new_account</t>
        </is>
      </c>
      <c r="D164" s="2" t="n">
        <v>46297.66458333333</v>
      </c>
      <c r="E164" s="2" t="n">
        <v>46301.58125</v>
      </c>
      <c r="F164" t="inlineStr">
        <is>
          <t>M4</t>
        </is>
      </c>
      <c r="G164" t="inlineStr">
        <is>
          <t>C1</t>
        </is>
      </c>
      <c r="H164" s="2" t="n">
        <v>46297.72152777778</v>
      </c>
      <c r="I164" s="2" t="n">
        <v>46300.53472222222</v>
      </c>
      <c r="J164" t="inlineStr">
        <is>
          <t>Completed</t>
        </is>
      </c>
      <c r="K164" t="n">
        <v>5.89</v>
      </c>
      <c r="L164" t="n">
        <v>16</v>
      </c>
      <c r="M164" t="b">
        <v>0</v>
      </c>
      <c r="N164" t="n">
        <v>0</v>
      </c>
      <c r="O164" t="b">
        <v>1</v>
      </c>
      <c r="P164" t="b">
        <v>0</v>
      </c>
      <c r="Q164" t="b">
        <v>1</v>
      </c>
    </row>
    <row r="165">
      <c r="A165" t="inlineStr">
        <is>
          <t>REQ00164</t>
        </is>
      </c>
      <c r="B165" t="inlineStr">
        <is>
          <t>724500NTUC008NB64J32</t>
        </is>
      </c>
      <c r="C165" t="inlineStr">
        <is>
          <t>data_amendment</t>
        </is>
      </c>
      <c r="D165" s="2" t="n">
        <v>46297.66805555556</v>
      </c>
      <c r="E165" s="2" t="n">
        <v>46300.62638888889</v>
      </c>
      <c r="F165" t="inlineStr">
        <is>
          <t>M2</t>
        </is>
      </c>
      <c r="G165" t="inlineStr">
        <is>
          <t>C1</t>
        </is>
      </c>
      <c r="H165" s="2" t="n">
        <v>46297.70347222222</v>
      </c>
      <c r="I165" s="2" t="n">
        <v>46297.70763888889</v>
      </c>
      <c r="J165" t="inlineStr">
        <is>
          <t>Completed</t>
        </is>
      </c>
      <c r="K165" t="n">
        <v>0.95</v>
      </c>
      <c r="L165" t="n">
        <v>8</v>
      </c>
      <c r="M165" t="b">
        <v>0</v>
      </c>
      <c r="N165" t="n">
        <v>0</v>
      </c>
      <c r="O165" t="b">
        <v>1</v>
      </c>
      <c r="P165" t="b">
        <v>0</v>
      </c>
      <c r="Q165" t="b">
        <v>0</v>
      </c>
    </row>
    <row r="166">
      <c r="A166" t="inlineStr">
        <is>
          <t>REQ00165</t>
        </is>
      </c>
      <c r="B166" t="inlineStr">
        <is>
          <t>213800EBTKSSVISIL881</t>
        </is>
      </c>
      <c r="C166" t="inlineStr">
        <is>
          <t>data_amendment</t>
        </is>
      </c>
      <c r="D166" s="2" t="n">
        <v>46297.67152777778</v>
      </c>
      <c r="E166" s="2" t="n">
        <v>46300.62986111111</v>
      </c>
      <c r="F166" t="inlineStr">
        <is>
          <t>M6</t>
        </is>
      </c>
      <c r="G166" t="inlineStr">
        <is>
          <t>C1</t>
        </is>
      </c>
      <c r="H166" s="2" t="n">
        <v>46297.70416666667</v>
      </c>
      <c r="I166" s="2" t="n">
        <v>46300.43611111111</v>
      </c>
      <c r="J166" t="inlineStr">
        <is>
          <t>Completed</t>
        </is>
      </c>
      <c r="K166" t="n">
        <v>3.35</v>
      </c>
      <c r="L166" t="n">
        <v>8</v>
      </c>
      <c r="M166" t="b">
        <v>0</v>
      </c>
      <c r="N166" t="n">
        <v>0</v>
      </c>
      <c r="O166" t="b">
        <v>1</v>
      </c>
      <c r="P166" t="b">
        <v>0</v>
      </c>
      <c r="Q166" t="b">
        <v>1</v>
      </c>
    </row>
    <row r="167">
      <c r="A167" t="inlineStr">
        <is>
          <t>REQ00166</t>
        </is>
      </c>
      <c r="B167" t="inlineStr">
        <is>
          <t>549300UKDM4DA7UEHC90</t>
        </is>
      </c>
      <c r="C167" t="inlineStr">
        <is>
          <t>document_refresh</t>
        </is>
      </c>
      <c r="D167" s="2" t="n">
        <v>46297.68333333333</v>
      </c>
      <c r="E167" s="2" t="n">
        <v>46301.43333333333</v>
      </c>
      <c r="F167" t="inlineStr">
        <is>
          <t>M5</t>
        </is>
      </c>
      <c r="G167" t="inlineStr">
        <is>
          <t>C1</t>
        </is>
      </c>
      <c r="H167" s="2" t="n">
        <v>46297.71527777778</v>
      </c>
      <c r="I167" s="2" t="n">
        <v>46300.43055555555</v>
      </c>
      <c r="J167" t="inlineStr">
        <is>
          <t>Completed</t>
        </is>
      </c>
      <c r="K167" t="n">
        <v>2.94</v>
      </c>
      <c r="L167" t="n">
        <v>12</v>
      </c>
      <c r="M167" t="b">
        <v>0</v>
      </c>
      <c r="N167" t="n">
        <v>0</v>
      </c>
      <c r="O167" t="b">
        <v>1</v>
      </c>
      <c r="P167" t="b">
        <v>0</v>
      </c>
      <c r="Q167" t="b">
        <v>1</v>
      </c>
    </row>
    <row r="168">
      <c r="A168" t="inlineStr">
        <is>
          <t>REQ00167</t>
        </is>
      </c>
      <c r="B168" t="inlineStr">
        <is>
          <t>391200HKXTALIWFVR618</t>
        </is>
      </c>
      <c r="C168" t="inlineStr">
        <is>
          <t>data_amendment</t>
        </is>
      </c>
      <c r="D168" s="2" t="n">
        <v>46297.69027777778</v>
      </c>
      <c r="E168" s="2" t="n">
        <v>46300.64861111111</v>
      </c>
      <c r="F168" t="inlineStr">
        <is>
          <t>M3</t>
        </is>
      </c>
      <c r="G168" t="inlineStr">
        <is>
          <t>C2</t>
        </is>
      </c>
      <c r="H168" s="2" t="n">
        <v>46297.70902777778</v>
      </c>
      <c r="I168" s="2" t="n">
        <v>46300.43888888889</v>
      </c>
      <c r="J168" t="inlineStr">
        <is>
          <t>Completed</t>
        </is>
      </c>
      <c r="K168" t="n">
        <v>2.97</v>
      </c>
      <c r="L168" t="n">
        <v>8</v>
      </c>
      <c r="M168" t="b">
        <v>0</v>
      </c>
      <c r="N168" t="n">
        <v>0</v>
      </c>
      <c r="O168" t="b">
        <v>1</v>
      </c>
      <c r="P168" t="b">
        <v>0</v>
      </c>
      <c r="Q168" t="b">
        <v>1</v>
      </c>
    </row>
    <row r="169">
      <c r="A169" t="inlineStr">
        <is>
          <t>REQ00168</t>
        </is>
      </c>
      <c r="B169" t="inlineStr">
        <is>
          <t>549300HM2BHYD0DHHM25</t>
        </is>
      </c>
      <c r="C169" t="inlineStr">
        <is>
          <t>data_amendment</t>
        </is>
      </c>
      <c r="D169" s="2" t="n">
        <v>46297.69305555556</v>
      </c>
      <c r="E169" s="2" t="n">
        <v>46300.65138888889</v>
      </c>
      <c r="F169" t="inlineStr">
        <is>
          <t>M2</t>
        </is>
      </c>
      <c r="G169" t="inlineStr">
        <is>
          <t>C2</t>
        </is>
      </c>
      <c r="H169" s="2" t="n">
        <v>46297.7125</v>
      </c>
      <c r="I169" s="2" t="n">
        <v>46300.53333333333</v>
      </c>
      <c r="J169" t="inlineStr">
        <is>
          <t>Completed</t>
        </is>
      </c>
      <c r="K169" t="n">
        <v>5.16</v>
      </c>
      <c r="L169" t="n">
        <v>8</v>
      </c>
      <c r="M169" t="b">
        <v>0</v>
      </c>
      <c r="N169" t="n">
        <v>0</v>
      </c>
      <c r="O169" t="b">
        <v>1</v>
      </c>
      <c r="P169" t="b">
        <v>0</v>
      </c>
      <c r="Q169" t="b">
        <v>1</v>
      </c>
    </row>
    <row r="170">
      <c r="A170" t="inlineStr">
        <is>
          <t>REQ00169</t>
        </is>
      </c>
      <c r="B170" t="inlineStr">
        <is>
          <t>2138004AVSEGTNE38T11</t>
        </is>
      </c>
      <c r="C170" t="inlineStr">
        <is>
          <t>document_refresh</t>
        </is>
      </c>
      <c r="D170" s="2" t="n">
        <v>46297.69930555556</v>
      </c>
      <c r="E170" s="2" t="n">
        <v>46301.44930555556</v>
      </c>
      <c r="F170" t="inlineStr">
        <is>
          <t>M6</t>
        </is>
      </c>
      <c r="G170" t="inlineStr">
        <is>
          <t>C3</t>
        </is>
      </c>
      <c r="H170" s="2" t="n">
        <v>46297.72083333333</v>
      </c>
      <c r="I170" s="2" t="n">
        <v>46300.51875</v>
      </c>
      <c r="J170" t="inlineStr">
        <is>
          <t>Completed</t>
        </is>
      </c>
      <c r="K170" t="n">
        <v>4.67</v>
      </c>
      <c r="L170" t="n">
        <v>12</v>
      </c>
      <c r="M170" t="b">
        <v>0</v>
      </c>
      <c r="N170" t="n">
        <v>0</v>
      </c>
      <c r="O170" t="b">
        <v>1</v>
      </c>
      <c r="P170" t="b">
        <v>0</v>
      </c>
      <c r="Q170" t="b">
        <v>1</v>
      </c>
    </row>
    <row r="171">
      <c r="A171" t="inlineStr">
        <is>
          <t>REQ00170</t>
        </is>
      </c>
      <c r="B171" t="inlineStr">
        <is>
          <t>222100CS81RV5WWW2I52</t>
        </is>
      </c>
      <c r="C171" t="inlineStr">
        <is>
          <t>data_amendment</t>
        </is>
      </c>
      <c r="D171" s="2" t="n">
        <v>46297.70069444444</v>
      </c>
      <c r="E171" s="2" t="n">
        <v>46300.65902777778</v>
      </c>
      <c r="F171" t="inlineStr">
        <is>
          <t>M1</t>
        </is>
      </c>
      <c r="G171" t="inlineStr">
        <is>
          <t>C1</t>
        </is>
      </c>
      <c r="H171" s="2" t="n">
        <v>46297.71805555555</v>
      </c>
      <c r="I171" s="2" t="n">
        <v>46300.49444444444</v>
      </c>
      <c r="J171" t="inlineStr">
        <is>
          <t>Completed</t>
        </is>
      </c>
      <c r="K171" t="n">
        <v>4.04</v>
      </c>
      <c r="L171" t="n">
        <v>8</v>
      </c>
      <c r="M171" t="b">
        <v>0</v>
      </c>
      <c r="N171" t="n">
        <v>0</v>
      </c>
      <c r="O171" t="b">
        <v>1</v>
      </c>
      <c r="P171" t="b">
        <v>0</v>
      </c>
      <c r="Q171" t="b">
        <v>1</v>
      </c>
    </row>
    <row r="172">
      <c r="A172" t="inlineStr">
        <is>
          <t>REQ00171</t>
        </is>
      </c>
      <c r="B172" t="inlineStr">
        <is>
          <t>2138004AVSEGTNE38T11</t>
        </is>
      </c>
      <c r="C172" t="inlineStr">
        <is>
          <t>signatory_change</t>
        </is>
      </c>
      <c r="D172" s="2" t="n">
        <v>46297.70486111111</v>
      </c>
      <c r="E172" s="2" t="n">
        <v>46300.66319444445</v>
      </c>
      <c r="F172" t="inlineStr">
        <is>
          <t>M3</t>
        </is>
      </c>
      <c r="G172" t="inlineStr">
        <is>
          <t>C2</t>
        </is>
      </c>
      <c r="H172" s="2" t="n">
        <v>46297.72569444445</v>
      </c>
      <c r="I172" s="2" t="n">
        <v>46300.45763888889</v>
      </c>
      <c r="J172" t="inlineStr">
        <is>
          <t>Completed</t>
        </is>
      </c>
      <c r="K172" t="n">
        <v>3.06</v>
      </c>
      <c r="L172" t="n">
        <v>8</v>
      </c>
      <c r="M172" t="b">
        <v>0</v>
      </c>
      <c r="N172" t="n">
        <v>0</v>
      </c>
      <c r="O172" t="b">
        <v>1</v>
      </c>
      <c r="P172" t="b">
        <v>0</v>
      </c>
      <c r="Q172" t="b">
        <v>1</v>
      </c>
    </row>
    <row r="173">
      <c r="A173" t="inlineStr">
        <is>
          <t>REQ00172</t>
        </is>
      </c>
      <c r="B173" t="inlineStr">
        <is>
          <t>984500E9I00D973E8467</t>
        </is>
      </c>
      <c r="C173" t="inlineStr">
        <is>
          <t>signatory_change</t>
        </is>
      </c>
      <c r="D173" s="2" t="n">
        <v>46297.71111111111</v>
      </c>
      <c r="E173" s="2" t="n">
        <v>46300.66944444444</v>
      </c>
      <c r="F173" t="inlineStr">
        <is>
          <t>M2</t>
        </is>
      </c>
      <c r="G173" t="inlineStr">
        <is>
          <t>C1</t>
        </is>
      </c>
      <c r="H173" s="2" t="n">
        <v>46297.7375</v>
      </c>
      <c r="I173" s="2" t="n">
        <v>46297.74305555555</v>
      </c>
      <c r="J173" t="inlineStr">
        <is>
          <t>Completed</t>
        </is>
      </c>
      <c r="K173" t="n">
        <v>0.77</v>
      </c>
      <c r="L173" t="n">
        <v>8</v>
      </c>
      <c r="M173" t="b">
        <v>0</v>
      </c>
      <c r="N173" t="n">
        <v>0</v>
      </c>
      <c r="O173" t="b">
        <v>1</v>
      </c>
      <c r="P173" t="b">
        <v>0</v>
      </c>
      <c r="Q173" t="b">
        <v>0</v>
      </c>
    </row>
    <row r="174">
      <c r="A174" t="inlineStr">
        <is>
          <t>REQ00173</t>
        </is>
      </c>
      <c r="B174" t="inlineStr">
        <is>
          <t>549300T615X0T5BZSY96</t>
        </is>
      </c>
      <c r="C174" t="inlineStr">
        <is>
          <t>signatory_change</t>
        </is>
      </c>
      <c r="D174" s="2" t="n">
        <v>46297.71388888889</v>
      </c>
      <c r="E174" s="2" t="n">
        <v>46300.67222222222</v>
      </c>
      <c r="F174" t="inlineStr">
        <is>
          <t>M5</t>
        </is>
      </c>
      <c r="G174" t="inlineStr">
        <is>
          <t>C3</t>
        </is>
      </c>
      <c r="H174" s="2" t="n">
        <v>46297.73611111111</v>
      </c>
      <c r="I174" s="2" t="n">
        <v>46300.48472222222</v>
      </c>
      <c r="J174" t="inlineStr">
        <is>
          <t>Completed</t>
        </is>
      </c>
      <c r="K174" t="n">
        <v>3.49</v>
      </c>
      <c r="L174" t="n">
        <v>8</v>
      </c>
      <c r="M174" t="b">
        <v>0</v>
      </c>
      <c r="N174" t="n">
        <v>0</v>
      </c>
      <c r="O174" t="b">
        <v>1</v>
      </c>
      <c r="P174" t="b">
        <v>0</v>
      </c>
      <c r="Q174" t="b">
        <v>1</v>
      </c>
    </row>
    <row r="175">
      <c r="A175" t="inlineStr">
        <is>
          <t>REQ00174</t>
        </is>
      </c>
      <c r="B175" t="inlineStr">
        <is>
          <t>724500DHU9GB8MZ2TE98</t>
        </is>
      </c>
      <c r="C175" t="inlineStr">
        <is>
          <t>signatory_change</t>
        </is>
      </c>
      <c r="D175" s="2" t="n">
        <v>46297.72083333333</v>
      </c>
      <c r="E175" s="2" t="n">
        <v>46300.67916666667</v>
      </c>
      <c r="F175" t="inlineStr">
        <is>
          <t>M1</t>
        </is>
      </c>
      <c r="G175" t="inlineStr">
        <is>
          <t>C1</t>
        </is>
      </c>
      <c r="H175" s="2" t="n">
        <v>46297.74166666667</v>
      </c>
      <c r="I175" s="2" t="n">
        <v>46297.74861111111</v>
      </c>
      <c r="J175" t="inlineStr">
        <is>
          <t>Completed</t>
        </is>
      </c>
      <c r="K175" t="n">
        <v>0.67</v>
      </c>
      <c r="L175" t="n">
        <v>8</v>
      </c>
      <c r="M175" t="b">
        <v>0</v>
      </c>
      <c r="N175" t="n">
        <v>0</v>
      </c>
      <c r="O175" t="b">
        <v>1</v>
      </c>
      <c r="P175" t="b">
        <v>0</v>
      </c>
      <c r="Q175" t="b">
        <v>0</v>
      </c>
    </row>
    <row r="176">
      <c r="A176" t="inlineStr">
        <is>
          <t>REQ00175</t>
        </is>
      </c>
      <c r="B176" t="inlineStr">
        <is>
          <t>529900QP8QJGZU4GP997</t>
        </is>
      </c>
      <c r="C176" t="inlineStr">
        <is>
          <t>document_refresh</t>
        </is>
      </c>
      <c r="D176" s="2" t="n">
        <v>46297.73541666667</v>
      </c>
      <c r="E176" s="2" t="n">
        <v>46301.48541666667</v>
      </c>
      <c r="F176" t="inlineStr">
        <is>
          <t>M6</t>
        </is>
      </c>
      <c r="G176" t="inlineStr">
        <is>
          <t>C1</t>
        </is>
      </c>
      <c r="H176" s="2" t="n">
        <v>46297.74930555555</v>
      </c>
      <c r="I176" s="2" t="n">
        <v>46300.37986111111</v>
      </c>
      <c r="J176" t="inlineStr">
        <is>
          <t>Completed</t>
        </is>
      </c>
      <c r="K176" t="n">
        <v>0.47</v>
      </c>
      <c r="L176" t="n">
        <v>12</v>
      </c>
      <c r="M176" t="b">
        <v>0</v>
      </c>
      <c r="N176" t="n">
        <v>0</v>
      </c>
      <c r="O176" t="b">
        <v>1</v>
      </c>
      <c r="P176" t="b">
        <v>0</v>
      </c>
      <c r="Q176" t="b">
        <v>0</v>
      </c>
    </row>
    <row r="177">
      <c r="A177" t="inlineStr">
        <is>
          <t>REQ00176</t>
        </is>
      </c>
      <c r="B177" t="inlineStr">
        <is>
          <t>549300UQIPSGXYD0FI88</t>
        </is>
      </c>
      <c r="C177" t="inlineStr">
        <is>
          <t>new_account</t>
        </is>
      </c>
      <c r="D177" s="2" t="n">
        <v>46297.73680555556</v>
      </c>
      <c r="E177" s="2" t="n">
        <v>46301.65347222222</v>
      </c>
      <c r="F177" t="inlineStr">
        <is>
          <t>M4</t>
        </is>
      </c>
      <c r="G177" t="inlineStr">
        <is>
          <t>C2</t>
        </is>
      </c>
      <c r="H177" s="2" t="n">
        <v>46300.38958333333</v>
      </c>
      <c r="I177" s="2" t="n">
        <v>46300.60972222222</v>
      </c>
      <c r="J177" t="inlineStr">
        <is>
          <t>Completed</t>
        </is>
      </c>
      <c r="K177" t="n">
        <v>5.95</v>
      </c>
      <c r="L177" t="n">
        <v>16</v>
      </c>
      <c r="M177" t="b">
        <v>0</v>
      </c>
      <c r="N177" t="n">
        <v>0</v>
      </c>
      <c r="O177" t="b">
        <v>1</v>
      </c>
      <c r="P177" t="b">
        <v>0</v>
      </c>
      <c r="Q177" t="b">
        <v>1</v>
      </c>
    </row>
    <row r="178">
      <c r="A178" t="inlineStr">
        <is>
          <t>REQ00177</t>
        </is>
      </c>
      <c r="B178" t="inlineStr">
        <is>
          <t>335800E7LH1ACG9CUM75</t>
        </is>
      </c>
      <c r="C178" t="inlineStr">
        <is>
          <t>data_amendment</t>
        </is>
      </c>
      <c r="D178" s="2" t="n">
        <v>46297.73958333334</v>
      </c>
      <c r="E178" s="2" t="n">
        <v>46300.69791666666</v>
      </c>
      <c r="F178" t="inlineStr">
        <is>
          <t>M3</t>
        </is>
      </c>
      <c r="G178" t="inlineStr">
        <is>
          <t>C3</t>
        </is>
      </c>
      <c r="H178" s="2" t="n">
        <v>46297.74861111111</v>
      </c>
      <c r="I178" s="2" t="n">
        <v>46300.37708333333</v>
      </c>
      <c r="J178" t="inlineStr">
        <is>
          <t>Completed</t>
        </is>
      </c>
      <c r="K178" t="n">
        <v>0.31</v>
      </c>
      <c r="L178" t="n">
        <v>8</v>
      </c>
      <c r="M178" t="b">
        <v>0</v>
      </c>
      <c r="N178" t="n">
        <v>0</v>
      </c>
      <c r="O178" t="b">
        <v>1</v>
      </c>
      <c r="P178" t="b">
        <v>0</v>
      </c>
      <c r="Q178" t="b">
        <v>0</v>
      </c>
    </row>
    <row r="179">
      <c r="A179" t="inlineStr">
        <is>
          <t>REQ00178</t>
        </is>
      </c>
      <c r="B179" t="inlineStr">
        <is>
          <t>335800ABMKXTWT1HSA90</t>
        </is>
      </c>
      <c r="C179" t="inlineStr">
        <is>
          <t>document_refresh</t>
        </is>
      </c>
      <c r="D179" s="2" t="n">
        <v>46300.375</v>
      </c>
      <c r="E179" s="2" t="n">
        <v>46301.5</v>
      </c>
      <c r="F179" t="inlineStr">
        <is>
          <t>M5</t>
        </is>
      </c>
      <c r="G179" t="inlineStr">
        <is>
          <t>C2</t>
        </is>
      </c>
      <c r="H179" s="2" t="n">
        <v>46300.38958333333</v>
      </c>
      <c r="I179" s="2" t="n">
        <v>46300.55694444444</v>
      </c>
      <c r="J179" t="inlineStr">
        <is>
          <t>Completed</t>
        </is>
      </c>
      <c r="K179" t="n">
        <v>4.37</v>
      </c>
      <c r="L179" t="n">
        <v>12</v>
      </c>
      <c r="M179" t="b">
        <v>0</v>
      </c>
      <c r="N179" t="n">
        <v>0</v>
      </c>
      <c r="O179" t="b">
        <v>1</v>
      </c>
      <c r="P179" t="b">
        <v>0</v>
      </c>
      <c r="Q179" t="b">
        <v>1</v>
      </c>
    </row>
    <row r="180">
      <c r="A180" t="inlineStr">
        <is>
          <t>REQ00179</t>
        </is>
      </c>
      <c r="B180" t="inlineStr">
        <is>
          <t>549300SZ90VI473SIK62</t>
        </is>
      </c>
      <c r="C180" t="inlineStr">
        <is>
          <t>data_amendment</t>
        </is>
      </c>
      <c r="D180" s="2" t="n">
        <v>46300.37986111111</v>
      </c>
      <c r="E180" s="2" t="n">
        <v>46300.71319444444</v>
      </c>
      <c r="F180" t="inlineStr">
        <is>
          <t>M2</t>
        </is>
      </c>
      <c r="G180" t="inlineStr">
        <is>
          <t>C3</t>
        </is>
      </c>
      <c r="H180" s="2" t="n">
        <v>46300.39027777778</v>
      </c>
      <c r="I180" s="2" t="n">
        <v>46300.53263888889</v>
      </c>
      <c r="J180" t="inlineStr">
        <is>
          <t>Completed</t>
        </is>
      </c>
      <c r="K180" t="n">
        <v>3.67</v>
      </c>
      <c r="L180" t="n">
        <v>8</v>
      </c>
      <c r="M180" t="b">
        <v>0</v>
      </c>
      <c r="N180" t="n">
        <v>0</v>
      </c>
      <c r="O180" t="b">
        <v>1</v>
      </c>
      <c r="P180" t="b">
        <v>0</v>
      </c>
      <c r="Q180" t="b">
        <v>1</v>
      </c>
    </row>
    <row r="181">
      <c r="A181" t="inlineStr">
        <is>
          <t>REQ00180</t>
        </is>
      </c>
      <c r="B181" t="inlineStr">
        <is>
          <t>254900ACD195KLS34785</t>
        </is>
      </c>
      <c r="C181" t="inlineStr">
        <is>
          <t>signatory_change</t>
        </is>
      </c>
      <c r="D181" s="2" t="n">
        <v>46300.37986111111</v>
      </c>
      <c r="E181" s="2" t="n">
        <v>46300.71319444444</v>
      </c>
      <c r="F181" t="inlineStr">
        <is>
          <t>M1</t>
        </is>
      </c>
      <c r="G181" t="inlineStr">
        <is>
          <t>C1</t>
        </is>
      </c>
      <c r="H181" s="2" t="n">
        <v>46300.4</v>
      </c>
      <c r="I181" s="2" t="n">
        <v>46300.40902777778</v>
      </c>
      <c r="J181" t="inlineStr">
        <is>
          <t>Completed</t>
        </is>
      </c>
      <c r="K181" t="n">
        <v>0.6899999999999999</v>
      </c>
      <c r="L181" t="n">
        <v>8</v>
      </c>
      <c r="M181" t="b">
        <v>0</v>
      </c>
      <c r="N181" t="n">
        <v>0</v>
      </c>
      <c r="O181" t="b">
        <v>1</v>
      </c>
      <c r="P181" t="b">
        <v>0</v>
      </c>
      <c r="Q181" t="b">
        <v>0</v>
      </c>
    </row>
    <row r="182">
      <c r="A182" t="inlineStr">
        <is>
          <t>REQ00181</t>
        </is>
      </c>
      <c r="B182" t="inlineStr">
        <is>
          <t>2549003Q6LBNYVDQ3T84</t>
        </is>
      </c>
      <c r="C182" t="inlineStr">
        <is>
          <t>signatory_change</t>
        </is>
      </c>
      <c r="D182" s="2" t="n">
        <v>46300.39166666667</v>
      </c>
      <c r="E182" s="2" t="n">
        <v>46300.725</v>
      </c>
      <c r="F182" t="inlineStr">
        <is>
          <t>M3</t>
        </is>
      </c>
      <c r="G182" t="inlineStr">
        <is>
          <t>C3</t>
        </is>
      </c>
      <c r="H182" s="2" t="n">
        <v>46300.40833333333</v>
      </c>
      <c r="I182" s="2" t="n">
        <v>46300.55625</v>
      </c>
      <c r="J182" t="inlineStr">
        <is>
          <t>Completed</t>
        </is>
      </c>
      <c r="K182" t="n">
        <v>3.96</v>
      </c>
      <c r="L182" t="n">
        <v>8</v>
      </c>
      <c r="M182" t="b">
        <v>0</v>
      </c>
      <c r="N182" t="n">
        <v>0</v>
      </c>
      <c r="O182" t="b">
        <v>1</v>
      </c>
      <c r="P182" t="b">
        <v>0</v>
      </c>
      <c r="Q182" t="b">
        <v>1</v>
      </c>
    </row>
    <row r="183">
      <c r="A183" t="inlineStr">
        <is>
          <t>REQ00182</t>
        </is>
      </c>
      <c r="B183" t="inlineStr">
        <is>
          <t>549300U71SR705VKQX52</t>
        </is>
      </c>
      <c r="C183" t="inlineStr">
        <is>
          <t>document_refresh</t>
        </is>
      </c>
      <c r="D183" s="2" t="n">
        <v>46300.39583333334</v>
      </c>
      <c r="E183" s="2" t="n">
        <v>46301.52083333334</v>
      </c>
      <c r="F183" t="inlineStr">
        <is>
          <t>M6</t>
        </is>
      </c>
      <c r="G183" t="inlineStr">
        <is>
          <t>C3</t>
        </is>
      </c>
      <c r="H183" s="2" t="n">
        <v>46300.41388888889</v>
      </c>
      <c r="I183" s="2" t="n">
        <v>46300.57152777778</v>
      </c>
      <c r="J183" t="inlineStr">
        <is>
          <t>Completed</t>
        </is>
      </c>
      <c r="K183" t="n">
        <v>4.22</v>
      </c>
      <c r="L183" t="n">
        <v>12</v>
      </c>
      <c r="M183" t="b">
        <v>0</v>
      </c>
      <c r="N183" t="n">
        <v>0</v>
      </c>
      <c r="O183" t="b">
        <v>1</v>
      </c>
      <c r="P183" t="b">
        <v>0</v>
      </c>
      <c r="Q183" t="b">
        <v>1</v>
      </c>
    </row>
    <row r="184">
      <c r="A184" t="inlineStr">
        <is>
          <t>REQ00183</t>
        </is>
      </c>
      <c r="B184" t="inlineStr">
        <is>
          <t>335800GG5D8ODKE53W09</t>
        </is>
      </c>
      <c r="C184" t="inlineStr">
        <is>
          <t>signatory_change</t>
        </is>
      </c>
      <c r="D184" s="2" t="n">
        <v>46300.39652777778</v>
      </c>
      <c r="E184" s="2" t="n">
        <v>46300.72986111111</v>
      </c>
      <c r="F184" t="inlineStr">
        <is>
          <t>M5</t>
        </is>
      </c>
      <c r="G184" t="inlineStr">
        <is>
          <t>C1</t>
        </is>
      </c>
      <c r="H184" s="2" t="n">
        <v>46300.41527777778</v>
      </c>
      <c r="I184" s="2" t="n">
        <v>46300.42083333333</v>
      </c>
      <c r="J184" t="inlineStr">
        <is>
          <t>Completed</t>
        </is>
      </c>
      <c r="K184" t="n">
        <v>0.58</v>
      </c>
      <c r="L184" t="n">
        <v>8</v>
      </c>
      <c r="M184" t="b">
        <v>0</v>
      </c>
      <c r="N184" t="n">
        <v>0</v>
      </c>
      <c r="O184" t="b">
        <v>1</v>
      </c>
      <c r="P184" t="b">
        <v>0</v>
      </c>
      <c r="Q184" t="b">
        <v>0</v>
      </c>
    </row>
    <row r="185">
      <c r="A185" t="inlineStr">
        <is>
          <t>REQ00184</t>
        </is>
      </c>
      <c r="B185" t="inlineStr">
        <is>
          <t>96950092GHE0QSXT6J37</t>
        </is>
      </c>
      <c r="C185" t="inlineStr">
        <is>
          <t>new_account</t>
        </is>
      </c>
      <c r="D185" s="2" t="n">
        <v>46300.39861111111</v>
      </c>
      <c r="E185" s="2" t="n">
        <v>46301.69027777778</v>
      </c>
      <c r="F185" t="inlineStr">
        <is>
          <t>M4</t>
        </is>
      </c>
      <c r="G185" t="inlineStr">
        <is>
          <t>C1</t>
        </is>
      </c>
      <c r="H185" s="2" t="n">
        <v>46300.42291666667</v>
      </c>
      <c r="I185" s="2" t="n">
        <v>46300.64652777778</v>
      </c>
      <c r="J185" t="inlineStr">
        <is>
          <t>Completed</t>
        </is>
      </c>
      <c r="K185" t="n">
        <v>5.95</v>
      </c>
      <c r="L185" t="n">
        <v>16</v>
      </c>
      <c r="M185" t="b">
        <v>0</v>
      </c>
      <c r="N185" t="n">
        <v>0</v>
      </c>
      <c r="O185" t="b">
        <v>1</v>
      </c>
      <c r="P185" t="b">
        <v>0</v>
      </c>
      <c r="Q185" t="b">
        <v>1</v>
      </c>
    </row>
    <row r="186">
      <c r="A186" t="inlineStr">
        <is>
          <t>REQ00185</t>
        </is>
      </c>
      <c r="B186" t="inlineStr">
        <is>
          <t>335800WFXMNVVH4A2K33</t>
        </is>
      </c>
      <c r="C186" t="inlineStr">
        <is>
          <t>data_amendment</t>
        </is>
      </c>
      <c r="D186" s="2" t="n">
        <v>46300.39861111111</v>
      </c>
      <c r="E186" s="2" t="n">
        <v>46300.73194444444</v>
      </c>
      <c r="F186" t="inlineStr">
        <is>
          <t>M2</t>
        </is>
      </c>
      <c r="G186" t="inlineStr">
        <is>
          <t>C2</t>
        </is>
      </c>
      <c r="H186" s="2" t="n">
        <v>46300.40763888889</v>
      </c>
      <c r="I186" s="2" t="n">
        <v>46300.41111111111</v>
      </c>
      <c r="J186" t="inlineStr">
        <is>
          <t>Completed</t>
        </is>
      </c>
      <c r="K186" t="n">
        <v>0.3</v>
      </c>
      <c r="L186" t="n">
        <v>8</v>
      </c>
      <c r="M186" t="b">
        <v>0</v>
      </c>
      <c r="N186" t="n">
        <v>0</v>
      </c>
      <c r="O186" t="b">
        <v>1</v>
      </c>
      <c r="P186" t="b">
        <v>0</v>
      </c>
      <c r="Q186" t="b">
        <v>0</v>
      </c>
    </row>
    <row r="187">
      <c r="A187" t="inlineStr">
        <is>
          <t>REQ00186</t>
        </is>
      </c>
      <c r="B187" t="inlineStr">
        <is>
          <t>54930070YUQT67WM1N97</t>
        </is>
      </c>
      <c r="C187" t="inlineStr">
        <is>
          <t>document_refresh</t>
        </is>
      </c>
      <c r="D187" s="2" t="n">
        <v>46300.4</v>
      </c>
      <c r="E187" s="2" t="n">
        <v>46301.525</v>
      </c>
      <c r="F187" t="inlineStr">
        <is>
          <t>M1</t>
        </is>
      </c>
      <c r="G187" t="inlineStr">
        <is>
          <t>C1</t>
        </is>
      </c>
      <c r="H187" s="2" t="n">
        <v>46300.41319444445</v>
      </c>
      <c r="I187" s="2" t="n">
        <v>46300.50416666667</v>
      </c>
      <c r="J187" t="inlineStr">
        <is>
          <t>Completed</t>
        </is>
      </c>
      <c r="K187" t="n">
        <v>2.49</v>
      </c>
      <c r="L187" t="n">
        <v>12</v>
      </c>
      <c r="M187" t="b">
        <v>0</v>
      </c>
      <c r="N187" t="n">
        <v>0</v>
      </c>
      <c r="O187" t="b">
        <v>1</v>
      </c>
      <c r="P187" t="b">
        <v>0</v>
      </c>
      <c r="Q187" t="b">
        <v>1</v>
      </c>
    </row>
    <row r="188">
      <c r="A188" t="inlineStr">
        <is>
          <t>REQ00187</t>
        </is>
      </c>
      <c r="B188" t="inlineStr">
        <is>
          <t>5493007M410Y0PCJPB27</t>
        </is>
      </c>
      <c r="C188" t="inlineStr">
        <is>
          <t>data_amendment</t>
        </is>
      </c>
      <c r="D188" s="2" t="n">
        <v>46300.40208333333</v>
      </c>
      <c r="E188" s="2" t="n">
        <v>46300.73541666667</v>
      </c>
      <c r="F188" t="inlineStr">
        <is>
          <t>M2</t>
        </is>
      </c>
      <c r="G188" t="inlineStr">
        <is>
          <t>C1</t>
        </is>
      </c>
      <c r="H188" s="2" t="n">
        <v>46300.41805555556</v>
      </c>
      <c r="I188" s="2" t="n">
        <v>46300.66597222222</v>
      </c>
      <c r="J188" t="inlineStr">
        <is>
          <t>Completed</t>
        </is>
      </c>
      <c r="K188" t="n">
        <v>6.34</v>
      </c>
      <c r="L188" t="n">
        <v>8</v>
      </c>
      <c r="M188" t="b">
        <v>0</v>
      </c>
      <c r="N188" t="n">
        <v>0</v>
      </c>
      <c r="O188" t="b">
        <v>1</v>
      </c>
      <c r="P188" t="b">
        <v>0</v>
      </c>
      <c r="Q188" t="b">
        <v>1</v>
      </c>
    </row>
    <row r="189">
      <c r="A189" t="inlineStr">
        <is>
          <t>REQ00188</t>
        </is>
      </c>
      <c r="B189" t="inlineStr">
        <is>
          <t>54930048G50KXIONCE06</t>
        </is>
      </c>
      <c r="C189" t="inlineStr">
        <is>
          <t>document_refresh</t>
        </is>
      </c>
      <c r="D189" s="2" t="n">
        <v>46300.40208333333</v>
      </c>
      <c r="E189" s="2" t="n">
        <v>46301.52708333333</v>
      </c>
      <c r="F189" t="inlineStr">
        <is>
          <t>M3</t>
        </is>
      </c>
      <c r="G189" t="inlineStr">
        <is>
          <t>C3</t>
        </is>
      </c>
      <c r="H189" s="2" t="n">
        <v>46300.42013888889</v>
      </c>
      <c r="I189" s="2" t="n">
        <v>46300.62291666667</v>
      </c>
      <c r="J189" t="inlineStr">
        <is>
          <t>Completed</t>
        </is>
      </c>
      <c r="K189" t="n">
        <v>5.29</v>
      </c>
      <c r="L189" t="n">
        <v>12</v>
      </c>
      <c r="M189" t="b">
        <v>0</v>
      </c>
      <c r="N189" t="n">
        <v>0</v>
      </c>
      <c r="O189" t="b">
        <v>1</v>
      </c>
      <c r="P189" t="b">
        <v>0</v>
      </c>
      <c r="Q189" t="b">
        <v>1</v>
      </c>
    </row>
    <row r="190">
      <c r="A190" t="inlineStr">
        <is>
          <t>REQ00189</t>
        </is>
      </c>
      <c r="B190" t="inlineStr">
        <is>
          <t>9695001O1WWNPXHTB073</t>
        </is>
      </c>
      <c r="C190" t="inlineStr">
        <is>
          <t>document_refresh</t>
        </is>
      </c>
      <c r="D190" s="2" t="n">
        <v>46300.40347222222</v>
      </c>
      <c r="E190" s="2" t="n">
        <v>46301.52847222222</v>
      </c>
      <c r="F190" t="inlineStr">
        <is>
          <t>M1</t>
        </is>
      </c>
      <c r="G190" t="inlineStr">
        <is>
          <t>C3</t>
        </is>
      </c>
      <c r="H190" s="2" t="n">
        <v>46300.42638888889</v>
      </c>
      <c r="I190" s="2" t="n">
        <v>46300.62986111111</v>
      </c>
      <c r="J190" t="inlineStr">
        <is>
          <t>Completed</t>
        </is>
      </c>
      <c r="K190" t="n">
        <v>5.43</v>
      </c>
      <c r="L190" t="n">
        <v>12</v>
      </c>
      <c r="M190" t="b">
        <v>0</v>
      </c>
      <c r="N190" t="n">
        <v>0</v>
      </c>
      <c r="O190" t="b">
        <v>1</v>
      </c>
      <c r="P190" t="b">
        <v>0</v>
      </c>
      <c r="Q190" t="b">
        <v>1</v>
      </c>
    </row>
    <row r="191">
      <c r="A191" t="inlineStr">
        <is>
          <t>REQ00190</t>
        </is>
      </c>
      <c r="B191" t="inlineStr">
        <is>
          <t>391200QQTQTQW7NCPT36</t>
        </is>
      </c>
      <c r="C191" t="inlineStr">
        <is>
          <t>new_account</t>
        </is>
      </c>
      <c r="D191" s="2" t="n">
        <v>46300.4125</v>
      </c>
      <c r="E191" s="2" t="n">
        <v>46301.70416666667</v>
      </c>
      <c r="F191" t="inlineStr">
        <is>
          <t>M6</t>
        </is>
      </c>
      <c r="G191" t="inlineStr">
        <is>
          <t>C2</t>
        </is>
      </c>
      <c r="H191" s="2" t="n">
        <v>46300.43958333333</v>
      </c>
      <c r="I191" s="2" t="n">
        <v>46300.44930555556</v>
      </c>
      <c r="J191" t="inlineStr">
        <is>
          <t>Completed</t>
        </is>
      </c>
      <c r="K191" t="n">
        <v>0.88</v>
      </c>
      <c r="L191" t="n">
        <v>16</v>
      </c>
      <c r="M191" t="b">
        <v>0</v>
      </c>
      <c r="N191" t="n">
        <v>0</v>
      </c>
      <c r="O191" t="b">
        <v>1</v>
      </c>
      <c r="P191" t="b">
        <v>0</v>
      </c>
      <c r="Q191" t="b">
        <v>0</v>
      </c>
    </row>
    <row r="192">
      <c r="A192" t="inlineStr">
        <is>
          <t>REQ00191</t>
        </is>
      </c>
      <c r="B192" t="inlineStr">
        <is>
          <t>549300H3EZX5NEUSD441</t>
        </is>
      </c>
      <c r="C192" t="inlineStr">
        <is>
          <t>new_account</t>
        </is>
      </c>
      <c r="D192" s="2" t="n">
        <v>46300.41527777778</v>
      </c>
      <c r="E192" s="2" t="n">
        <v>46301.70694444444</v>
      </c>
      <c r="F192" t="inlineStr">
        <is>
          <t>M5</t>
        </is>
      </c>
      <c r="G192" t="inlineStr">
        <is>
          <t>C1</t>
        </is>
      </c>
      <c r="H192" s="2" t="n">
        <v>46300.44930555556</v>
      </c>
      <c r="I192" s="2" t="n">
        <v>46300.56597222222</v>
      </c>
      <c r="J192" t="inlineStr">
        <is>
          <t>Completed</t>
        </is>
      </c>
      <c r="K192" t="n">
        <v>3.62</v>
      </c>
      <c r="L192" t="n">
        <v>16</v>
      </c>
      <c r="M192" t="b">
        <v>0</v>
      </c>
      <c r="N192" t="n">
        <v>0</v>
      </c>
      <c r="O192" t="b">
        <v>1</v>
      </c>
      <c r="P192" t="b">
        <v>0</v>
      </c>
      <c r="Q192" t="b">
        <v>1</v>
      </c>
    </row>
    <row r="193">
      <c r="A193" t="inlineStr">
        <is>
          <t>REQ00192</t>
        </is>
      </c>
      <c r="B193" t="inlineStr">
        <is>
          <t>549300OLPHCJ2151YK93</t>
        </is>
      </c>
      <c r="C193" t="inlineStr">
        <is>
          <t>document_refresh</t>
        </is>
      </c>
      <c r="D193" s="2" t="n">
        <v>46300.41597222222</v>
      </c>
      <c r="E193" s="2" t="n">
        <v>46301.54097222222</v>
      </c>
      <c r="F193" t="inlineStr">
        <is>
          <t>M2</t>
        </is>
      </c>
      <c r="G193" t="inlineStr">
        <is>
          <t>C3</t>
        </is>
      </c>
      <c r="H193" s="2" t="n">
        <v>46300.42777777778</v>
      </c>
      <c r="I193" s="2" t="n">
        <v>46300.5375</v>
      </c>
      <c r="J193" t="inlineStr">
        <is>
          <t>Completed</t>
        </is>
      </c>
      <c r="K193" t="n">
        <v>2.92</v>
      </c>
      <c r="L193" t="n">
        <v>12</v>
      </c>
      <c r="M193" t="b">
        <v>0</v>
      </c>
      <c r="N193" t="n">
        <v>0</v>
      </c>
      <c r="O193" t="b">
        <v>1</v>
      </c>
      <c r="P193" t="b">
        <v>0</v>
      </c>
      <c r="Q193" t="b">
        <v>1</v>
      </c>
    </row>
    <row r="194">
      <c r="A194" t="inlineStr">
        <is>
          <t>REQ00193</t>
        </is>
      </c>
      <c r="B194" t="inlineStr">
        <is>
          <t>984500E44AXCFEZ70E43</t>
        </is>
      </c>
      <c r="C194" t="inlineStr">
        <is>
          <t>signatory_change</t>
        </is>
      </c>
      <c r="D194" s="2" t="n">
        <v>46300.42083333333</v>
      </c>
      <c r="E194" s="2" t="n">
        <v>46301.37916666667</v>
      </c>
      <c r="F194" t="inlineStr">
        <is>
          <t>M3</t>
        </is>
      </c>
      <c r="G194" t="inlineStr">
        <is>
          <t>C1</t>
        </is>
      </c>
      <c r="H194" s="2" t="n">
        <v>46300.43958333333</v>
      </c>
      <c r="I194" s="2" t="n">
        <v>46300.44861111111</v>
      </c>
      <c r="J194" t="inlineStr">
        <is>
          <t>Completed</t>
        </is>
      </c>
      <c r="K194" t="n">
        <v>0.66</v>
      </c>
      <c r="L194" t="n">
        <v>8</v>
      </c>
      <c r="M194" t="b">
        <v>0</v>
      </c>
      <c r="N194" t="n">
        <v>0</v>
      </c>
      <c r="O194" t="b">
        <v>1</v>
      </c>
      <c r="P194" t="b">
        <v>0</v>
      </c>
      <c r="Q194" t="b">
        <v>0</v>
      </c>
    </row>
    <row r="195">
      <c r="A195" t="inlineStr">
        <is>
          <t>REQ00194</t>
        </is>
      </c>
      <c r="B195" t="inlineStr">
        <is>
          <t>7245004C075F2I2AZK87</t>
        </is>
      </c>
      <c r="C195" t="inlineStr">
        <is>
          <t>new_account</t>
        </is>
      </c>
      <c r="D195" s="2" t="n">
        <v>46300.42986111111</v>
      </c>
      <c r="E195" s="2" t="n">
        <v>46301.72152777778</v>
      </c>
      <c r="F195" t="inlineStr">
        <is>
          <t>M4</t>
        </is>
      </c>
      <c r="G195" t="inlineStr">
        <is>
          <t>C1</t>
        </is>
      </c>
      <c r="H195" s="2" t="n">
        <v>46300.46736111111</v>
      </c>
      <c r="I195" s="2" t="n">
        <v>46300.47638888889</v>
      </c>
      <c r="J195" t="inlineStr">
        <is>
          <t>Completed</t>
        </is>
      </c>
      <c r="K195" t="n">
        <v>1.11</v>
      </c>
      <c r="L195" t="n">
        <v>16</v>
      </c>
      <c r="M195" t="b">
        <v>0</v>
      </c>
      <c r="N195" t="n">
        <v>0</v>
      </c>
      <c r="O195" t="b">
        <v>1</v>
      </c>
      <c r="P195" t="b">
        <v>0</v>
      </c>
      <c r="Q195" t="b">
        <v>0</v>
      </c>
    </row>
    <row r="196">
      <c r="A196" t="inlineStr">
        <is>
          <t>REQ00195</t>
        </is>
      </c>
      <c r="B196" t="inlineStr">
        <is>
          <t>984500545CFD37ME7978</t>
        </is>
      </c>
      <c r="C196" t="inlineStr">
        <is>
          <t>new_account</t>
        </is>
      </c>
      <c r="D196" s="2" t="n">
        <v>46300.43472222222</v>
      </c>
      <c r="E196" s="2" t="n">
        <v>46301.72638888889</v>
      </c>
      <c r="F196" t="inlineStr">
        <is>
          <t>M1</t>
        </is>
      </c>
      <c r="G196" t="inlineStr">
        <is>
          <t>C3</t>
        </is>
      </c>
      <c r="H196" s="2" t="n">
        <v>46300.45763888889</v>
      </c>
      <c r="I196" s="2" t="n">
        <v>46300.66180555556</v>
      </c>
      <c r="J196" t="inlineStr">
        <is>
          <t>Completed</t>
        </is>
      </c>
      <c r="K196" t="n">
        <v>5.45</v>
      </c>
      <c r="L196" t="n">
        <v>16</v>
      </c>
      <c r="M196" t="b">
        <v>0</v>
      </c>
      <c r="N196" t="n">
        <v>1</v>
      </c>
      <c r="O196" t="b">
        <v>0</v>
      </c>
      <c r="P196" t="b">
        <v>1</v>
      </c>
      <c r="Q196" t="b">
        <v>1</v>
      </c>
    </row>
    <row r="197">
      <c r="A197" t="inlineStr">
        <is>
          <t>REQ00196</t>
        </is>
      </c>
      <c r="B197" t="inlineStr">
        <is>
          <t>9845009B1BE7DEE45494</t>
        </is>
      </c>
      <c r="C197" t="inlineStr">
        <is>
          <t>document_refresh</t>
        </is>
      </c>
      <c r="D197" s="2" t="n">
        <v>46300.44027777778</v>
      </c>
      <c r="E197" s="2" t="n">
        <v>46301.56527777778</v>
      </c>
      <c r="F197" t="inlineStr">
        <is>
          <t>M2</t>
        </is>
      </c>
      <c r="G197" t="inlineStr">
        <is>
          <t>C2</t>
        </is>
      </c>
      <c r="H197" s="2" t="n">
        <v>46300.45625</v>
      </c>
      <c r="I197" s="2" t="n">
        <v>46300.57777777778</v>
      </c>
      <c r="J197" t="inlineStr">
        <is>
          <t>Completed</t>
        </is>
      </c>
      <c r="K197" t="n">
        <v>3.29</v>
      </c>
      <c r="L197" t="n">
        <v>12</v>
      </c>
      <c r="M197" t="b">
        <v>0</v>
      </c>
      <c r="N197" t="n">
        <v>0</v>
      </c>
      <c r="O197" t="b">
        <v>1</v>
      </c>
      <c r="P197" t="b">
        <v>0</v>
      </c>
      <c r="Q197" t="b">
        <v>1</v>
      </c>
    </row>
    <row r="198">
      <c r="A198" t="inlineStr">
        <is>
          <t>REQ00197</t>
        </is>
      </c>
      <c r="B198" t="inlineStr">
        <is>
          <t>984500T0044855M3C416</t>
        </is>
      </c>
      <c r="C198" t="inlineStr">
        <is>
          <t>document_refresh</t>
        </is>
      </c>
      <c r="D198" s="2" t="n">
        <v>46300.44375</v>
      </c>
      <c r="E198" s="2" t="n">
        <v>46301.56875</v>
      </c>
      <c r="F198" t="inlineStr">
        <is>
          <t>M3</t>
        </is>
      </c>
      <c r="G198" t="inlineStr">
        <is>
          <t>C1</t>
        </is>
      </c>
      <c r="H198" s="2" t="n">
        <v>46300.46041666667</v>
      </c>
      <c r="I198" s="2" t="n">
        <v>46300.46527777778</v>
      </c>
      <c r="J198" t="inlineStr">
        <is>
          <t>Completed</t>
        </is>
      </c>
      <c r="K198" t="n">
        <v>0.52</v>
      </c>
      <c r="L198" t="n">
        <v>12</v>
      </c>
      <c r="M198" t="b">
        <v>0</v>
      </c>
      <c r="N198" t="n">
        <v>0</v>
      </c>
      <c r="O198" t="b">
        <v>1</v>
      </c>
      <c r="P198" t="b">
        <v>0</v>
      </c>
      <c r="Q198" t="b">
        <v>0</v>
      </c>
    </row>
    <row r="199">
      <c r="A199" t="inlineStr">
        <is>
          <t>REQ00198</t>
        </is>
      </c>
      <c r="B199" t="inlineStr">
        <is>
          <t>969500S6BO5KZUAFT247</t>
        </is>
      </c>
      <c r="C199" t="inlineStr">
        <is>
          <t>signatory_change</t>
        </is>
      </c>
      <c r="D199" s="2" t="n">
        <v>46300.44722222222</v>
      </c>
      <c r="E199" s="2" t="n">
        <v>46301.40555555555</v>
      </c>
      <c r="F199" t="inlineStr">
        <is>
          <t>M6</t>
        </is>
      </c>
      <c r="G199" t="inlineStr">
        <is>
          <t>C2</t>
        </is>
      </c>
      <c r="H199" s="2" t="n">
        <v>46300.4625</v>
      </c>
      <c r="I199" s="2" t="n">
        <v>46300.46875</v>
      </c>
      <c r="J199" t="inlineStr">
        <is>
          <t>Completed</t>
        </is>
      </c>
      <c r="K199" t="n">
        <v>0.51</v>
      </c>
      <c r="L199" t="n">
        <v>8</v>
      </c>
      <c r="M199" t="b">
        <v>0</v>
      </c>
      <c r="N199" t="n">
        <v>0</v>
      </c>
      <c r="O199" t="b">
        <v>1</v>
      </c>
      <c r="P199" t="b">
        <v>0</v>
      </c>
      <c r="Q199" t="b">
        <v>0</v>
      </c>
    </row>
    <row r="200">
      <c r="A200" t="inlineStr">
        <is>
          <t>REQ00199</t>
        </is>
      </c>
      <c r="B200" t="inlineStr">
        <is>
          <t>529900HYB4ETRWC8AY67</t>
        </is>
      </c>
      <c r="C200" t="inlineStr">
        <is>
          <t>document_refresh</t>
        </is>
      </c>
      <c r="D200" s="2" t="n">
        <v>46300.45486111111</v>
      </c>
      <c r="E200" s="2" t="n">
        <v>46301.57986111111</v>
      </c>
      <c r="F200" t="inlineStr">
        <is>
          <t>M5</t>
        </is>
      </c>
      <c r="G200" t="inlineStr">
        <is>
          <t>C3</t>
        </is>
      </c>
      <c r="H200" s="2" t="n">
        <v>46300.46736111111</v>
      </c>
      <c r="I200" s="2" t="n">
        <v>46300.47222222222</v>
      </c>
      <c r="J200" t="inlineStr">
        <is>
          <t>Completed</t>
        </is>
      </c>
      <c r="K200" t="n">
        <v>0.42</v>
      </c>
      <c r="L200" t="n">
        <v>12</v>
      </c>
      <c r="M200" t="b">
        <v>0</v>
      </c>
      <c r="N200" t="n">
        <v>0</v>
      </c>
      <c r="O200" t="b">
        <v>1</v>
      </c>
      <c r="P200" t="b">
        <v>0</v>
      </c>
      <c r="Q200" t="b">
        <v>0</v>
      </c>
    </row>
    <row r="201">
      <c r="A201" t="inlineStr">
        <is>
          <t>REQ00200</t>
        </is>
      </c>
      <c r="B201" t="inlineStr">
        <is>
          <t>254900HSLOFQWUJ6FR17</t>
        </is>
      </c>
      <c r="C201" t="inlineStr">
        <is>
          <t>signatory_change</t>
        </is>
      </c>
      <c r="D201" s="2" t="n">
        <v>46300.45555555556</v>
      </c>
      <c r="E201" s="2" t="n">
        <v>46301.41388888889</v>
      </c>
      <c r="F201" t="inlineStr">
        <is>
          <t>M2</t>
        </is>
      </c>
      <c r="G201" t="inlineStr">
        <is>
          <t>C1</t>
        </is>
      </c>
      <c r="H201" s="2" t="n">
        <v>46300.47986111111</v>
      </c>
      <c r="I201" s="2" t="n">
        <v>46300.4875</v>
      </c>
      <c r="J201" t="inlineStr">
        <is>
          <t>Completed</t>
        </is>
      </c>
      <c r="K201" t="n">
        <v>0.77</v>
      </c>
      <c r="L201" t="n">
        <v>8</v>
      </c>
      <c r="M201" t="b">
        <v>0</v>
      </c>
      <c r="N201" t="n">
        <v>0</v>
      </c>
      <c r="O201" t="b">
        <v>1</v>
      </c>
      <c r="P201" t="b">
        <v>0</v>
      </c>
      <c r="Q201" t="b">
        <v>0</v>
      </c>
    </row>
    <row r="202">
      <c r="A202" t="inlineStr">
        <is>
          <t>REQ00201</t>
        </is>
      </c>
      <c r="B202" t="inlineStr">
        <is>
          <t>335800S8GGEXUN5W2X59</t>
        </is>
      </c>
      <c r="C202" t="inlineStr">
        <is>
          <t>new_account</t>
        </is>
      </c>
      <c r="D202" s="2" t="n">
        <v>46300.45833333334</v>
      </c>
      <c r="E202" s="2" t="n">
        <v>46302.375</v>
      </c>
      <c r="F202" t="inlineStr">
        <is>
          <t>M1</t>
        </is>
      </c>
      <c r="G202" t="inlineStr">
        <is>
          <t>C2</t>
        </is>
      </c>
      <c r="H202" s="2" t="n">
        <v>46300.48263888889</v>
      </c>
      <c r="I202" s="2" t="n">
        <v>46300.65208333333</v>
      </c>
      <c r="J202" t="inlineStr">
        <is>
          <t>Completed</t>
        </is>
      </c>
      <c r="K202" t="n">
        <v>4.65</v>
      </c>
      <c r="L202" t="n">
        <v>16</v>
      </c>
      <c r="M202" t="b">
        <v>0</v>
      </c>
      <c r="N202" t="n">
        <v>0</v>
      </c>
      <c r="O202" t="b">
        <v>1</v>
      </c>
      <c r="P202" t="b">
        <v>0</v>
      </c>
      <c r="Q202" t="b">
        <v>1</v>
      </c>
    </row>
    <row r="203">
      <c r="A203" t="inlineStr">
        <is>
          <t>REQ00202</t>
        </is>
      </c>
      <c r="B203" t="inlineStr">
        <is>
          <t>969500VOCS5NX4W4NG97</t>
        </is>
      </c>
      <c r="C203" t="inlineStr">
        <is>
          <t>document_refresh</t>
        </is>
      </c>
      <c r="D203" s="2" t="n">
        <v>46300.4625</v>
      </c>
      <c r="E203" s="2" t="n">
        <v>46301.5875</v>
      </c>
      <c r="F203" t="inlineStr">
        <is>
          <t>M3</t>
        </is>
      </c>
      <c r="G203" t="inlineStr">
        <is>
          <t>C3</t>
        </is>
      </c>
      <c r="H203" s="2" t="n">
        <v>46300.47847222222</v>
      </c>
      <c r="I203" s="2" t="n">
        <v>46300.72777777778</v>
      </c>
      <c r="J203" t="inlineStr">
        <is>
          <t>Completed</t>
        </is>
      </c>
      <c r="K203" t="n">
        <v>6.37</v>
      </c>
      <c r="L203" t="n">
        <v>12</v>
      </c>
      <c r="M203" t="b">
        <v>0</v>
      </c>
      <c r="N203" t="n">
        <v>0</v>
      </c>
      <c r="O203" t="b">
        <v>1</v>
      </c>
      <c r="P203" t="b">
        <v>0</v>
      </c>
      <c r="Q203" t="b">
        <v>1</v>
      </c>
    </row>
    <row r="204">
      <c r="A204" t="inlineStr">
        <is>
          <t>REQ00203</t>
        </is>
      </c>
      <c r="B204" t="inlineStr">
        <is>
          <t>529900WY3L7A51329W80</t>
        </is>
      </c>
      <c r="C204" t="inlineStr">
        <is>
          <t>document_refresh</t>
        </is>
      </c>
      <c r="D204" s="2" t="n">
        <v>46300.46805555555</v>
      </c>
      <c r="E204" s="2" t="n">
        <v>46301.59305555555</v>
      </c>
      <c r="F204" t="inlineStr">
        <is>
          <t>M6</t>
        </is>
      </c>
      <c r="G204" t="inlineStr">
        <is>
          <t>C2</t>
        </is>
      </c>
      <c r="H204" s="2" t="n">
        <v>46300.47986111111</v>
      </c>
      <c r="I204" s="2" t="n">
        <v>46300.49027777778</v>
      </c>
      <c r="J204" t="inlineStr">
        <is>
          <t>Completed</t>
        </is>
      </c>
      <c r="K204" t="n">
        <v>0.53</v>
      </c>
      <c r="L204" t="n">
        <v>12</v>
      </c>
      <c r="M204" t="b">
        <v>0</v>
      </c>
      <c r="N204" t="n">
        <v>0</v>
      </c>
      <c r="O204" t="b">
        <v>1</v>
      </c>
      <c r="P204" t="b">
        <v>0</v>
      </c>
      <c r="Q204" t="b">
        <v>0</v>
      </c>
    </row>
    <row r="205">
      <c r="A205" t="inlineStr">
        <is>
          <t>REQ00204</t>
        </is>
      </c>
      <c r="B205" t="inlineStr">
        <is>
          <t>3912004L2XEHE2PJA976</t>
        </is>
      </c>
      <c r="C205" t="inlineStr">
        <is>
          <t>signatory_change</t>
        </is>
      </c>
      <c r="D205" s="2" t="n">
        <v>46300.47013888889</v>
      </c>
      <c r="E205" s="2" t="n">
        <v>46301.42847222222</v>
      </c>
      <c r="F205" t="inlineStr">
        <is>
          <t>M5</t>
        </is>
      </c>
      <c r="G205" t="inlineStr">
        <is>
          <t>C3</t>
        </is>
      </c>
      <c r="H205" s="2" t="n">
        <v>46300.49097222222</v>
      </c>
      <c r="I205" s="2" t="n">
        <v>46300.49861111111</v>
      </c>
      <c r="J205" t="inlineStr">
        <is>
          <t>Completed</t>
        </is>
      </c>
      <c r="K205" t="n">
        <v>0.68</v>
      </c>
      <c r="L205" t="n">
        <v>8</v>
      </c>
      <c r="M205" t="b">
        <v>0</v>
      </c>
      <c r="N205" t="n">
        <v>0</v>
      </c>
      <c r="O205" t="b">
        <v>1</v>
      </c>
      <c r="P205" t="b">
        <v>0</v>
      </c>
      <c r="Q205" t="b">
        <v>0</v>
      </c>
    </row>
    <row r="206">
      <c r="A206" t="inlineStr">
        <is>
          <t>REQ00205</t>
        </is>
      </c>
      <c r="B206" t="inlineStr">
        <is>
          <t>9695001TI4RB95H4GC82</t>
        </is>
      </c>
      <c r="C206" t="inlineStr">
        <is>
          <t>data_amendment</t>
        </is>
      </c>
      <c r="D206" s="2" t="n">
        <v>46300.475</v>
      </c>
      <c r="E206" s="2" t="n">
        <v>46301.43333333333</v>
      </c>
      <c r="F206" t="inlineStr">
        <is>
          <t>M4</t>
        </is>
      </c>
      <c r="G206" t="inlineStr">
        <is>
          <t>C2</t>
        </is>
      </c>
      <c r="H206" s="2" t="n">
        <v>46300.48402777778</v>
      </c>
      <c r="I206" s="2" t="n">
        <v>46300.66944444444</v>
      </c>
      <c r="J206" t="inlineStr">
        <is>
          <t>Completed</t>
        </is>
      </c>
      <c r="K206" t="n">
        <v>4.67</v>
      </c>
      <c r="L206" t="n">
        <v>8</v>
      </c>
      <c r="M206" t="b">
        <v>0</v>
      </c>
      <c r="N206" t="n">
        <v>0</v>
      </c>
      <c r="O206" t="b">
        <v>1</v>
      </c>
      <c r="P206" t="b">
        <v>0</v>
      </c>
      <c r="Q206" t="b">
        <v>1</v>
      </c>
    </row>
    <row r="207">
      <c r="A207" t="inlineStr">
        <is>
          <t>REQ00206</t>
        </is>
      </c>
      <c r="B207" t="inlineStr">
        <is>
          <t>894500QXVNGQ2I0J2L05</t>
        </is>
      </c>
      <c r="C207" t="inlineStr">
        <is>
          <t>new_account</t>
        </is>
      </c>
      <c r="D207" s="2" t="n">
        <v>46300.48541666667</v>
      </c>
      <c r="E207" s="2" t="n">
        <v>46302.40208333333</v>
      </c>
      <c r="F207" t="inlineStr">
        <is>
          <t>M3</t>
        </is>
      </c>
      <c r="G207" t="inlineStr">
        <is>
          <t>C3</t>
        </is>
      </c>
      <c r="H207" s="2" t="n">
        <v>46300.50763888889</v>
      </c>
      <c r="I207" s="2" t="n">
        <v>46300.60416666666</v>
      </c>
      <c r="J207" t="inlineStr">
        <is>
          <t>Completed</t>
        </is>
      </c>
      <c r="K207" t="n">
        <v>2.85</v>
      </c>
      <c r="L207" t="n">
        <v>16</v>
      </c>
      <c r="M207" t="b">
        <v>0</v>
      </c>
      <c r="N207" t="n">
        <v>0</v>
      </c>
      <c r="O207" t="b">
        <v>1</v>
      </c>
      <c r="P207" t="b">
        <v>0</v>
      </c>
      <c r="Q207" t="b">
        <v>1</v>
      </c>
    </row>
    <row r="208">
      <c r="A208" t="inlineStr">
        <is>
          <t>REQ00207</t>
        </is>
      </c>
      <c r="B208" t="inlineStr">
        <is>
          <t>254900HZY78ZQW2G2X35</t>
        </is>
      </c>
      <c r="C208" t="inlineStr">
        <is>
          <t>document_refresh</t>
        </is>
      </c>
      <c r="D208" s="2" t="n">
        <v>46300.48680555556</v>
      </c>
      <c r="E208" s="2" t="n">
        <v>46301.61180555556</v>
      </c>
      <c r="F208" t="inlineStr">
        <is>
          <t>M2</t>
        </is>
      </c>
      <c r="G208" t="inlineStr">
        <is>
          <t>C2</t>
        </is>
      </c>
      <c r="H208" s="2" t="n">
        <v>46300.50277777778</v>
      </c>
      <c r="I208" s="2" t="n">
        <v>46300.63125</v>
      </c>
      <c r="J208" t="inlineStr">
        <is>
          <t>Completed</t>
        </is>
      </c>
      <c r="K208" t="n">
        <v>3.46</v>
      </c>
      <c r="L208" t="n">
        <v>12</v>
      </c>
      <c r="M208" t="b">
        <v>0</v>
      </c>
      <c r="N208" t="n">
        <v>0</v>
      </c>
      <c r="O208" t="b">
        <v>1</v>
      </c>
      <c r="P208" t="b">
        <v>0</v>
      </c>
      <c r="Q208" t="b">
        <v>1</v>
      </c>
    </row>
    <row r="209">
      <c r="A209" t="inlineStr">
        <is>
          <t>REQ00208</t>
        </is>
      </c>
      <c r="B209" t="inlineStr">
        <is>
          <t>724500JG2ET8LS6NJX21</t>
        </is>
      </c>
      <c r="C209" t="inlineStr">
        <is>
          <t>document_refresh</t>
        </is>
      </c>
      <c r="D209" s="2" t="n">
        <v>46300.49236111111</v>
      </c>
      <c r="E209" s="2" t="n">
        <v>46301.61736111111</v>
      </c>
      <c r="F209" t="inlineStr">
        <is>
          <t>M6</t>
        </is>
      </c>
      <c r="G209" t="inlineStr">
        <is>
          <t>C3</t>
        </is>
      </c>
      <c r="H209" s="2" t="n">
        <v>46300.50277777778</v>
      </c>
      <c r="I209" s="2" t="n">
        <v>46300.66944444444</v>
      </c>
      <c r="J209" t="inlineStr">
        <is>
          <t>Completed</t>
        </is>
      </c>
      <c r="K209" t="n">
        <v>4.25</v>
      </c>
      <c r="L209" t="n">
        <v>12</v>
      </c>
      <c r="M209" t="b">
        <v>0</v>
      </c>
      <c r="N209" t="n">
        <v>0</v>
      </c>
      <c r="O209" t="b">
        <v>1</v>
      </c>
      <c r="P209" t="b">
        <v>0</v>
      </c>
      <c r="Q209" t="b">
        <v>1</v>
      </c>
    </row>
    <row r="210">
      <c r="A210" t="inlineStr">
        <is>
          <t>REQ00209</t>
        </is>
      </c>
      <c r="B210" t="inlineStr">
        <is>
          <t>894500F7Z8EL6DDFN958</t>
        </is>
      </c>
      <c r="C210" t="inlineStr">
        <is>
          <t>document_refresh</t>
        </is>
      </c>
      <c r="D210" s="2" t="n">
        <v>46300.50694444445</v>
      </c>
      <c r="E210" s="2" t="n">
        <v>46301.63194444445</v>
      </c>
      <c r="F210" t="inlineStr">
        <is>
          <t>M1</t>
        </is>
      </c>
      <c r="G210" t="inlineStr">
        <is>
          <t>C3</t>
        </is>
      </c>
      <c r="H210" s="2" t="n">
        <v>46300.52430555555</v>
      </c>
      <c r="I210" s="2" t="n">
        <v>46300.52916666667</v>
      </c>
      <c r="J210" t="inlineStr">
        <is>
          <t>Completed</t>
        </is>
      </c>
      <c r="K210" t="n">
        <v>0.54</v>
      </c>
      <c r="L210" t="n">
        <v>12</v>
      </c>
      <c r="M210" t="b">
        <v>0</v>
      </c>
      <c r="N210" t="n">
        <v>0</v>
      </c>
      <c r="O210" t="b">
        <v>1</v>
      </c>
      <c r="P210" t="b">
        <v>0</v>
      </c>
      <c r="Q210" t="b">
        <v>0</v>
      </c>
    </row>
    <row r="211">
      <c r="A211" t="inlineStr">
        <is>
          <t>REQ00210</t>
        </is>
      </c>
      <c r="B211" t="inlineStr">
        <is>
          <t>894500GP3S60CF5LE371</t>
        </is>
      </c>
      <c r="C211" t="inlineStr">
        <is>
          <t>new_account</t>
        </is>
      </c>
      <c r="D211" s="2" t="n">
        <v>46300.50972222222</v>
      </c>
      <c r="E211" s="2" t="n">
        <v>46302.42638888889</v>
      </c>
      <c r="F211" t="inlineStr">
        <is>
          <t>M4</t>
        </is>
      </c>
      <c r="G211" t="inlineStr">
        <is>
          <t>C2</t>
        </is>
      </c>
      <c r="H211" s="2" t="n">
        <v>46300.53680555556</v>
      </c>
      <c r="I211" s="2" t="n">
        <v>46300.54861111111</v>
      </c>
      <c r="J211" t="inlineStr">
        <is>
          <t>Completed</t>
        </is>
      </c>
      <c r="K211" t="n">
        <v>0.9399999999999999</v>
      </c>
      <c r="L211" t="n">
        <v>16</v>
      </c>
      <c r="M211" t="b">
        <v>0</v>
      </c>
      <c r="N211" t="n">
        <v>0</v>
      </c>
      <c r="O211" t="b">
        <v>1</v>
      </c>
      <c r="P211" t="b">
        <v>0</v>
      </c>
      <c r="Q211" t="b">
        <v>0</v>
      </c>
    </row>
    <row r="212">
      <c r="A212" t="inlineStr">
        <is>
          <t>REQ00211</t>
        </is>
      </c>
      <c r="B212" t="inlineStr">
        <is>
          <t>529900T5C1PAB3B5UM88</t>
        </is>
      </c>
      <c r="C212" t="inlineStr">
        <is>
          <t>document_refresh</t>
        </is>
      </c>
      <c r="D212" s="2" t="n">
        <v>46300.51111111111</v>
      </c>
      <c r="E212" s="2" t="n">
        <v>46301.63611111111</v>
      </c>
      <c r="F212" t="inlineStr">
        <is>
          <t>M5</t>
        </is>
      </c>
      <c r="G212" t="inlineStr">
        <is>
          <t>C3</t>
        </is>
      </c>
      <c r="H212" s="2" t="n">
        <v>46300.52777777778</v>
      </c>
      <c r="I212" s="2" t="n">
        <v>46301.37916666667</v>
      </c>
      <c r="J212" t="inlineStr">
        <is>
          <t>Completed</t>
        </is>
      </c>
      <c r="K212" t="n">
        <v>5.83</v>
      </c>
      <c r="L212" t="n">
        <v>12</v>
      </c>
      <c r="M212" t="b">
        <v>0</v>
      </c>
      <c r="N212" t="n">
        <v>0</v>
      </c>
      <c r="O212" t="b">
        <v>1</v>
      </c>
      <c r="P212" t="b">
        <v>0</v>
      </c>
      <c r="Q212" t="b">
        <v>1</v>
      </c>
    </row>
    <row r="213">
      <c r="A213" t="inlineStr">
        <is>
          <t>REQ00212</t>
        </is>
      </c>
      <c r="B213" t="inlineStr">
        <is>
          <t>2138006T3XI6BA9DUT18</t>
        </is>
      </c>
      <c r="C213" t="inlineStr">
        <is>
          <t>document_refresh</t>
        </is>
      </c>
      <c r="D213" s="2" t="n">
        <v>46300.51388888889</v>
      </c>
      <c r="E213" s="2" t="n">
        <v>46301.63888888889</v>
      </c>
      <c r="F213" t="inlineStr">
        <is>
          <t>M2</t>
        </is>
      </c>
      <c r="G213" t="inlineStr">
        <is>
          <t>C3</t>
        </is>
      </c>
      <c r="H213" s="2" t="n">
        <v>46300.52916666667</v>
      </c>
      <c r="I213" s="2" t="n">
        <v>46300.74583333333</v>
      </c>
      <c r="J213" t="inlineStr">
        <is>
          <t>Completed</t>
        </is>
      </c>
      <c r="K213" t="n">
        <v>5.56</v>
      </c>
      <c r="L213" t="n">
        <v>12</v>
      </c>
      <c r="M213" t="b">
        <v>0</v>
      </c>
      <c r="N213" t="n">
        <v>0</v>
      </c>
      <c r="O213" t="b">
        <v>1</v>
      </c>
      <c r="P213" t="b">
        <v>0</v>
      </c>
      <c r="Q213" t="b">
        <v>1</v>
      </c>
    </row>
    <row r="214">
      <c r="A214" t="inlineStr">
        <is>
          <t>REQ00213</t>
        </is>
      </c>
      <c r="B214" t="inlineStr">
        <is>
          <t>969500U661WSGI3EDN70</t>
        </is>
      </c>
      <c r="C214" t="inlineStr">
        <is>
          <t>new_account</t>
        </is>
      </c>
      <c r="D214" s="2" t="n">
        <v>46300.51458333333</v>
      </c>
      <c r="E214" s="2" t="n">
        <v>46302.43125</v>
      </c>
      <c r="F214" t="inlineStr">
        <is>
          <t>M6</t>
        </is>
      </c>
      <c r="G214" t="inlineStr">
        <is>
          <t>C1</t>
        </is>
      </c>
      <c r="H214" s="2" t="n">
        <v>46300.54791666667</v>
      </c>
      <c r="I214" s="2" t="n">
        <v>46301.40277777778</v>
      </c>
      <c r="J214" t="inlineStr">
        <is>
          <t>Completed</t>
        </is>
      </c>
      <c r="K214" t="n">
        <v>6.32</v>
      </c>
      <c r="L214" t="n">
        <v>16</v>
      </c>
      <c r="M214" t="b">
        <v>0</v>
      </c>
      <c r="N214" t="n">
        <v>0</v>
      </c>
      <c r="O214" t="b">
        <v>1</v>
      </c>
      <c r="P214" t="b">
        <v>0</v>
      </c>
      <c r="Q214" t="b">
        <v>1</v>
      </c>
    </row>
    <row r="215">
      <c r="A215" t="inlineStr">
        <is>
          <t>REQ00214</t>
        </is>
      </c>
      <c r="B215" t="inlineStr">
        <is>
          <t>5493004Y1ONZFS6ECO71</t>
        </is>
      </c>
      <c r="C215" t="inlineStr">
        <is>
          <t>document_refresh</t>
        </is>
      </c>
      <c r="D215" s="2" t="n">
        <v>46300.53263888889</v>
      </c>
      <c r="E215" s="2" t="n">
        <v>46301.65763888889</v>
      </c>
      <c r="F215" t="inlineStr">
        <is>
          <t>M3</t>
        </is>
      </c>
      <c r="G215" t="inlineStr">
        <is>
          <t>C2</t>
        </is>
      </c>
      <c r="H215" s="2" t="n">
        <v>46300.54861111111</v>
      </c>
      <c r="I215" s="2" t="n">
        <v>46300.55277777778</v>
      </c>
      <c r="J215" t="inlineStr">
        <is>
          <t>Completed</t>
        </is>
      </c>
      <c r="K215" t="n">
        <v>0.49</v>
      </c>
      <c r="L215" t="n">
        <v>12</v>
      </c>
      <c r="M215" t="b">
        <v>0</v>
      </c>
      <c r="N215" t="n">
        <v>0</v>
      </c>
      <c r="O215" t="b">
        <v>1</v>
      </c>
      <c r="P215" t="b">
        <v>0</v>
      </c>
      <c r="Q215" t="b">
        <v>0</v>
      </c>
    </row>
    <row r="216">
      <c r="A216" t="inlineStr">
        <is>
          <t>REQ00215</t>
        </is>
      </c>
      <c r="B216" t="inlineStr">
        <is>
          <t>549300BTFG5QM631WN47</t>
        </is>
      </c>
      <c r="C216" t="inlineStr">
        <is>
          <t>new_account</t>
        </is>
      </c>
      <c r="D216" s="2" t="n">
        <v>46300.53263888889</v>
      </c>
      <c r="E216" s="2" t="n">
        <v>46302.44930555556</v>
      </c>
      <c r="F216" t="inlineStr">
        <is>
          <t>M1</t>
        </is>
      </c>
      <c r="G216" t="inlineStr">
        <is>
          <t>C1</t>
        </is>
      </c>
      <c r="H216" s="2" t="n">
        <v>46300.55763888889</v>
      </c>
      <c r="I216" s="2" t="n">
        <v>46300.68541666667</v>
      </c>
      <c r="J216" t="inlineStr">
        <is>
          <t>Completed</t>
        </is>
      </c>
      <c r="K216" t="n">
        <v>3.67</v>
      </c>
      <c r="L216" t="n">
        <v>16</v>
      </c>
      <c r="M216" t="b">
        <v>0</v>
      </c>
      <c r="N216" t="n">
        <v>0</v>
      </c>
      <c r="O216" t="b">
        <v>1</v>
      </c>
      <c r="P216" t="b">
        <v>0</v>
      </c>
      <c r="Q216" t="b">
        <v>1</v>
      </c>
    </row>
    <row r="217">
      <c r="A217" t="inlineStr">
        <is>
          <t>REQ00216</t>
        </is>
      </c>
      <c r="B217" t="inlineStr">
        <is>
          <t>549300C5YDC157N7N078</t>
        </is>
      </c>
      <c r="C217" t="inlineStr">
        <is>
          <t>document_refresh</t>
        </is>
      </c>
      <c r="D217" s="2" t="n">
        <v>46300.53333333333</v>
      </c>
      <c r="E217" s="2" t="n">
        <v>46301.65833333333</v>
      </c>
      <c r="F217" t="inlineStr">
        <is>
          <t>M5</t>
        </is>
      </c>
      <c r="G217" t="inlineStr">
        <is>
          <t>C2</t>
        </is>
      </c>
      <c r="H217" s="2" t="n">
        <v>46300.54513888889</v>
      </c>
      <c r="I217" s="2" t="n">
        <v>46301.41180555556</v>
      </c>
      <c r="J217" t="inlineStr">
        <is>
          <t>Completed</t>
        </is>
      </c>
      <c r="K217" t="n">
        <v>6.08</v>
      </c>
      <c r="L217" t="n">
        <v>12</v>
      </c>
      <c r="M217" t="b">
        <v>0</v>
      </c>
      <c r="N217" t="n">
        <v>0</v>
      </c>
      <c r="O217" t="b">
        <v>1</v>
      </c>
      <c r="P217" t="b">
        <v>0</v>
      </c>
      <c r="Q217" t="b">
        <v>1</v>
      </c>
    </row>
    <row r="218">
      <c r="A218" t="inlineStr">
        <is>
          <t>REQ00217</t>
        </is>
      </c>
      <c r="B218" t="inlineStr">
        <is>
          <t>969500GU5GDA2BK3C790</t>
        </is>
      </c>
      <c r="C218" t="inlineStr">
        <is>
          <t>data_amendment</t>
        </is>
      </c>
      <c r="D218" s="2" t="n">
        <v>46300.53472222222</v>
      </c>
      <c r="E218" s="2" t="n">
        <v>46301.49305555555</v>
      </c>
      <c r="F218" t="inlineStr">
        <is>
          <t>M2</t>
        </is>
      </c>
      <c r="G218" t="inlineStr">
        <is>
          <t>C3</t>
        </is>
      </c>
      <c r="H218" s="2" t="n">
        <v>46300.54513888889</v>
      </c>
      <c r="I218" s="2" t="n">
        <v>46301.39652777778</v>
      </c>
      <c r="J218" t="inlineStr">
        <is>
          <t>Completed</t>
        </is>
      </c>
      <c r="K218" t="n">
        <v>5.68</v>
      </c>
      <c r="L218" t="n">
        <v>8</v>
      </c>
      <c r="M218" t="b">
        <v>0</v>
      </c>
      <c r="N218" t="n">
        <v>0</v>
      </c>
      <c r="O218" t="b">
        <v>1</v>
      </c>
      <c r="P218" t="b">
        <v>0</v>
      </c>
      <c r="Q218" t="b">
        <v>1</v>
      </c>
    </row>
    <row r="219">
      <c r="A219" t="inlineStr">
        <is>
          <t>REQ00218</t>
        </is>
      </c>
      <c r="B219" t="inlineStr">
        <is>
          <t>2138002QL4C361G66E27</t>
        </is>
      </c>
      <c r="C219" t="inlineStr">
        <is>
          <t>data_amendment</t>
        </is>
      </c>
      <c r="D219" s="2" t="n">
        <v>46300.53888888889</v>
      </c>
      <c r="E219" s="2" t="n">
        <v>46301.49722222222</v>
      </c>
      <c r="F219" t="inlineStr">
        <is>
          <t>M4</t>
        </is>
      </c>
      <c r="G219" t="inlineStr">
        <is>
          <t>C1</t>
        </is>
      </c>
      <c r="H219" s="2" t="n">
        <v>46300.55138888889</v>
      </c>
      <c r="I219" s="2" t="n">
        <v>46301.40694444445</v>
      </c>
      <c r="J219" t="inlineStr">
        <is>
          <t>Completed</t>
        </is>
      </c>
      <c r="K219" t="n">
        <v>5.83</v>
      </c>
      <c r="L219" t="n">
        <v>8</v>
      </c>
      <c r="M219" t="b">
        <v>0</v>
      </c>
      <c r="N219" t="n">
        <v>0</v>
      </c>
      <c r="O219" t="b">
        <v>1</v>
      </c>
      <c r="P219" t="b">
        <v>0</v>
      </c>
      <c r="Q219" t="b">
        <v>1</v>
      </c>
    </row>
    <row r="220">
      <c r="A220" t="inlineStr">
        <is>
          <t>REQ00219</t>
        </is>
      </c>
      <c r="B220" t="inlineStr">
        <is>
          <t>724500A1P7INYBTU3U97</t>
        </is>
      </c>
      <c r="C220" t="inlineStr">
        <is>
          <t>data_amendment</t>
        </is>
      </c>
      <c r="D220" s="2" t="n">
        <v>46300.54930555556</v>
      </c>
      <c r="E220" s="2" t="n">
        <v>46301.50763888889</v>
      </c>
      <c r="F220" t="inlineStr">
        <is>
          <t>M5</t>
        </is>
      </c>
      <c r="G220" t="inlineStr">
        <is>
          <t>C2</t>
        </is>
      </c>
      <c r="H220" s="2" t="n">
        <v>46300.55694444444</v>
      </c>
      <c r="I220" s="2" t="n">
        <v>46300.74861111111</v>
      </c>
      <c r="J220" t="inlineStr">
        <is>
          <t>Completed</t>
        </is>
      </c>
      <c r="K220" t="n">
        <v>4.78</v>
      </c>
      <c r="L220" t="n">
        <v>8</v>
      </c>
      <c r="M220" t="b">
        <v>0</v>
      </c>
      <c r="N220" t="n">
        <v>0</v>
      </c>
      <c r="O220" t="b">
        <v>1</v>
      </c>
      <c r="P220" t="b">
        <v>0</v>
      </c>
      <c r="Q220" t="b">
        <v>1</v>
      </c>
    </row>
    <row r="221">
      <c r="A221" t="inlineStr">
        <is>
          <t>REQ00220</t>
        </is>
      </c>
      <c r="B221" t="inlineStr">
        <is>
          <t>549300S4I8I1O051B984</t>
        </is>
      </c>
      <c r="C221" t="inlineStr">
        <is>
          <t>document_refresh</t>
        </is>
      </c>
      <c r="D221" s="2" t="n">
        <v>46300.55208333334</v>
      </c>
      <c r="E221" s="2" t="n">
        <v>46301.67708333334</v>
      </c>
      <c r="F221" t="inlineStr">
        <is>
          <t>M2</t>
        </is>
      </c>
      <c r="G221" t="inlineStr">
        <is>
          <t>C3</t>
        </is>
      </c>
      <c r="H221" s="2" t="n">
        <v>46300.56180555555</v>
      </c>
      <c r="I221" s="2" t="n">
        <v>46301.41388888889</v>
      </c>
      <c r="J221" t="inlineStr">
        <is>
          <t>Completed</t>
        </is>
      </c>
      <c r="K221" t="n">
        <v>5.68</v>
      </c>
      <c r="L221" t="n">
        <v>12</v>
      </c>
      <c r="M221" t="b">
        <v>0</v>
      </c>
      <c r="N221" t="n">
        <v>0</v>
      </c>
      <c r="O221" t="b">
        <v>1</v>
      </c>
      <c r="P221" t="b">
        <v>0</v>
      </c>
      <c r="Q221" t="b">
        <v>1</v>
      </c>
    </row>
    <row r="222">
      <c r="A222" t="inlineStr">
        <is>
          <t>REQ00221</t>
        </is>
      </c>
      <c r="B222" t="inlineStr">
        <is>
          <t>549300B3KL7SLS1ISC25</t>
        </is>
      </c>
      <c r="C222" t="inlineStr">
        <is>
          <t>document_refresh</t>
        </is>
      </c>
      <c r="D222" s="2" t="n">
        <v>46300.56041666667</v>
      </c>
      <c r="E222" s="2" t="n">
        <v>46301.68541666667</v>
      </c>
      <c r="F222" t="inlineStr">
        <is>
          <t>M6</t>
        </is>
      </c>
      <c r="G222" t="inlineStr">
        <is>
          <t>C2</t>
        </is>
      </c>
      <c r="H222" s="2" t="n">
        <v>46300.57777777778</v>
      </c>
      <c r="I222" s="2" t="n">
        <v>46300.71666666667</v>
      </c>
      <c r="J222" t="inlineStr">
        <is>
          <t>Completed</t>
        </is>
      </c>
      <c r="K222" t="n">
        <v>3.75</v>
      </c>
      <c r="L222" t="n">
        <v>12</v>
      </c>
      <c r="M222" t="b">
        <v>0</v>
      </c>
      <c r="N222" t="n">
        <v>0</v>
      </c>
      <c r="O222" t="b">
        <v>1</v>
      </c>
      <c r="P222" t="b">
        <v>0</v>
      </c>
      <c r="Q222" t="b">
        <v>1</v>
      </c>
    </row>
    <row r="223">
      <c r="A223" t="inlineStr">
        <is>
          <t>REQ00222</t>
        </is>
      </c>
      <c r="B223" t="inlineStr">
        <is>
          <t>3358005MV4ZAHMEP1S72</t>
        </is>
      </c>
      <c r="C223" t="inlineStr">
        <is>
          <t>new_account</t>
        </is>
      </c>
      <c r="D223" s="2" t="n">
        <v>46300.56111111111</v>
      </c>
      <c r="E223" s="2" t="n">
        <v>46302.47777777778</v>
      </c>
      <c r="F223" t="inlineStr">
        <is>
          <t>M3</t>
        </is>
      </c>
      <c r="G223" t="inlineStr">
        <is>
          <t>C1</t>
        </is>
      </c>
      <c r="H223" s="2" t="n">
        <v>46300.59236111111</v>
      </c>
      <c r="I223" s="2" t="n">
        <v>46300.60555555556</v>
      </c>
      <c r="J223" t="inlineStr">
        <is>
          <t>Completed</t>
        </is>
      </c>
      <c r="K223" t="n">
        <v>1.07</v>
      </c>
      <c r="L223" t="n">
        <v>16</v>
      </c>
      <c r="M223" t="b">
        <v>0</v>
      </c>
      <c r="N223" t="n">
        <v>0</v>
      </c>
      <c r="O223" t="b">
        <v>1</v>
      </c>
      <c r="P223" t="b">
        <v>0</v>
      </c>
      <c r="Q223" t="b">
        <v>0</v>
      </c>
    </row>
    <row r="224">
      <c r="A224" t="inlineStr">
        <is>
          <t>REQ00223</t>
        </is>
      </c>
      <c r="B224" t="inlineStr">
        <is>
          <t>549300HNVWNGDLR2ZH51</t>
        </is>
      </c>
      <c r="C224" t="inlineStr">
        <is>
          <t>data_amendment</t>
        </is>
      </c>
      <c r="D224" s="2" t="n">
        <v>46300.56458333333</v>
      </c>
      <c r="E224" s="2" t="n">
        <v>46301.52291666667</v>
      </c>
      <c r="F224" t="inlineStr">
        <is>
          <t>M4</t>
        </is>
      </c>
      <c r="G224" t="inlineStr">
        <is>
          <t>C1</t>
        </is>
      </c>
      <c r="H224" s="2" t="n">
        <v>46300.575</v>
      </c>
      <c r="I224" s="2" t="n">
        <v>46300.57916666667</v>
      </c>
      <c r="J224" t="inlineStr">
        <is>
          <t>Completed</t>
        </is>
      </c>
      <c r="K224" t="n">
        <v>0.35</v>
      </c>
      <c r="L224" t="n">
        <v>8</v>
      </c>
      <c r="M224" t="b">
        <v>0</v>
      </c>
      <c r="N224" t="n">
        <v>0</v>
      </c>
      <c r="O224" t="b">
        <v>1</v>
      </c>
      <c r="P224" t="b">
        <v>0</v>
      </c>
      <c r="Q224" t="b">
        <v>0</v>
      </c>
    </row>
    <row r="225">
      <c r="A225" t="inlineStr">
        <is>
          <t>REQ00224</t>
        </is>
      </c>
      <c r="B225" t="inlineStr">
        <is>
          <t>635400PQXLYXWJI5QD78</t>
        </is>
      </c>
      <c r="C225" t="inlineStr">
        <is>
          <t>document_refresh</t>
        </is>
      </c>
      <c r="D225" s="2" t="n">
        <v>46300.57222222222</v>
      </c>
      <c r="E225" s="2" t="n">
        <v>46301.69722222222</v>
      </c>
      <c r="F225" t="inlineStr">
        <is>
          <t>M5</t>
        </is>
      </c>
      <c r="G225" t="inlineStr">
        <is>
          <t>C3</t>
        </is>
      </c>
      <c r="H225" s="2" t="n">
        <v>46300.58888888889</v>
      </c>
      <c r="I225" s="2" t="n">
        <v>46300.59305555555</v>
      </c>
      <c r="J225" t="inlineStr">
        <is>
          <t>Completed</t>
        </is>
      </c>
      <c r="K225" t="n">
        <v>0.5</v>
      </c>
      <c r="L225" t="n">
        <v>12</v>
      </c>
      <c r="M225" t="b">
        <v>0</v>
      </c>
      <c r="N225" t="n">
        <v>0</v>
      </c>
      <c r="O225" t="b">
        <v>1</v>
      </c>
      <c r="P225" t="b">
        <v>0</v>
      </c>
      <c r="Q225" t="b">
        <v>0</v>
      </c>
    </row>
    <row r="226">
      <c r="A226" t="inlineStr">
        <is>
          <t>REQ00225</t>
        </is>
      </c>
      <c r="B226" t="inlineStr">
        <is>
          <t>254900JZ0VIOJFWV2F21</t>
        </is>
      </c>
      <c r="C226" t="inlineStr">
        <is>
          <t>document_refresh</t>
        </is>
      </c>
      <c r="D226" s="2" t="n">
        <v>46300.57222222222</v>
      </c>
      <c r="E226" s="2" t="n">
        <v>46301.69722222222</v>
      </c>
      <c r="F226" t="inlineStr">
        <is>
          <t>M1</t>
        </is>
      </c>
      <c r="G226" t="inlineStr">
        <is>
          <t>C2</t>
        </is>
      </c>
      <c r="H226" s="2" t="n">
        <v>46300.58888888889</v>
      </c>
      <c r="I226" s="2" t="n">
        <v>46300.59513888889</v>
      </c>
      <c r="J226" t="inlineStr">
        <is>
          <t>Completed</t>
        </is>
      </c>
      <c r="K226" t="n">
        <v>0.55</v>
      </c>
      <c r="L226" t="n">
        <v>12</v>
      </c>
      <c r="M226" t="b">
        <v>0</v>
      </c>
      <c r="N226" t="n">
        <v>0</v>
      </c>
      <c r="O226" t="b">
        <v>1</v>
      </c>
      <c r="P226" t="b">
        <v>0</v>
      </c>
      <c r="Q226" t="b">
        <v>0</v>
      </c>
    </row>
    <row r="227">
      <c r="A227" t="inlineStr">
        <is>
          <t>REQ00226</t>
        </is>
      </c>
      <c r="B227" t="inlineStr">
        <is>
          <t>549300BG3UQ00A2MZS35</t>
        </is>
      </c>
      <c r="C227" t="inlineStr">
        <is>
          <t>data_amendment</t>
        </is>
      </c>
      <c r="D227" s="2" t="n">
        <v>46300.5875</v>
      </c>
      <c r="E227" s="2" t="n">
        <v>46301.54583333333</v>
      </c>
      <c r="F227" t="inlineStr">
        <is>
          <t>M2</t>
        </is>
      </c>
      <c r="G227" t="inlineStr">
        <is>
          <t>C1</t>
        </is>
      </c>
      <c r="H227" s="2" t="n">
        <v>46300.59722222222</v>
      </c>
      <c r="I227" s="2" t="n">
        <v>46300.74791666667</v>
      </c>
      <c r="J227" t="inlineStr">
        <is>
          <t>Completed</t>
        </is>
      </c>
      <c r="K227" t="n">
        <v>3.84</v>
      </c>
      <c r="L227" t="n">
        <v>8</v>
      </c>
      <c r="M227" t="b">
        <v>0</v>
      </c>
      <c r="N227" t="n">
        <v>0</v>
      </c>
      <c r="O227" t="b">
        <v>1</v>
      </c>
      <c r="P227" t="b">
        <v>0</v>
      </c>
      <c r="Q227" t="b">
        <v>1</v>
      </c>
    </row>
    <row r="228">
      <c r="A228" t="inlineStr">
        <is>
          <t>REQ00227</t>
        </is>
      </c>
      <c r="B228" t="inlineStr">
        <is>
          <t>213800J93OCELLUOTW64</t>
        </is>
      </c>
      <c r="C228" t="inlineStr">
        <is>
          <t>new_account</t>
        </is>
      </c>
      <c r="D228" s="2" t="n">
        <v>46300.58958333333</v>
      </c>
      <c r="E228" s="2" t="n">
        <v>46302.50625</v>
      </c>
      <c r="F228" t="inlineStr">
        <is>
          <t>M4</t>
        </is>
      </c>
      <c r="G228" t="inlineStr">
        <is>
          <t>C1</t>
        </is>
      </c>
      <c r="H228" s="2" t="n">
        <v>46300.61388888889</v>
      </c>
      <c r="I228" s="2" t="n">
        <v>46300.72847222222</v>
      </c>
      <c r="J228" t="inlineStr">
        <is>
          <t>Completed</t>
        </is>
      </c>
      <c r="K228" t="n">
        <v>3.33</v>
      </c>
      <c r="L228" t="n">
        <v>16</v>
      </c>
      <c r="M228" t="b">
        <v>0</v>
      </c>
      <c r="N228" t="n">
        <v>0</v>
      </c>
      <c r="O228" t="b">
        <v>1</v>
      </c>
      <c r="P228" t="b">
        <v>0</v>
      </c>
      <c r="Q228" t="b">
        <v>1</v>
      </c>
    </row>
    <row r="229">
      <c r="A229" t="inlineStr">
        <is>
          <t>REQ00228</t>
        </is>
      </c>
      <c r="B229" t="inlineStr">
        <is>
          <t>549300BXPYLSKWP7V621</t>
        </is>
      </c>
      <c r="C229" t="inlineStr">
        <is>
          <t>signatory_change</t>
        </is>
      </c>
      <c r="D229" s="2" t="n">
        <v>46300.59236111111</v>
      </c>
      <c r="E229" s="2" t="n">
        <v>46301.55069444444</v>
      </c>
      <c r="F229" t="inlineStr">
        <is>
          <t>M6</t>
        </is>
      </c>
      <c r="G229" t="inlineStr">
        <is>
          <t>C2</t>
        </is>
      </c>
      <c r="H229" s="2" t="n">
        <v>46300.61180555556</v>
      </c>
      <c r="I229" s="2" t="n">
        <v>46300.74236111111</v>
      </c>
      <c r="J229" t="inlineStr">
        <is>
          <t>Completed</t>
        </is>
      </c>
      <c r="K229" t="n">
        <v>3.6</v>
      </c>
      <c r="L229" t="n">
        <v>8</v>
      </c>
      <c r="M229" t="b">
        <v>0</v>
      </c>
      <c r="N229" t="n">
        <v>0</v>
      </c>
      <c r="O229" t="b">
        <v>1</v>
      </c>
      <c r="P229" t="b">
        <v>0</v>
      </c>
      <c r="Q229" t="b">
        <v>1</v>
      </c>
    </row>
    <row r="230">
      <c r="A230" t="inlineStr">
        <is>
          <t>REQ00229</t>
        </is>
      </c>
      <c r="B230" t="inlineStr">
        <is>
          <t>549300YMMW64T2N7CU17</t>
        </is>
      </c>
      <c r="C230" t="inlineStr">
        <is>
          <t>document_refresh</t>
        </is>
      </c>
      <c r="D230" s="2" t="n">
        <v>46300.59513888889</v>
      </c>
      <c r="E230" s="2" t="n">
        <v>46301.72013888889</v>
      </c>
      <c r="F230" t="inlineStr">
        <is>
          <t>M5</t>
        </is>
      </c>
      <c r="G230" t="inlineStr">
        <is>
          <t>C3</t>
        </is>
      </c>
      <c r="H230" s="2" t="n">
        <v>46300.61319444444</v>
      </c>
      <c r="I230" s="2" t="n">
        <v>46300.70763888889</v>
      </c>
      <c r="J230" t="inlineStr">
        <is>
          <t>Completed</t>
        </is>
      </c>
      <c r="K230" t="n">
        <v>2.7</v>
      </c>
      <c r="L230" t="n">
        <v>12</v>
      </c>
      <c r="M230" t="b">
        <v>0</v>
      </c>
      <c r="N230" t="n">
        <v>0</v>
      </c>
      <c r="O230" t="b">
        <v>1</v>
      </c>
      <c r="P230" t="b">
        <v>0</v>
      </c>
      <c r="Q230" t="b">
        <v>1</v>
      </c>
    </row>
    <row r="231">
      <c r="A231" t="inlineStr">
        <is>
          <t>REQ00230</t>
        </is>
      </c>
      <c r="B231" t="inlineStr">
        <is>
          <t>7245007M1YLX43O05C74</t>
        </is>
      </c>
      <c r="C231" t="inlineStr">
        <is>
          <t>document_refresh</t>
        </is>
      </c>
      <c r="D231" s="2" t="n">
        <v>46300.60555555556</v>
      </c>
      <c r="E231" s="2" t="n">
        <v>46301.73055555556</v>
      </c>
      <c r="F231" t="inlineStr">
        <is>
          <t>M1</t>
        </is>
      </c>
      <c r="G231" t="inlineStr">
        <is>
          <t>C1</t>
        </is>
      </c>
      <c r="H231" s="2" t="n">
        <v>46300.61736111111</v>
      </c>
      <c r="I231" s="2" t="n">
        <v>46300.62291666667</v>
      </c>
      <c r="J231" t="inlineStr">
        <is>
          <t>Completed</t>
        </is>
      </c>
      <c r="K231" t="n">
        <v>0.42</v>
      </c>
      <c r="L231" t="n">
        <v>12</v>
      </c>
      <c r="M231" t="b">
        <v>0</v>
      </c>
      <c r="N231" t="n">
        <v>0</v>
      </c>
      <c r="O231" t="b">
        <v>1</v>
      </c>
      <c r="P231" t="b">
        <v>0</v>
      </c>
      <c r="Q231" t="b">
        <v>0</v>
      </c>
    </row>
    <row r="232">
      <c r="A232" t="inlineStr">
        <is>
          <t>REQ00231</t>
        </is>
      </c>
      <c r="B232" t="inlineStr">
        <is>
          <t>969500WU6EHMDIHNIE97</t>
        </is>
      </c>
      <c r="C232" t="inlineStr">
        <is>
          <t>signatory_change</t>
        </is>
      </c>
      <c r="D232" s="2" t="n">
        <v>46300.60694444444</v>
      </c>
      <c r="E232" s="2" t="n">
        <v>46301.56527777778</v>
      </c>
      <c r="F232" t="inlineStr">
        <is>
          <t>M3</t>
        </is>
      </c>
      <c r="G232" t="inlineStr">
        <is>
          <t>C1</t>
        </is>
      </c>
      <c r="H232" s="2" t="n">
        <v>46300.62361111111</v>
      </c>
      <c r="I232" s="2" t="n">
        <v>46301.42916666667</v>
      </c>
      <c r="J232" t="inlineStr">
        <is>
          <t>Completed</t>
        </is>
      </c>
      <c r="K232" t="n">
        <v>4.73</v>
      </c>
      <c r="L232" t="n">
        <v>8</v>
      </c>
      <c r="M232" t="b">
        <v>0</v>
      </c>
      <c r="N232" t="n">
        <v>0</v>
      </c>
      <c r="O232" t="b">
        <v>1</v>
      </c>
      <c r="P232" t="b">
        <v>0</v>
      </c>
      <c r="Q232" t="b">
        <v>1</v>
      </c>
    </row>
    <row r="233">
      <c r="A233" t="inlineStr">
        <is>
          <t>REQ00232</t>
        </is>
      </c>
      <c r="B233" t="inlineStr">
        <is>
          <t>213800C4TEYANSJIQJ51</t>
        </is>
      </c>
      <c r="C233" t="inlineStr">
        <is>
          <t>signatory_change</t>
        </is>
      </c>
      <c r="D233" s="2" t="n">
        <v>46300.61041666667</v>
      </c>
      <c r="E233" s="2" t="n">
        <v>46301.56875</v>
      </c>
      <c r="F233" t="inlineStr">
        <is>
          <t>M2</t>
        </is>
      </c>
      <c r="G233" t="inlineStr">
        <is>
          <t>C3</t>
        </is>
      </c>
      <c r="H233" s="2" t="n">
        <v>46300.63402777778</v>
      </c>
      <c r="I233" s="2" t="n">
        <v>46301.45972222222</v>
      </c>
      <c r="J233" t="inlineStr">
        <is>
          <t>Completed</t>
        </is>
      </c>
      <c r="K233" t="n">
        <v>5.38</v>
      </c>
      <c r="L233" t="n">
        <v>8</v>
      </c>
      <c r="M233" t="b">
        <v>0</v>
      </c>
      <c r="N233" t="n">
        <v>0</v>
      </c>
      <c r="O233" t="b">
        <v>1</v>
      </c>
      <c r="P233" t="b">
        <v>0</v>
      </c>
      <c r="Q233" t="b">
        <v>1</v>
      </c>
    </row>
    <row r="234">
      <c r="A234" t="inlineStr">
        <is>
          <t>REQ00233</t>
        </is>
      </c>
      <c r="B234" t="inlineStr">
        <is>
          <t>3912006UJR4YNVTNY682</t>
        </is>
      </c>
      <c r="C234" t="inlineStr">
        <is>
          <t>document_refresh</t>
        </is>
      </c>
      <c r="D234" s="2" t="n">
        <v>46300.6125</v>
      </c>
      <c r="E234" s="2" t="n">
        <v>46301.7375</v>
      </c>
      <c r="F234" t="inlineStr">
        <is>
          <t>M6</t>
        </is>
      </c>
      <c r="G234" t="inlineStr">
        <is>
          <t>C1</t>
        </is>
      </c>
      <c r="H234" s="2" t="n">
        <v>46300.62986111111</v>
      </c>
      <c r="I234" s="2" t="n">
        <v>46300.63402777778</v>
      </c>
      <c r="J234" t="inlineStr">
        <is>
          <t>Completed</t>
        </is>
      </c>
      <c r="K234" t="n">
        <v>0.52</v>
      </c>
      <c r="L234" t="n">
        <v>12</v>
      </c>
      <c r="M234" t="b">
        <v>0</v>
      </c>
      <c r="N234" t="n">
        <v>0</v>
      </c>
      <c r="O234" t="b">
        <v>1</v>
      </c>
      <c r="P234" t="b">
        <v>0</v>
      </c>
      <c r="Q234" t="b">
        <v>0</v>
      </c>
    </row>
    <row r="235">
      <c r="A235" t="inlineStr">
        <is>
          <t>REQ00234</t>
        </is>
      </c>
      <c r="B235" t="inlineStr">
        <is>
          <t>5299002I1VK8B71KSE33</t>
        </is>
      </c>
      <c r="C235" t="inlineStr">
        <is>
          <t>signatory_change</t>
        </is>
      </c>
      <c r="D235" s="2" t="n">
        <v>46300.61666666667</v>
      </c>
      <c r="E235" s="2" t="n">
        <v>46301.575</v>
      </c>
      <c r="F235" t="inlineStr">
        <is>
          <t>M5</t>
        </is>
      </c>
      <c r="G235" t="inlineStr">
        <is>
          <t>C2</t>
        </is>
      </c>
      <c r="H235" s="2" t="n">
        <v>46300.63472222222</v>
      </c>
      <c r="I235" s="2" t="n">
        <v>46300.63958333333</v>
      </c>
      <c r="J235" t="inlineStr">
        <is>
          <t>Completed</t>
        </is>
      </c>
      <c r="K235" t="n">
        <v>0.55</v>
      </c>
      <c r="L235" t="n">
        <v>8</v>
      </c>
      <c r="M235" t="b">
        <v>0</v>
      </c>
      <c r="N235" t="n">
        <v>0</v>
      </c>
      <c r="O235" t="b">
        <v>1</v>
      </c>
      <c r="P235" t="b">
        <v>0</v>
      </c>
      <c r="Q235" t="b">
        <v>0</v>
      </c>
    </row>
    <row r="236">
      <c r="A236" t="inlineStr">
        <is>
          <t>REQ00235</t>
        </is>
      </c>
      <c r="B236" t="inlineStr">
        <is>
          <t>529900Q2ZOKBEPOK0S52</t>
        </is>
      </c>
      <c r="C236" t="inlineStr">
        <is>
          <t>document_refresh</t>
        </is>
      </c>
      <c r="D236" s="2" t="n">
        <v>46300.61875</v>
      </c>
      <c r="E236" s="2" t="n">
        <v>46301.74375</v>
      </c>
      <c r="F236" t="inlineStr">
        <is>
          <t>M4</t>
        </is>
      </c>
      <c r="G236" t="inlineStr">
        <is>
          <t>C3</t>
        </is>
      </c>
      <c r="H236" s="2" t="n">
        <v>46300.63194444445</v>
      </c>
      <c r="I236" s="2" t="n">
        <v>46300.6375</v>
      </c>
      <c r="J236" t="inlineStr">
        <is>
          <t>Completed</t>
        </is>
      </c>
      <c r="K236" t="n">
        <v>0.45</v>
      </c>
      <c r="L236" t="n">
        <v>12</v>
      </c>
      <c r="M236" t="b">
        <v>0</v>
      </c>
      <c r="N236" t="n">
        <v>0</v>
      </c>
      <c r="O236" t="b">
        <v>1</v>
      </c>
      <c r="P236" t="b">
        <v>0</v>
      </c>
      <c r="Q236" t="b">
        <v>0</v>
      </c>
    </row>
    <row r="237">
      <c r="A237" t="inlineStr">
        <is>
          <t>REQ00236</t>
        </is>
      </c>
      <c r="B237" t="inlineStr">
        <is>
          <t>254900SMO79K30RIBE87</t>
        </is>
      </c>
      <c r="C237" t="inlineStr">
        <is>
          <t>new_account</t>
        </is>
      </c>
      <c r="D237" s="2" t="n">
        <v>46300.62013888889</v>
      </c>
      <c r="E237" s="2" t="n">
        <v>46302.53680555556</v>
      </c>
      <c r="F237" t="inlineStr">
        <is>
          <t>M1</t>
        </is>
      </c>
      <c r="G237" t="inlineStr">
        <is>
          <t>C1</t>
        </is>
      </c>
      <c r="H237" s="2" t="n">
        <v>46300.64375</v>
      </c>
      <c r="I237" s="2" t="n">
        <v>46301.39305555556</v>
      </c>
      <c r="J237" t="inlineStr">
        <is>
          <t>Completed</t>
        </is>
      </c>
      <c r="K237" t="n">
        <v>3.56</v>
      </c>
      <c r="L237" t="n">
        <v>16</v>
      </c>
      <c r="M237" t="b">
        <v>0</v>
      </c>
      <c r="N237" t="n">
        <v>0</v>
      </c>
      <c r="O237" t="b">
        <v>1</v>
      </c>
      <c r="P237" t="b">
        <v>0</v>
      </c>
      <c r="Q237" t="b">
        <v>1</v>
      </c>
    </row>
    <row r="238">
      <c r="A238" t="inlineStr">
        <is>
          <t>REQ00237</t>
        </is>
      </c>
      <c r="B238" t="inlineStr">
        <is>
          <t>3358008SGXSLKYQV7U84</t>
        </is>
      </c>
      <c r="C238" t="inlineStr">
        <is>
          <t>data_amendment</t>
        </is>
      </c>
      <c r="D238" s="2" t="n">
        <v>46300.63819444444</v>
      </c>
      <c r="E238" s="2" t="n">
        <v>46301.59652777778</v>
      </c>
      <c r="F238" t="inlineStr">
        <is>
          <t>M3</t>
        </is>
      </c>
      <c r="G238" t="inlineStr">
        <is>
          <t>C3</t>
        </is>
      </c>
      <c r="H238" s="2" t="n">
        <v>46300.64583333334</v>
      </c>
      <c r="I238" s="2" t="n">
        <v>46300.64861111111</v>
      </c>
      <c r="J238" t="inlineStr">
        <is>
          <t>Completed</t>
        </is>
      </c>
      <c r="K238" t="n">
        <v>0.25</v>
      </c>
      <c r="L238" t="n">
        <v>8</v>
      </c>
      <c r="M238" t="b">
        <v>0</v>
      </c>
      <c r="N238" t="n">
        <v>0</v>
      </c>
      <c r="O238" t="b">
        <v>1</v>
      </c>
      <c r="P238" t="b">
        <v>0</v>
      </c>
      <c r="Q238" t="b">
        <v>0</v>
      </c>
    </row>
    <row r="239">
      <c r="A239" t="inlineStr">
        <is>
          <t>REQ00238</t>
        </is>
      </c>
      <c r="B239" t="inlineStr">
        <is>
          <t>213800L2KSMTBAUHIT84</t>
        </is>
      </c>
      <c r="C239" t="inlineStr">
        <is>
          <t>signatory_change</t>
        </is>
      </c>
      <c r="D239" s="2" t="n">
        <v>46300.64305555556</v>
      </c>
      <c r="E239" s="2" t="n">
        <v>46301.60138888889</v>
      </c>
      <c r="F239" t="inlineStr">
        <is>
          <t>M6</t>
        </is>
      </c>
      <c r="G239" t="inlineStr">
        <is>
          <t>C1</t>
        </is>
      </c>
      <c r="H239" s="2" t="n">
        <v>46300.67013888889</v>
      </c>
      <c r="I239" s="2" t="n">
        <v>46301.49444444444</v>
      </c>
      <c r="J239" t="inlineStr">
        <is>
          <t>Completed</t>
        </is>
      </c>
      <c r="K239" t="n">
        <v>5.43</v>
      </c>
      <c r="L239" t="n">
        <v>8</v>
      </c>
      <c r="M239" t="b">
        <v>0</v>
      </c>
      <c r="N239" t="n">
        <v>0</v>
      </c>
      <c r="O239" t="b">
        <v>1</v>
      </c>
      <c r="P239" t="b">
        <v>0</v>
      </c>
      <c r="Q239" t="b">
        <v>1</v>
      </c>
    </row>
    <row r="240">
      <c r="A240" t="inlineStr">
        <is>
          <t>REQ00239</t>
        </is>
      </c>
      <c r="B240" t="inlineStr">
        <is>
          <t>894500R8HX156QUE7S73</t>
        </is>
      </c>
      <c r="C240" t="inlineStr">
        <is>
          <t>document_refresh</t>
        </is>
      </c>
      <c r="D240" s="2" t="n">
        <v>46300.64513888889</v>
      </c>
      <c r="E240" s="2" t="n">
        <v>46302.39513888889</v>
      </c>
      <c r="F240" t="inlineStr">
        <is>
          <t>M4</t>
        </is>
      </c>
      <c r="G240" t="inlineStr">
        <is>
          <t>C3</t>
        </is>
      </c>
      <c r="H240" s="2" t="n">
        <v>46300.65694444445</v>
      </c>
      <c r="I240" s="2" t="n">
        <v>46300.6625</v>
      </c>
      <c r="J240" t="inlineStr">
        <is>
          <t>Completed</t>
        </is>
      </c>
      <c r="K240" t="n">
        <v>0.42</v>
      </c>
      <c r="L240" t="n">
        <v>12</v>
      </c>
      <c r="M240" t="b">
        <v>0</v>
      </c>
      <c r="N240" t="n">
        <v>0</v>
      </c>
      <c r="O240" t="b">
        <v>1</v>
      </c>
      <c r="P240" t="b">
        <v>0</v>
      </c>
      <c r="Q240" t="b">
        <v>0</v>
      </c>
    </row>
    <row r="241">
      <c r="A241" t="inlineStr">
        <is>
          <t>REQ00240</t>
        </is>
      </c>
      <c r="B241" t="inlineStr">
        <is>
          <t>391200WNU8SPTMMCND69</t>
        </is>
      </c>
      <c r="C241" t="inlineStr">
        <is>
          <t>data_amendment</t>
        </is>
      </c>
      <c r="D241" s="2" t="n">
        <v>46300.64791666667</v>
      </c>
      <c r="E241" s="2" t="n">
        <v>46301.60625</v>
      </c>
      <c r="F241" t="inlineStr">
        <is>
          <t>M2</t>
        </is>
      </c>
      <c r="G241" t="inlineStr">
        <is>
          <t>C1</t>
        </is>
      </c>
      <c r="H241" s="2" t="n">
        <v>46300.65625</v>
      </c>
      <c r="I241" s="2" t="n">
        <v>46300.65972222222</v>
      </c>
      <c r="J241" t="inlineStr">
        <is>
          <t>Completed</t>
        </is>
      </c>
      <c r="K241" t="n">
        <v>0.28</v>
      </c>
      <c r="L241" t="n">
        <v>8</v>
      </c>
      <c r="M241" t="b">
        <v>0</v>
      </c>
      <c r="N241" t="n">
        <v>0</v>
      </c>
      <c r="O241" t="b">
        <v>1</v>
      </c>
      <c r="P241" t="b">
        <v>0</v>
      </c>
      <c r="Q241" t="b">
        <v>0</v>
      </c>
    </row>
    <row r="242">
      <c r="A242" t="inlineStr">
        <is>
          <t>REQ00241</t>
        </is>
      </c>
      <c r="B242" t="inlineStr">
        <is>
          <t>549300JJ10WD0W838X33</t>
        </is>
      </c>
      <c r="C242" t="inlineStr">
        <is>
          <t>document_refresh</t>
        </is>
      </c>
      <c r="D242" s="2" t="n">
        <v>46300.64791666667</v>
      </c>
      <c r="E242" s="2" t="n">
        <v>46302.39791666667</v>
      </c>
      <c r="F242" t="inlineStr">
        <is>
          <t>M5</t>
        </is>
      </c>
      <c r="G242" t="inlineStr">
        <is>
          <t>C2</t>
        </is>
      </c>
      <c r="H242" s="2" t="n">
        <v>46300.65833333333</v>
      </c>
      <c r="I242" s="2" t="n">
        <v>46300.66458333333</v>
      </c>
      <c r="J242" t="inlineStr">
        <is>
          <t>Completed</t>
        </is>
      </c>
      <c r="K242" t="n">
        <v>0.4</v>
      </c>
      <c r="L242" t="n">
        <v>12</v>
      </c>
      <c r="M242" t="b">
        <v>0</v>
      </c>
      <c r="N242" t="n">
        <v>0</v>
      </c>
      <c r="O242" t="b">
        <v>1</v>
      </c>
      <c r="P242" t="b">
        <v>0</v>
      </c>
      <c r="Q242" t="b">
        <v>0</v>
      </c>
    </row>
    <row r="243">
      <c r="A243" t="inlineStr">
        <is>
          <t>REQ00242</t>
        </is>
      </c>
      <c r="B243" t="inlineStr">
        <is>
          <t>894500O8EED785N3AT20</t>
        </is>
      </c>
      <c r="C243" t="inlineStr">
        <is>
          <t>new_account</t>
        </is>
      </c>
      <c r="D243" s="2" t="n">
        <v>46300.64930555555</v>
      </c>
      <c r="E243" s="2" t="n">
        <v>46302.56597222222</v>
      </c>
      <c r="F243" t="inlineStr">
        <is>
          <t>M1</t>
        </is>
      </c>
      <c r="G243" t="inlineStr">
        <is>
          <t>C3</t>
        </is>
      </c>
      <c r="H243" s="2" t="n">
        <v>46300.68055555555</v>
      </c>
      <c r="I243" s="2" t="n">
        <v>46300.69375</v>
      </c>
      <c r="J243" t="inlineStr">
        <is>
          <t>Completed</t>
        </is>
      </c>
      <c r="K243" t="n">
        <v>1.07</v>
      </c>
      <c r="L243" t="n">
        <v>16</v>
      </c>
      <c r="M243" t="b">
        <v>0</v>
      </c>
      <c r="N243" t="n">
        <v>0</v>
      </c>
      <c r="O243" t="b">
        <v>1</v>
      </c>
      <c r="P243" t="b">
        <v>0</v>
      </c>
      <c r="Q243" t="b">
        <v>0</v>
      </c>
    </row>
    <row r="244">
      <c r="A244" t="inlineStr">
        <is>
          <t>REQ00243</t>
        </is>
      </c>
      <c r="B244" t="inlineStr">
        <is>
          <t>724500Y5BM0EIZ8IE814</t>
        </is>
      </c>
      <c r="C244" t="inlineStr">
        <is>
          <t>document_refresh</t>
        </is>
      </c>
      <c r="D244" s="2" t="n">
        <v>46300.65208333333</v>
      </c>
      <c r="E244" s="2" t="n">
        <v>46302.40208333333</v>
      </c>
      <c r="F244" t="inlineStr">
        <is>
          <t>M3</t>
        </is>
      </c>
      <c r="G244" t="inlineStr">
        <is>
          <t>C3</t>
        </is>
      </c>
      <c r="H244" s="2" t="n">
        <v>46300.66805555556</v>
      </c>
      <c r="I244" s="2" t="n">
        <v>46301.43611111111</v>
      </c>
      <c r="J244" t="inlineStr">
        <is>
          <t>Completed</t>
        </is>
      </c>
      <c r="K244" t="n">
        <v>3.81</v>
      </c>
      <c r="L244" t="n">
        <v>12</v>
      </c>
      <c r="M244" t="b">
        <v>0</v>
      </c>
      <c r="N244" t="n">
        <v>0</v>
      </c>
      <c r="O244" t="b">
        <v>1</v>
      </c>
      <c r="P244" t="b">
        <v>0</v>
      </c>
      <c r="Q244" t="b">
        <v>1</v>
      </c>
    </row>
    <row r="245">
      <c r="A245" t="inlineStr">
        <is>
          <t>REQ00244</t>
        </is>
      </c>
      <c r="B245" t="inlineStr">
        <is>
          <t>969500GJ6L7ZS571G003</t>
        </is>
      </c>
      <c r="C245" t="inlineStr">
        <is>
          <t>document_refresh</t>
        </is>
      </c>
      <c r="D245" s="2" t="n">
        <v>46300.65833333333</v>
      </c>
      <c r="E245" s="2" t="n">
        <v>46302.40833333333</v>
      </c>
      <c r="F245" t="inlineStr">
        <is>
          <t>M2</t>
        </is>
      </c>
      <c r="G245" t="inlineStr">
        <is>
          <t>C1</t>
        </is>
      </c>
      <c r="H245" s="2" t="n">
        <v>46300.67569444444</v>
      </c>
      <c r="I245" s="2" t="n">
        <v>46301.50277777778</v>
      </c>
      <c r="J245" t="inlineStr">
        <is>
          <t>Completed</t>
        </is>
      </c>
      <c r="K245" t="n">
        <v>5.27</v>
      </c>
      <c r="L245" t="n">
        <v>12</v>
      </c>
      <c r="M245" t="b">
        <v>0</v>
      </c>
      <c r="N245" t="n">
        <v>0</v>
      </c>
      <c r="O245" t="b">
        <v>1</v>
      </c>
      <c r="P245" t="b">
        <v>0</v>
      </c>
      <c r="Q245" t="b">
        <v>1</v>
      </c>
    </row>
    <row r="246">
      <c r="A246" t="inlineStr">
        <is>
          <t>REQ00245</t>
        </is>
      </c>
      <c r="B246" t="inlineStr">
        <is>
          <t>391200SUUUGX30VK7047</t>
        </is>
      </c>
      <c r="C246" t="inlineStr">
        <is>
          <t>document_refresh</t>
        </is>
      </c>
      <c r="D246" s="2" t="n">
        <v>46300.66875</v>
      </c>
      <c r="E246" s="2" t="n">
        <v>46302.41875</v>
      </c>
      <c r="F246" t="inlineStr">
        <is>
          <t>M4</t>
        </is>
      </c>
      <c r="G246" t="inlineStr">
        <is>
          <t>C3</t>
        </is>
      </c>
      <c r="H246" s="2" t="n">
        <v>46300.68125</v>
      </c>
      <c r="I246" s="2" t="n">
        <v>46301.42777777778</v>
      </c>
      <c r="J246" t="inlineStr">
        <is>
          <t>Completed</t>
        </is>
      </c>
      <c r="K246" t="n">
        <v>3.22</v>
      </c>
      <c r="L246" t="n">
        <v>12</v>
      </c>
      <c r="M246" t="b">
        <v>0</v>
      </c>
      <c r="N246" t="n">
        <v>0</v>
      </c>
      <c r="O246" t="b">
        <v>1</v>
      </c>
      <c r="P246" t="b">
        <v>0</v>
      </c>
      <c r="Q246" t="b">
        <v>1</v>
      </c>
    </row>
    <row r="247">
      <c r="A247" t="inlineStr">
        <is>
          <t>REQ00246</t>
        </is>
      </c>
      <c r="B247" t="inlineStr">
        <is>
          <t>9845006DD7DEDB1EDE76</t>
        </is>
      </c>
      <c r="C247" t="inlineStr">
        <is>
          <t>new_account</t>
        </is>
      </c>
      <c r="D247" s="2" t="n">
        <v>46300.67152777778</v>
      </c>
      <c r="E247" s="2" t="n">
        <v>46302.58819444444</v>
      </c>
      <c r="F247" t="inlineStr">
        <is>
          <t>M5</t>
        </is>
      </c>
      <c r="G247" t="inlineStr">
        <is>
          <t>C1</t>
        </is>
      </c>
      <c r="H247" s="2" t="n">
        <v>46300.70277777778</v>
      </c>
      <c r="I247" s="2" t="n">
        <v>46300.73541666667</v>
      </c>
      <c r="J247" t="inlineStr">
        <is>
          <t>Completed</t>
        </is>
      </c>
      <c r="K247" t="n">
        <v>1.54</v>
      </c>
      <c r="L247" t="n">
        <v>16</v>
      </c>
      <c r="M247" t="b">
        <v>0</v>
      </c>
      <c r="N247" t="n">
        <v>1</v>
      </c>
      <c r="O247" t="b">
        <v>0</v>
      </c>
      <c r="P247" t="b">
        <v>1</v>
      </c>
      <c r="Q247" t="b">
        <v>0</v>
      </c>
    </row>
    <row r="248">
      <c r="A248" t="inlineStr">
        <is>
          <t>REQ00247</t>
        </is>
      </c>
      <c r="B248" t="inlineStr">
        <is>
          <t>529900BGT6GYPWN4C692</t>
        </is>
      </c>
      <c r="C248" t="inlineStr">
        <is>
          <t>document_refresh</t>
        </is>
      </c>
      <c r="D248" s="2" t="n">
        <v>46300.67222222222</v>
      </c>
      <c r="E248" s="2" t="n">
        <v>46302.42222222222</v>
      </c>
      <c r="F248" t="inlineStr">
        <is>
          <t>M3</t>
        </is>
      </c>
      <c r="G248" t="inlineStr">
        <is>
          <t>C2</t>
        </is>
      </c>
      <c r="H248" s="2" t="n">
        <v>46300.69027777778</v>
      </c>
      <c r="I248" s="2" t="n">
        <v>46301.46388888889</v>
      </c>
      <c r="J248" t="inlineStr">
        <is>
          <t>Completed</t>
        </is>
      </c>
      <c r="K248" t="n">
        <v>3.99</v>
      </c>
      <c r="L248" t="n">
        <v>12</v>
      </c>
      <c r="M248" t="b">
        <v>0</v>
      </c>
      <c r="N248" t="n">
        <v>0</v>
      </c>
      <c r="O248" t="b">
        <v>1</v>
      </c>
      <c r="P248" t="b">
        <v>0</v>
      </c>
      <c r="Q248" t="b">
        <v>1</v>
      </c>
    </row>
    <row r="249">
      <c r="A249" t="inlineStr">
        <is>
          <t>REQ00248</t>
        </is>
      </c>
      <c r="B249" t="inlineStr">
        <is>
          <t>5493008OJDECTVELSY16</t>
        </is>
      </c>
      <c r="C249" t="inlineStr">
        <is>
          <t>document_refresh</t>
        </is>
      </c>
      <c r="D249" s="2" t="n">
        <v>46300.67777777778</v>
      </c>
      <c r="E249" s="2" t="n">
        <v>46302.42777777778</v>
      </c>
      <c r="F249" t="inlineStr">
        <is>
          <t>M6</t>
        </is>
      </c>
      <c r="G249" t="inlineStr">
        <is>
          <t>C2</t>
        </is>
      </c>
      <c r="H249" s="2" t="n">
        <v>46300.69166666667</v>
      </c>
      <c r="I249" s="2" t="n">
        <v>46300.69861111111</v>
      </c>
      <c r="J249" t="inlineStr">
        <is>
          <t>Completed</t>
        </is>
      </c>
      <c r="K249" t="n">
        <v>0.5</v>
      </c>
      <c r="L249" t="n">
        <v>12</v>
      </c>
      <c r="M249" t="b">
        <v>0</v>
      </c>
      <c r="N249" t="n">
        <v>0</v>
      </c>
      <c r="O249" t="b">
        <v>1</v>
      </c>
      <c r="P249" t="b">
        <v>0</v>
      </c>
      <c r="Q249" t="b">
        <v>0</v>
      </c>
    </row>
    <row r="250">
      <c r="A250" t="inlineStr">
        <is>
          <t>REQ00249</t>
        </is>
      </c>
      <c r="B250" t="inlineStr">
        <is>
          <t>2138002V4OOLXCKART46</t>
        </is>
      </c>
      <c r="C250" t="inlineStr">
        <is>
          <t>new_account</t>
        </is>
      </c>
      <c r="D250" s="2" t="n">
        <v>46300.67916666667</v>
      </c>
      <c r="E250" s="2" t="n">
        <v>46302.59583333333</v>
      </c>
      <c r="F250" t="inlineStr">
        <is>
          <t>M2</t>
        </is>
      </c>
      <c r="G250" t="inlineStr">
        <is>
          <t>C3</t>
        </is>
      </c>
      <c r="H250" s="2" t="n">
        <v>46300.71458333333</v>
      </c>
      <c r="I250" s="2" t="n">
        <v>46301.49305555555</v>
      </c>
      <c r="J250" t="inlineStr">
        <is>
          <t>Completed</t>
        </is>
      </c>
      <c r="K250" t="n">
        <v>4.53</v>
      </c>
      <c r="L250" t="n">
        <v>16</v>
      </c>
      <c r="M250" t="b">
        <v>0</v>
      </c>
      <c r="N250" t="n">
        <v>0</v>
      </c>
      <c r="O250" t="b">
        <v>1</v>
      </c>
      <c r="P250" t="b">
        <v>0</v>
      </c>
      <c r="Q250" t="b">
        <v>1</v>
      </c>
    </row>
    <row r="251">
      <c r="A251" t="inlineStr">
        <is>
          <t>REQ00250</t>
        </is>
      </c>
      <c r="B251" t="inlineStr">
        <is>
          <t>254900LTK4HIX5HUD928</t>
        </is>
      </c>
      <c r="C251" t="inlineStr">
        <is>
          <t>document_refresh</t>
        </is>
      </c>
      <c r="D251" s="2" t="n">
        <v>46300.67916666667</v>
      </c>
      <c r="E251" s="2" t="n">
        <v>46302.42916666667</v>
      </c>
      <c r="F251" t="inlineStr">
        <is>
          <t>M1</t>
        </is>
      </c>
      <c r="G251" t="inlineStr">
        <is>
          <t>C2</t>
        </is>
      </c>
      <c r="H251" s="2" t="n">
        <v>46300.69861111111</v>
      </c>
      <c r="I251" s="2" t="n">
        <v>46301.44861111111</v>
      </c>
      <c r="J251" t="inlineStr">
        <is>
          <t>Completed</t>
        </is>
      </c>
      <c r="K251" t="n">
        <v>3.47</v>
      </c>
      <c r="L251" t="n">
        <v>12</v>
      </c>
      <c r="M251" t="b">
        <v>0</v>
      </c>
      <c r="N251" t="n">
        <v>0</v>
      </c>
      <c r="O251" t="b">
        <v>1</v>
      </c>
      <c r="P251" t="b">
        <v>0</v>
      </c>
      <c r="Q251" t="b">
        <v>1</v>
      </c>
    </row>
    <row r="252">
      <c r="A252" t="inlineStr">
        <is>
          <t>REQ00251</t>
        </is>
      </c>
      <c r="B252" t="inlineStr">
        <is>
          <t>9845008CE0O3A125E941</t>
        </is>
      </c>
      <c r="C252" t="inlineStr">
        <is>
          <t>data_amendment</t>
        </is>
      </c>
      <c r="D252" s="2" t="n">
        <v>46300.68402777778</v>
      </c>
      <c r="E252" s="2" t="n">
        <v>46301.64236111111</v>
      </c>
      <c r="F252" t="inlineStr">
        <is>
          <t>M4</t>
        </is>
      </c>
      <c r="G252" t="inlineStr">
        <is>
          <t>C1</t>
        </is>
      </c>
      <c r="H252" s="2" t="n">
        <v>46300.69236111111</v>
      </c>
      <c r="I252" s="2" t="n">
        <v>46300.69583333333</v>
      </c>
      <c r="J252" t="inlineStr">
        <is>
          <t>Completed</t>
        </is>
      </c>
      <c r="K252" t="n">
        <v>0.29</v>
      </c>
      <c r="L252" t="n">
        <v>8</v>
      </c>
      <c r="M252" t="b">
        <v>0</v>
      </c>
      <c r="N252" t="n">
        <v>0</v>
      </c>
      <c r="O252" t="b">
        <v>1</v>
      </c>
      <c r="P252" t="b">
        <v>0</v>
      </c>
      <c r="Q252" t="b">
        <v>0</v>
      </c>
    </row>
    <row r="253">
      <c r="A253" t="inlineStr">
        <is>
          <t>REQ00252</t>
        </is>
      </c>
      <c r="B253" t="inlineStr">
        <is>
          <t>984500C744C1FF450F09</t>
        </is>
      </c>
      <c r="C253" t="inlineStr">
        <is>
          <t>document_refresh</t>
        </is>
      </c>
      <c r="D253" s="2" t="n">
        <v>46300.68472222222</v>
      </c>
      <c r="E253" s="2" t="n">
        <v>46302.43472222222</v>
      </c>
      <c r="F253" t="inlineStr">
        <is>
          <t>M3</t>
        </is>
      </c>
      <c r="G253" t="inlineStr">
        <is>
          <t>C3</t>
        </is>
      </c>
      <c r="H253" s="2" t="n">
        <v>46300.70486111111</v>
      </c>
      <c r="I253" s="2" t="n">
        <v>46300.71388888889</v>
      </c>
      <c r="J253" t="inlineStr">
        <is>
          <t>Completed</t>
        </is>
      </c>
      <c r="K253" t="n">
        <v>0.7</v>
      </c>
      <c r="L253" t="n">
        <v>12</v>
      </c>
      <c r="M253" t="b">
        <v>0</v>
      </c>
      <c r="N253" t="n">
        <v>0</v>
      </c>
      <c r="O253" t="b">
        <v>1</v>
      </c>
      <c r="P253" t="b">
        <v>0</v>
      </c>
      <c r="Q253" t="b">
        <v>0</v>
      </c>
    </row>
    <row r="254">
      <c r="A254" t="inlineStr">
        <is>
          <t>REQ00253</t>
        </is>
      </c>
      <c r="B254" t="inlineStr">
        <is>
          <t>894500QT3TFXA2S9SA28</t>
        </is>
      </c>
      <c r="C254" t="inlineStr">
        <is>
          <t>data_amendment</t>
        </is>
      </c>
      <c r="D254" s="2" t="n">
        <v>46300.69305555556</v>
      </c>
      <c r="E254" s="2" t="n">
        <v>46301.65138888889</v>
      </c>
      <c r="F254" t="inlineStr">
        <is>
          <t>M6</t>
        </is>
      </c>
      <c r="G254" t="inlineStr">
        <is>
          <t>C2</t>
        </is>
      </c>
      <c r="H254" s="2" t="n">
        <v>46300.70277777778</v>
      </c>
      <c r="I254" s="2" t="n">
        <v>46300.70833333334</v>
      </c>
      <c r="J254" t="inlineStr">
        <is>
          <t>Completed</t>
        </is>
      </c>
      <c r="K254" t="n">
        <v>0.36</v>
      </c>
      <c r="L254" t="n">
        <v>8</v>
      </c>
      <c r="M254" t="b">
        <v>0</v>
      </c>
      <c r="N254" t="n">
        <v>0</v>
      </c>
      <c r="O254" t="b">
        <v>1</v>
      </c>
      <c r="P254" t="b">
        <v>0</v>
      </c>
      <c r="Q254" t="b">
        <v>0</v>
      </c>
    </row>
    <row r="255">
      <c r="A255" t="inlineStr">
        <is>
          <t>REQ00254</t>
        </is>
      </c>
      <c r="B255" t="inlineStr">
        <is>
          <t>724500I5KCAB37E1MQ20</t>
        </is>
      </c>
      <c r="C255" t="inlineStr">
        <is>
          <t>document_refresh</t>
        </is>
      </c>
      <c r="D255" s="2" t="n">
        <v>46300.69305555556</v>
      </c>
      <c r="E255" s="2" t="n">
        <v>46302.44305555556</v>
      </c>
      <c r="F255" t="inlineStr">
        <is>
          <t>M4</t>
        </is>
      </c>
      <c r="G255" t="inlineStr">
        <is>
          <t>C1</t>
        </is>
      </c>
      <c r="H255" s="2" t="n">
        <v>46300.70625</v>
      </c>
      <c r="I255" s="2" t="n">
        <v>46301.44236111111</v>
      </c>
      <c r="J255" t="inlineStr">
        <is>
          <t>Completed</t>
        </is>
      </c>
      <c r="K255" t="n">
        <v>2.98</v>
      </c>
      <c r="L255" t="n">
        <v>12</v>
      </c>
      <c r="M255" t="b">
        <v>0</v>
      </c>
      <c r="N255" t="n">
        <v>0</v>
      </c>
      <c r="O255" t="b">
        <v>1</v>
      </c>
      <c r="P255" t="b">
        <v>0</v>
      </c>
      <c r="Q255" t="b">
        <v>1</v>
      </c>
    </row>
    <row r="256">
      <c r="A256" t="inlineStr">
        <is>
          <t>REQ00255</t>
        </is>
      </c>
      <c r="B256" t="inlineStr">
        <is>
          <t>54930066STOTZKKBHG64</t>
        </is>
      </c>
      <c r="C256" t="inlineStr">
        <is>
          <t>data_amendment</t>
        </is>
      </c>
      <c r="D256" s="2" t="n">
        <v>46300.72083333333</v>
      </c>
      <c r="E256" s="2" t="n">
        <v>46301.67916666667</v>
      </c>
      <c r="F256" t="inlineStr">
        <is>
          <t>M1</t>
        </is>
      </c>
      <c r="G256" t="inlineStr">
        <is>
          <t>C3</t>
        </is>
      </c>
      <c r="H256" s="2" t="n">
        <v>46300.73194444444</v>
      </c>
      <c r="I256" s="2" t="n">
        <v>46301.60208333333</v>
      </c>
      <c r="J256" t="inlineStr">
        <is>
          <t>Completed</t>
        </is>
      </c>
      <c r="K256" t="n">
        <v>6.15</v>
      </c>
      <c r="L256" t="n">
        <v>8</v>
      </c>
      <c r="M256" t="b">
        <v>0</v>
      </c>
      <c r="N256" t="n">
        <v>0</v>
      </c>
      <c r="O256" t="b">
        <v>1</v>
      </c>
      <c r="P256" t="b">
        <v>0</v>
      </c>
      <c r="Q256" t="b">
        <v>1</v>
      </c>
    </row>
    <row r="257">
      <c r="A257" t="inlineStr">
        <is>
          <t>REQ00256</t>
        </is>
      </c>
      <c r="B257" t="inlineStr">
        <is>
          <t>894500AS087GU6GNT706</t>
        </is>
      </c>
      <c r="C257" t="inlineStr">
        <is>
          <t>new_account</t>
        </is>
      </c>
      <c r="D257" s="2" t="n">
        <v>46300.73125</v>
      </c>
      <c r="E257" s="2" t="n">
        <v>46302.64791666667</v>
      </c>
      <c r="F257" t="inlineStr">
        <is>
          <t>M5</t>
        </is>
      </c>
      <c r="G257" t="inlineStr">
        <is>
          <t>C2</t>
        </is>
      </c>
      <c r="H257" s="2" t="n">
        <v>46301.38541666666</v>
      </c>
      <c r="I257" s="2" t="n">
        <v>46301.40416666667</v>
      </c>
      <c r="J257" t="inlineStr">
        <is>
          <t>Completed</t>
        </is>
      </c>
      <c r="K257" t="n">
        <v>1.15</v>
      </c>
      <c r="L257" t="n">
        <v>16</v>
      </c>
      <c r="M257" t="b">
        <v>0</v>
      </c>
      <c r="N257" t="n">
        <v>0</v>
      </c>
      <c r="O257" t="b">
        <v>1</v>
      </c>
      <c r="P257" t="b">
        <v>0</v>
      </c>
      <c r="Q257" t="b">
        <v>0</v>
      </c>
    </row>
    <row r="258">
      <c r="A258" t="inlineStr">
        <is>
          <t>REQ00257</t>
        </is>
      </c>
      <c r="B258" t="inlineStr">
        <is>
          <t>984500DA61ECK8B0DC98</t>
        </is>
      </c>
      <c r="C258" t="inlineStr">
        <is>
          <t>signatory_change</t>
        </is>
      </c>
      <c r="D258" s="2" t="n">
        <v>46300.73263888889</v>
      </c>
      <c r="E258" s="2" t="n">
        <v>46301.69097222222</v>
      </c>
      <c r="F258" t="inlineStr">
        <is>
          <t>M6</t>
        </is>
      </c>
      <c r="G258" t="inlineStr">
        <is>
          <t>C2</t>
        </is>
      </c>
      <c r="H258" s="2" t="n">
        <v>46301.38333333333</v>
      </c>
      <c r="I258" s="2" t="n">
        <v>46301.40902777778</v>
      </c>
      <c r="J258" t="inlineStr">
        <is>
          <t>Completed</t>
        </is>
      </c>
      <c r="K258" t="n">
        <v>1.23</v>
      </c>
      <c r="L258" t="n">
        <v>8</v>
      </c>
      <c r="M258" t="b">
        <v>0</v>
      </c>
      <c r="N258" t="n">
        <v>1</v>
      </c>
      <c r="O258" t="b">
        <v>0</v>
      </c>
      <c r="P258" t="b">
        <v>1</v>
      </c>
      <c r="Q258" t="b">
        <v>0</v>
      </c>
    </row>
    <row r="259">
      <c r="A259" t="inlineStr">
        <is>
          <t>REQ00258</t>
        </is>
      </c>
      <c r="B259" t="inlineStr">
        <is>
          <t>549300UWAOFM7OXCND23</t>
        </is>
      </c>
      <c r="C259" t="inlineStr">
        <is>
          <t>new_account</t>
        </is>
      </c>
      <c r="D259" s="2" t="n">
        <v>46300.73680555556</v>
      </c>
      <c r="E259" s="2" t="n">
        <v>46302.65347222222</v>
      </c>
      <c r="F259" t="inlineStr">
        <is>
          <t>M3</t>
        </is>
      </c>
      <c r="G259" t="inlineStr">
        <is>
          <t>C1</t>
        </is>
      </c>
      <c r="H259" s="2" t="n">
        <v>46301.40208333333</v>
      </c>
      <c r="I259" s="2" t="n">
        <v>46301.6125</v>
      </c>
      <c r="J259" t="inlineStr">
        <is>
          <t>Completed</t>
        </is>
      </c>
      <c r="K259" t="n">
        <v>6.02</v>
      </c>
      <c r="L259" t="n">
        <v>16</v>
      </c>
      <c r="M259" t="b">
        <v>0</v>
      </c>
      <c r="N259" t="n">
        <v>0</v>
      </c>
      <c r="O259" t="b">
        <v>1</v>
      </c>
      <c r="P259" t="b">
        <v>0</v>
      </c>
      <c r="Q259" t="b">
        <v>1</v>
      </c>
    </row>
    <row r="260">
      <c r="A260" t="inlineStr">
        <is>
          <t>REQ00259</t>
        </is>
      </c>
      <c r="B260" t="inlineStr">
        <is>
          <t>96950016792G11AEGW10</t>
        </is>
      </c>
      <c r="C260" t="inlineStr">
        <is>
          <t>document_refresh</t>
        </is>
      </c>
      <c r="D260" s="2" t="n">
        <v>46300.74583333333</v>
      </c>
      <c r="E260" s="2" t="n">
        <v>46302.49583333333</v>
      </c>
      <c r="F260" t="inlineStr">
        <is>
          <t>M4</t>
        </is>
      </c>
      <c r="G260" t="inlineStr">
        <is>
          <t>C3</t>
        </is>
      </c>
      <c r="H260" s="2" t="n">
        <v>46301.38472222222</v>
      </c>
      <c r="I260" s="2" t="n">
        <v>46301.39166666667</v>
      </c>
      <c r="J260" t="inlineStr">
        <is>
          <t>Completed</t>
        </is>
      </c>
      <c r="K260" t="n">
        <v>0.5</v>
      </c>
      <c r="L260" t="n">
        <v>12</v>
      </c>
      <c r="M260" t="b">
        <v>0</v>
      </c>
      <c r="N260" t="n">
        <v>0</v>
      </c>
      <c r="O260" t="b">
        <v>1</v>
      </c>
      <c r="P260" t="b">
        <v>0</v>
      </c>
      <c r="Q260" t="b">
        <v>0</v>
      </c>
    </row>
    <row r="261">
      <c r="A261" t="inlineStr">
        <is>
          <t>REQ00260</t>
        </is>
      </c>
      <c r="B261" t="inlineStr">
        <is>
          <t>984500DE7S53EF0A3E83</t>
        </is>
      </c>
      <c r="C261" t="inlineStr">
        <is>
          <t>new_account</t>
        </is>
      </c>
      <c r="D261" s="2" t="n">
        <v>46301.37708333333</v>
      </c>
      <c r="E261" s="2" t="n">
        <v>46302.66875</v>
      </c>
      <c r="F261" t="inlineStr">
        <is>
          <t>M2</t>
        </is>
      </c>
      <c r="G261" t="inlineStr">
        <is>
          <t>C2</t>
        </is>
      </c>
      <c r="H261" s="2" t="n">
        <v>46301.4125</v>
      </c>
      <c r="I261" s="2" t="n">
        <v>46301.54861111111</v>
      </c>
      <c r="J261" t="inlineStr">
        <is>
          <t>Completed</t>
        </is>
      </c>
      <c r="K261" t="n">
        <v>4.12</v>
      </c>
      <c r="L261" t="n">
        <v>16</v>
      </c>
      <c r="M261" t="b">
        <v>0</v>
      </c>
      <c r="N261" t="n">
        <v>1</v>
      </c>
      <c r="O261" t="b">
        <v>0</v>
      </c>
      <c r="P261" t="b">
        <v>1</v>
      </c>
      <c r="Q261" t="b">
        <v>1</v>
      </c>
    </row>
    <row r="262">
      <c r="A262" t="inlineStr">
        <is>
          <t>REQ00261</t>
        </is>
      </c>
      <c r="B262" t="inlineStr">
        <is>
          <t>549300SPD78378M5OG45</t>
        </is>
      </c>
      <c r="C262" t="inlineStr">
        <is>
          <t>new_account</t>
        </is>
      </c>
      <c r="D262" s="2" t="n">
        <v>46301.38541666666</v>
      </c>
      <c r="E262" s="2" t="n">
        <v>46302.67708333334</v>
      </c>
      <c r="F262" t="inlineStr">
        <is>
          <t>M1</t>
        </is>
      </c>
      <c r="G262" t="inlineStr">
        <is>
          <t>C2</t>
        </is>
      </c>
      <c r="H262" s="2" t="n">
        <v>46301.41666666666</v>
      </c>
      <c r="I262" s="2" t="n">
        <v>46301.42638888889</v>
      </c>
      <c r="J262" t="inlineStr">
        <is>
          <t>Completed</t>
        </is>
      </c>
      <c r="K262" t="n">
        <v>0.98</v>
      </c>
      <c r="L262" t="n">
        <v>16</v>
      </c>
      <c r="M262" t="b">
        <v>0</v>
      </c>
      <c r="N262" t="n">
        <v>0</v>
      </c>
      <c r="O262" t="b">
        <v>1</v>
      </c>
      <c r="P262" t="b">
        <v>0</v>
      </c>
      <c r="Q262" t="b">
        <v>0</v>
      </c>
    </row>
    <row r="263">
      <c r="A263" t="inlineStr">
        <is>
          <t>REQ00262</t>
        </is>
      </c>
      <c r="B263" t="inlineStr">
        <is>
          <t>9676006QHQOS72DCDB57</t>
        </is>
      </c>
      <c r="C263" t="inlineStr">
        <is>
          <t>document_refresh</t>
        </is>
      </c>
      <c r="D263" s="2" t="n">
        <v>46301.38541666666</v>
      </c>
      <c r="E263" s="2" t="n">
        <v>46302.51041666666</v>
      </c>
      <c r="F263" t="inlineStr">
        <is>
          <t>M6</t>
        </is>
      </c>
      <c r="G263" t="inlineStr">
        <is>
          <t>C3</t>
        </is>
      </c>
      <c r="H263" s="2" t="n">
        <v>46301.39930555555</v>
      </c>
      <c r="I263" s="2" t="n">
        <v>46301.40625</v>
      </c>
      <c r="J263" t="inlineStr">
        <is>
          <t>Completed</t>
        </is>
      </c>
      <c r="K263" t="n">
        <v>0.5</v>
      </c>
      <c r="L263" t="n">
        <v>12</v>
      </c>
      <c r="M263" t="b">
        <v>0</v>
      </c>
      <c r="N263" t="n">
        <v>0</v>
      </c>
      <c r="O263" t="b">
        <v>1</v>
      </c>
      <c r="P263" t="b">
        <v>0</v>
      </c>
      <c r="Q263" t="b">
        <v>0</v>
      </c>
    </row>
    <row r="264">
      <c r="A264" t="inlineStr">
        <is>
          <t>REQ00263</t>
        </is>
      </c>
      <c r="B264" t="inlineStr">
        <is>
          <t>391200AQQGJTZTNFVB36</t>
        </is>
      </c>
      <c r="C264" t="inlineStr">
        <is>
          <t>document_refresh</t>
        </is>
      </c>
      <c r="D264" s="2" t="n">
        <v>46301.39513888889</v>
      </c>
      <c r="E264" s="2" t="n">
        <v>46302.52013888889</v>
      </c>
      <c r="F264" t="inlineStr">
        <is>
          <t>M4</t>
        </is>
      </c>
      <c r="G264" t="inlineStr">
        <is>
          <t>C1</t>
        </is>
      </c>
      <c r="H264" s="2" t="n">
        <v>46301.40972222222</v>
      </c>
      <c r="I264" s="2" t="n">
        <v>46301.41458333333</v>
      </c>
      <c r="J264" t="inlineStr">
        <is>
          <t>Completed</t>
        </is>
      </c>
      <c r="K264" t="n">
        <v>0.47</v>
      </c>
      <c r="L264" t="n">
        <v>12</v>
      </c>
      <c r="M264" t="b">
        <v>0</v>
      </c>
      <c r="N264" t="n">
        <v>0</v>
      </c>
      <c r="O264" t="b">
        <v>1</v>
      </c>
      <c r="P264" t="b">
        <v>0</v>
      </c>
      <c r="Q264" t="b">
        <v>0</v>
      </c>
    </row>
    <row r="265">
      <c r="A265" t="inlineStr">
        <is>
          <t>REQ00264</t>
        </is>
      </c>
      <c r="B265" t="inlineStr">
        <is>
          <t>254900WH7E2YN8O7V239</t>
        </is>
      </c>
      <c r="C265" t="inlineStr">
        <is>
          <t>signatory_change</t>
        </is>
      </c>
      <c r="D265" s="2" t="n">
        <v>46301.39861111111</v>
      </c>
      <c r="E265" s="2" t="n">
        <v>46301.73194444444</v>
      </c>
      <c r="F265" t="inlineStr">
        <is>
          <t>M5</t>
        </is>
      </c>
      <c r="G265" t="inlineStr">
        <is>
          <t>C2</t>
        </is>
      </c>
      <c r="H265" s="2" t="n">
        <v>46301.425</v>
      </c>
      <c r="I265" s="2" t="n">
        <v>46301.43472222222</v>
      </c>
      <c r="J265" t="inlineStr">
        <is>
          <t>Completed</t>
        </is>
      </c>
      <c r="K265" t="n">
        <v>0.86</v>
      </c>
      <c r="L265" t="n">
        <v>8</v>
      </c>
      <c r="M265" t="b">
        <v>0</v>
      </c>
      <c r="N265" t="n">
        <v>0</v>
      </c>
      <c r="O265" t="b">
        <v>1</v>
      </c>
      <c r="P265" t="b">
        <v>0</v>
      </c>
      <c r="Q265" t="b">
        <v>0</v>
      </c>
    </row>
    <row r="266">
      <c r="A266" t="inlineStr">
        <is>
          <t>REQ00265</t>
        </is>
      </c>
      <c r="B266" t="inlineStr">
        <is>
          <t>9695000DJCGR9W7VTJ67</t>
        </is>
      </c>
      <c r="C266" t="inlineStr">
        <is>
          <t>new_account</t>
        </is>
      </c>
      <c r="D266" s="2" t="n">
        <v>46301.41458333333</v>
      </c>
      <c r="E266" s="2" t="n">
        <v>46302.70625</v>
      </c>
      <c r="F266" t="inlineStr">
        <is>
          <t>M6</t>
        </is>
      </c>
      <c r="G266" t="inlineStr">
        <is>
          <t>C1</t>
        </is>
      </c>
      <c r="H266" s="2" t="n">
        <v>46301.44097222222</v>
      </c>
      <c r="I266" s="2" t="n">
        <v>46301.65416666667</v>
      </c>
      <c r="J266" t="inlineStr">
        <is>
          <t>Completed</t>
        </is>
      </c>
      <c r="K266" t="n">
        <v>5.75</v>
      </c>
      <c r="L266" t="n">
        <v>16</v>
      </c>
      <c r="M266" t="b">
        <v>0</v>
      </c>
      <c r="N266" t="n">
        <v>0</v>
      </c>
      <c r="O266" t="b">
        <v>1</v>
      </c>
      <c r="P266" t="b">
        <v>0</v>
      </c>
      <c r="Q266" t="b">
        <v>1</v>
      </c>
    </row>
    <row r="267">
      <c r="A267" t="inlineStr">
        <is>
          <t>REQ00266</t>
        </is>
      </c>
      <c r="B267" t="inlineStr">
        <is>
          <t>335800DVLSRR91NAJE16</t>
        </is>
      </c>
      <c r="C267" t="inlineStr">
        <is>
          <t>signatory_change</t>
        </is>
      </c>
      <c r="D267" s="2" t="n">
        <v>46301.41666666666</v>
      </c>
      <c r="E267" s="2" t="n">
        <v>46302.375</v>
      </c>
      <c r="F267" t="inlineStr">
        <is>
          <t>M3</t>
        </is>
      </c>
      <c r="G267" t="inlineStr">
        <is>
          <t>C3</t>
        </is>
      </c>
      <c r="H267" s="2" t="n">
        <v>46301.44027777778</v>
      </c>
      <c r="I267" s="2" t="n">
        <v>46301.44791666666</v>
      </c>
      <c r="J267" t="inlineStr">
        <is>
          <t>Completed</t>
        </is>
      </c>
      <c r="K267" t="n">
        <v>0.74</v>
      </c>
      <c r="L267" t="n">
        <v>8</v>
      </c>
      <c r="M267" t="b">
        <v>0</v>
      </c>
      <c r="N267" t="n">
        <v>0</v>
      </c>
      <c r="O267" t="b">
        <v>1</v>
      </c>
      <c r="P267" t="b">
        <v>0</v>
      </c>
      <c r="Q267" t="b">
        <v>0</v>
      </c>
    </row>
    <row r="268">
      <c r="A268" t="inlineStr">
        <is>
          <t>REQ00267</t>
        </is>
      </c>
      <c r="B268" t="inlineStr">
        <is>
          <t>5493001LXTEZLQLJNM74</t>
        </is>
      </c>
      <c r="C268" t="inlineStr">
        <is>
          <t>data_amendment</t>
        </is>
      </c>
      <c r="D268" s="2" t="n">
        <v>46301.41736111111</v>
      </c>
      <c r="E268" s="2" t="n">
        <v>46302.37569444445</v>
      </c>
      <c r="F268" t="inlineStr">
        <is>
          <t>M4</t>
        </is>
      </c>
      <c r="G268" t="inlineStr">
        <is>
          <t>C3</t>
        </is>
      </c>
      <c r="H268" s="2" t="n">
        <v>46301.42916666667</v>
      </c>
      <c r="I268" s="2" t="n">
        <v>46301.54861111111</v>
      </c>
      <c r="J268" t="inlineStr">
        <is>
          <t>Completed</t>
        </is>
      </c>
      <c r="K268" t="n">
        <v>3.15</v>
      </c>
      <c r="L268" t="n">
        <v>8</v>
      </c>
      <c r="M268" t="b">
        <v>0</v>
      </c>
      <c r="N268" t="n">
        <v>0</v>
      </c>
      <c r="O268" t="b">
        <v>1</v>
      </c>
      <c r="P268" t="b">
        <v>0</v>
      </c>
      <c r="Q268" t="b">
        <v>1</v>
      </c>
    </row>
    <row r="269">
      <c r="A269" t="inlineStr">
        <is>
          <t>REQ00268</t>
        </is>
      </c>
      <c r="B269" t="inlineStr">
        <is>
          <t>724500JO1MD0VX28I191</t>
        </is>
      </c>
      <c r="C269" t="inlineStr">
        <is>
          <t>document_refresh</t>
        </is>
      </c>
      <c r="D269" s="2" t="n">
        <v>46301.41875</v>
      </c>
      <c r="E269" s="2" t="n">
        <v>46302.54375</v>
      </c>
      <c r="F269" t="inlineStr">
        <is>
          <t>M2</t>
        </is>
      </c>
      <c r="G269" t="inlineStr">
        <is>
          <t>C1</t>
        </is>
      </c>
      <c r="H269" s="2" t="n">
        <v>46301.43125</v>
      </c>
      <c r="I269" s="2" t="n">
        <v>46301.43541666667</v>
      </c>
      <c r="J269" t="inlineStr">
        <is>
          <t>Completed</t>
        </is>
      </c>
      <c r="K269" t="n">
        <v>0.41</v>
      </c>
      <c r="L269" t="n">
        <v>12</v>
      </c>
      <c r="M269" t="b">
        <v>0</v>
      </c>
      <c r="N269" t="n">
        <v>0</v>
      </c>
      <c r="O269" t="b">
        <v>1</v>
      </c>
      <c r="P269" t="b">
        <v>0</v>
      </c>
      <c r="Q269" t="b">
        <v>0</v>
      </c>
    </row>
    <row r="270">
      <c r="A270" t="inlineStr">
        <is>
          <t>REQ00269</t>
        </is>
      </c>
      <c r="B270" t="inlineStr">
        <is>
          <t>335800K8OXZLI3TBOF43</t>
        </is>
      </c>
      <c r="C270" t="inlineStr">
        <is>
          <t>new_account</t>
        </is>
      </c>
      <c r="D270" s="2" t="n">
        <v>46301.42013888889</v>
      </c>
      <c r="E270" s="2" t="n">
        <v>46302.71180555555</v>
      </c>
      <c r="F270" t="inlineStr">
        <is>
          <t>M1</t>
        </is>
      </c>
      <c r="G270" t="inlineStr">
        <is>
          <t>C1</t>
        </is>
      </c>
      <c r="H270" s="2" t="n">
        <v>46301.44652777778</v>
      </c>
      <c r="I270" s="2" t="n">
        <v>46301.45416666667</v>
      </c>
      <c r="J270" t="inlineStr">
        <is>
          <t>Completed</t>
        </is>
      </c>
      <c r="K270" t="n">
        <v>0.8100000000000001</v>
      </c>
      <c r="L270" t="n">
        <v>16</v>
      </c>
      <c r="M270" t="b">
        <v>0</v>
      </c>
      <c r="N270" t="n">
        <v>0</v>
      </c>
      <c r="O270" t="b">
        <v>1</v>
      </c>
      <c r="P270" t="b">
        <v>0</v>
      </c>
      <c r="Q270" t="b">
        <v>0</v>
      </c>
    </row>
    <row r="271">
      <c r="A271" t="inlineStr">
        <is>
          <t>REQ00270</t>
        </is>
      </c>
      <c r="B271" t="inlineStr">
        <is>
          <t>984500BBB2FF3DFA9118</t>
        </is>
      </c>
      <c r="C271" t="inlineStr">
        <is>
          <t>data_amendment</t>
        </is>
      </c>
      <c r="D271" s="2" t="n">
        <v>46301.425</v>
      </c>
      <c r="E271" s="2" t="n">
        <v>46302.38333333333</v>
      </c>
      <c r="F271" t="inlineStr">
        <is>
          <t>M5</t>
        </is>
      </c>
      <c r="G271" t="inlineStr">
        <is>
          <t>C2</t>
        </is>
      </c>
      <c r="H271" s="2" t="n">
        <v>46301.43541666667</v>
      </c>
      <c r="I271" s="2" t="n">
        <v>46301.43888888889</v>
      </c>
      <c r="J271" t="inlineStr">
        <is>
          <t>Completed</t>
        </is>
      </c>
      <c r="K271" t="n">
        <v>0.34</v>
      </c>
      <c r="L271" t="n">
        <v>8</v>
      </c>
      <c r="M271" t="b">
        <v>0</v>
      </c>
      <c r="N271" t="n">
        <v>0</v>
      </c>
      <c r="O271" t="b">
        <v>1</v>
      </c>
      <c r="P271" t="b">
        <v>0</v>
      </c>
      <c r="Q271" t="b">
        <v>0</v>
      </c>
    </row>
    <row r="272">
      <c r="A272" t="inlineStr">
        <is>
          <t>REQ00271</t>
        </is>
      </c>
      <c r="B272" t="inlineStr">
        <is>
          <t>254900AQP1XGND48CY70</t>
        </is>
      </c>
      <c r="C272" t="inlineStr">
        <is>
          <t>new_account</t>
        </is>
      </c>
      <c r="D272" s="2" t="n">
        <v>46301.42708333334</v>
      </c>
      <c r="E272" s="2" t="n">
        <v>46302.71875</v>
      </c>
      <c r="F272" t="inlineStr">
        <is>
          <t>M4</t>
        </is>
      </c>
      <c r="G272" t="inlineStr">
        <is>
          <t>C3</t>
        </is>
      </c>
      <c r="H272" s="2" t="n">
        <v>46301.4625</v>
      </c>
      <c r="I272" s="2" t="n">
        <v>46301.47569444445</v>
      </c>
      <c r="J272" t="inlineStr">
        <is>
          <t>Completed</t>
        </is>
      </c>
      <c r="K272" t="n">
        <v>1.17</v>
      </c>
      <c r="L272" t="n">
        <v>16</v>
      </c>
      <c r="M272" t="b">
        <v>0</v>
      </c>
      <c r="N272" t="n">
        <v>0</v>
      </c>
      <c r="O272" t="b">
        <v>1</v>
      </c>
      <c r="P272" t="b">
        <v>0</v>
      </c>
      <c r="Q272" t="b">
        <v>0</v>
      </c>
    </row>
    <row r="273">
      <c r="A273" t="inlineStr">
        <is>
          <t>REQ00272</t>
        </is>
      </c>
      <c r="B273" t="inlineStr">
        <is>
          <t>7245007C4GFHXZLI1664</t>
        </is>
      </c>
      <c r="C273" t="inlineStr">
        <is>
          <t>data_amendment</t>
        </is>
      </c>
      <c r="D273" s="2" t="n">
        <v>46301.43402777778</v>
      </c>
      <c r="E273" s="2" t="n">
        <v>46302.39236111111</v>
      </c>
      <c r="F273" t="inlineStr">
        <is>
          <t>M2</t>
        </is>
      </c>
      <c r="G273" t="inlineStr">
        <is>
          <t>C1</t>
        </is>
      </c>
      <c r="H273" s="2" t="n">
        <v>46301.44166666667</v>
      </c>
      <c r="I273" s="2" t="n">
        <v>46301.60347222222</v>
      </c>
      <c r="J273" t="inlineStr">
        <is>
          <t>Completed</t>
        </is>
      </c>
      <c r="K273" t="n">
        <v>4.07</v>
      </c>
      <c r="L273" t="n">
        <v>8</v>
      </c>
      <c r="M273" t="b">
        <v>0</v>
      </c>
      <c r="N273" t="n">
        <v>0</v>
      </c>
      <c r="O273" t="b">
        <v>1</v>
      </c>
      <c r="P273" t="b">
        <v>0</v>
      </c>
      <c r="Q273" t="b">
        <v>1</v>
      </c>
    </row>
    <row r="274">
      <c r="A274" t="inlineStr">
        <is>
          <t>REQ00273</t>
        </is>
      </c>
      <c r="B274" t="inlineStr">
        <is>
          <t>724500JG2ET8LS6NJX21</t>
        </is>
      </c>
      <c r="C274" t="inlineStr">
        <is>
          <t>data_amendment</t>
        </is>
      </c>
      <c r="D274" s="2" t="n">
        <v>46301.43958333333</v>
      </c>
      <c r="E274" s="2" t="n">
        <v>46302.39791666667</v>
      </c>
      <c r="F274" t="inlineStr">
        <is>
          <t>M5</t>
        </is>
      </c>
      <c r="G274" t="inlineStr">
        <is>
          <t>C2</t>
        </is>
      </c>
      <c r="H274" s="2" t="n">
        <v>46301.44791666666</v>
      </c>
      <c r="I274" s="2" t="n">
        <v>46301.57986111111</v>
      </c>
      <c r="J274" t="inlineStr">
        <is>
          <t>Completed</t>
        </is>
      </c>
      <c r="K274" t="n">
        <v>3.36</v>
      </c>
      <c r="L274" t="n">
        <v>8</v>
      </c>
      <c r="M274" t="b">
        <v>0</v>
      </c>
      <c r="N274" t="n">
        <v>0</v>
      </c>
      <c r="O274" t="b">
        <v>1</v>
      </c>
      <c r="P274" t="b">
        <v>0</v>
      </c>
      <c r="Q274" t="b">
        <v>1</v>
      </c>
    </row>
    <row r="275">
      <c r="A275" t="inlineStr">
        <is>
          <t>REQ00274</t>
        </is>
      </c>
      <c r="B275" t="inlineStr">
        <is>
          <t>648800PB5H1KR5LY7K24</t>
        </is>
      </c>
      <c r="C275" t="inlineStr">
        <is>
          <t>new_account</t>
        </is>
      </c>
      <c r="D275" s="2" t="n">
        <v>46301.45347222222</v>
      </c>
      <c r="E275" s="2" t="n">
        <v>46302.74513888889</v>
      </c>
      <c r="F275" t="inlineStr">
        <is>
          <t>M3</t>
        </is>
      </c>
      <c r="G275" t="inlineStr">
        <is>
          <t>C3</t>
        </is>
      </c>
      <c r="H275" s="2" t="n">
        <v>46301.49236111111</v>
      </c>
      <c r="I275" s="2" t="n">
        <v>46301.50277777778</v>
      </c>
      <c r="J275" t="inlineStr">
        <is>
          <t>Completed</t>
        </is>
      </c>
      <c r="K275" t="n">
        <v>1.18</v>
      </c>
      <c r="L275" t="n">
        <v>16</v>
      </c>
      <c r="M275" t="b">
        <v>0</v>
      </c>
      <c r="N275" t="n">
        <v>0</v>
      </c>
      <c r="O275" t="b">
        <v>1</v>
      </c>
      <c r="P275" t="b">
        <v>0</v>
      </c>
      <c r="Q275" t="b">
        <v>0</v>
      </c>
    </row>
    <row r="276">
      <c r="A276" t="inlineStr">
        <is>
          <t>REQ00275</t>
        </is>
      </c>
      <c r="B276" t="inlineStr">
        <is>
          <t>254900R70PWHSEH87O95</t>
        </is>
      </c>
      <c r="C276" t="inlineStr">
        <is>
          <t>data_amendment</t>
        </is>
      </c>
      <c r="D276" s="2" t="n">
        <v>46301.45347222222</v>
      </c>
      <c r="E276" s="2" t="n">
        <v>46302.41180555556</v>
      </c>
      <c r="F276" t="inlineStr">
        <is>
          <t>M6</t>
        </is>
      </c>
      <c r="G276" t="inlineStr">
        <is>
          <t>C1</t>
        </is>
      </c>
      <c r="H276" s="2" t="n">
        <v>46301.46180555555</v>
      </c>
      <c r="I276" s="2" t="n">
        <v>46301.46458333333</v>
      </c>
      <c r="J276" t="inlineStr">
        <is>
          <t>Completed</t>
        </is>
      </c>
      <c r="K276" t="n">
        <v>0.27</v>
      </c>
      <c r="L276" t="n">
        <v>8</v>
      </c>
      <c r="M276" t="b">
        <v>0</v>
      </c>
      <c r="N276" t="n">
        <v>0</v>
      </c>
      <c r="O276" t="b">
        <v>1</v>
      </c>
      <c r="P276" t="b">
        <v>0</v>
      </c>
      <c r="Q276" t="b">
        <v>0</v>
      </c>
    </row>
    <row r="277">
      <c r="A277" t="inlineStr">
        <is>
          <t>REQ00276</t>
        </is>
      </c>
      <c r="B277" t="inlineStr">
        <is>
          <t>254900KKZIG8JEM71Y50</t>
        </is>
      </c>
      <c r="C277" t="inlineStr">
        <is>
          <t>document_refresh</t>
        </is>
      </c>
      <c r="D277" s="2" t="n">
        <v>46301.45555555556</v>
      </c>
      <c r="E277" s="2" t="n">
        <v>46302.58055555556</v>
      </c>
      <c r="F277" t="inlineStr">
        <is>
          <t>M2</t>
        </is>
      </c>
      <c r="G277" t="inlineStr">
        <is>
          <t>C1</t>
        </is>
      </c>
      <c r="H277" s="2" t="n">
        <v>46301.47083333333</v>
      </c>
      <c r="I277" s="2" t="n">
        <v>46301.47777777778</v>
      </c>
      <c r="J277" t="inlineStr">
        <is>
          <t>Completed</t>
        </is>
      </c>
      <c r="K277" t="n">
        <v>0.54</v>
      </c>
      <c r="L277" t="n">
        <v>12</v>
      </c>
      <c r="M277" t="b">
        <v>0</v>
      </c>
      <c r="N277" t="n">
        <v>0</v>
      </c>
      <c r="O277" t="b">
        <v>1</v>
      </c>
      <c r="P277" t="b">
        <v>0</v>
      </c>
      <c r="Q277" t="b">
        <v>0</v>
      </c>
    </row>
    <row r="278">
      <c r="A278" t="inlineStr">
        <is>
          <t>REQ00277</t>
        </is>
      </c>
      <c r="B278" t="inlineStr">
        <is>
          <t>549300BZZJD027NRFZ07</t>
        </is>
      </c>
      <c r="C278" t="inlineStr">
        <is>
          <t>data_amendment</t>
        </is>
      </c>
      <c r="D278" s="2" t="n">
        <v>46301.45694444444</v>
      </c>
      <c r="E278" s="2" t="n">
        <v>46302.41527777778</v>
      </c>
      <c r="F278" t="inlineStr">
        <is>
          <t>M1</t>
        </is>
      </c>
      <c r="G278" t="inlineStr">
        <is>
          <t>C1</t>
        </is>
      </c>
      <c r="H278" s="2" t="n">
        <v>46301.46527777778</v>
      </c>
      <c r="I278" s="2" t="n">
        <v>46301.70069444444</v>
      </c>
      <c r="J278" t="inlineStr">
        <is>
          <t>Completed</t>
        </is>
      </c>
      <c r="K278" t="n">
        <v>5.84</v>
      </c>
      <c r="L278" t="n">
        <v>8</v>
      </c>
      <c r="M278" t="b">
        <v>0</v>
      </c>
      <c r="N278" t="n">
        <v>0</v>
      </c>
      <c r="O278" t="b">
        <v>1</v>
      </c>
      <c r="P278" t="b">
        <v>0</v>
      </c>
      <c r="Q278" t="b">
        <v>1</v>
      </c>
    </row>
    <row r="279">
      <c r="A279" t="inlineStr">
        <is>
          <t>REQ00278</t>
        </is>
      </c>
      <c r="B279" t="inlineStr">
        <is>
          <t>984500960A04010N9D46</t>
        </is>
      </c>
      <c r="C279" t="inlineStr">
        <is>
          <t>document_refresh</t>
        </is>
      </c>
      <c r="D279" s="2" t="n">
        <v>46301.45833333334</v>
      </c>
      <c r="E279" s="2" t="n">
        <v>46302.58333333334</v>
      </c>
      <c r="F279" t="inlineStr">
        <is>
          <t>M5</t>
        </is>
      </c>
      <c r="G279" t="inlineStr">
        <is>
          <t>C2</t>
        </is>
      </c>
      <c r="H279" s="2" t="n">
        <v>46301.47013888889</v>
      </c>
      <c r="I279" s="2" t="n">
        <v>46301.475</v>
      </c>
      <c r="J279" t="inlineStr">
        <is>
          <t>Completed</t>
        </is>
      </c>
      <c r="K279" t="n">
        <v>0.39</v>
      </c>
      <c r="L279" t="n">
        <v>12</v>
      </c>
      <c r="M279" t="b">
        <v>0</v>
      </c>
      <c r="N279" t="n">
        <v>0</v>
      </c>
      <c r="O279" t="b">
        <v>1</v>
      </c>
      <c r="P279" t="b">
        <v>0</v>
      </c>
      <c r="Q279" t="b">
        <v>0</v>
      </c>
    </row>
    <row r="280">
      <c r="A280" t="inlineStr">
        <is>
          <t>REQ00279</t>
        </is>
      </c>
      <c r="B280" t="inlineStr">
        <is>
          <t>98450063ET5B85537P69</t>
        </is>
      </c>
      <c r="C280" t="inlineStr">
        <is>
          <t>new_account</t>
        </is>
      </c>
      <c r="D280" s="2" t="n">
        <v>46301.45902777778</v>
      </c>
      <c r="E280" s="2" t="n">
        <v>46303.37569444445</v>
      </c>
      <c r="F280" t="inlineStr">
        <is>
          <t>M6</t>
        </is>
      </c>
      <c r="G280" t="inlineStr">
        <is>
          <t>C2</t>
        </is>
      </c>
      <c r="H280" s="2" t="n">
        <v>46301.49444444444</v>
      </c>
      <c r="I280" s="2" t="n">
        <v>46301.50416666667</v>
      </c>
      <c r="J280" t="inlineStr">
        <is>
          <t>Completed</t>
        </is>
      </c>
      <c r="K280" t="n">
        <v>1.09</v>
      </c>
      <c r="L280" t="n">
        <v>16</v>
      </c>
      <c r="M280" t="b">
        <v>0</v>
      </c>
      <c r="N280" t="n">
        <v>0</v>
      </c>
      <c r="O280" t="b">
        <v>1</v>
      </c>
      <c r="P280" t="b">
        <v>0</v>
      </c>
      <c r="Q280" t="b">
        <v>0</v>
      </c>
    </row>
    <row r="281">
      <c r="A281" t="inlineStr">
        <is>
          <t>REQ00280</t>
        </is>
      </c>
      <c r="B281" t="inlineStr">
        <is>
          <t>64880S75JCZ7AYZ20831</t>
        </is>
      </c>
      <c r="C281" t="inlineStr">
        <is>
          <t>document_refresh</t>
        </is>
      </c>
      <c r="D281" s="2" t="n">
        <v>46301.46388888889</v>
      </c>
      <c r="E281" s="2" t="n">
        <v>46302.58888888889</v>
      </c>
      <c r="F281" t="inlineStr">
        <is>
          <t>M4</t>
        </is>
      </c>
      <c r="G281" t="inlineStr">
        <is>
          <t>C2</t>
        </is>
      </c>
      <c r="H281" s="2" t="n">
        <v>46301.47569444445</v>
      </c>
      <c r="I281" s="2" t="n">
        <v>46301.48263888889</v>
      </c>
      <c r="J281" t="inlineStr">
        <is>
          <t>Completed</t>
        </is>
      </c>
      <c r="K281" t="n">
        <v>0.45</v>
      </c>
      <c r="L281" t="n">
        <v>12</v>
      </c>
      <c r="M281" t="b">
        <v>0</v>
      </c>
      <c r="N281" t="n">
        <v>0</v>
      </c>
      <c r="O281" t="b">
        <v>1</v>
      </c>
      <c r="P281" t="b">
        <v>0</v>
      </c>
      <c r="Q281" t="b">
        <v>0</v>
      </c>
    </row>
    <row r="282">
      <c r="A282" t="inlineStr">
        <is>
          <t>REQ00281</t>
        </is>
      </c>
      <c r="B282" t="inlineStr">
        <is>
          <t>254900BLXI64RKT3QQ42</t>
        </is>
      </c>
      <c r="C282" t="inlineStr">
        <is>
          <t>new_account</t>
        </is>
      </c>
      <c r="D282" s="2" t="n">
        <v>46301.47013888889</v>
      </c>
      <c r="E282" s="2" t="n">
        <v>46303.38680555556</v>
      </c>
      <c r="F282" t="inlineStr">
        <is>
          <t>M1</t>
        </is>
      </c>
      <c r="G282" t="inlineStr">
        <is>
          <t>C3</t>
        </is>
      </c>
      <c r="H282" s="2" t="n">
        <v>46301.50902777778</v>
      </c>
      <c r="I282" s="2" t="n">
        <v>46301.52013888889</v>
      </c>
      <c r="J282" t="inlineStr">
        <is>
          <t>Completed</t>
        </is>
      </c>
      <c r="K282" t="n">
        <v>1.2</v>
      </c>
      <c r="L282" t="n">
        <v>16</v>
      </c>
      <c r="M282" t="b">
        <v>0</v>
      </c>
      <c r="N282" t="n">
        <v>0</v>
      </c>
      <c r="O282" t="b">
        <v>1</v>
      </c>
      <c r="P282" t="b">
        <v>0</v>
      </c>
      <c r="Q282" t="b">
        <v>0</v>
      </c>
    </row>
    <row r="283">
      <c r="A283" t="inlineStr">
        <is>
          <t>REQ00282</t>
        </is>
      </c>
      <c r="B283" t="inlineStr">
        <is>
          <t>724500VNSAYID0WRZI78</t>
        </is>
      </c>
      <c r="C283" t="inlineStr">
        <is>
          <t>document_refresh</t>
        </is>
      </c>
      <c r="D283" s="2" t="n">
        <v>46301.47152777778</v>
      </c>
      <c r="E283" s="2" t="n">
        <v>46302.59652777778</v>
      </c>
      <c r="F283" t="inlineStr">
        <is>
          <t>M5</t>
        </is>
      </c>
      <c r="G283" t="inlineStr">
        <is>
          <t>C3</t>
        </is>
      </c>
      <c r="H283" s="2" t="n">
        <v>46301.48402777778</v>
      </c>
      <c r="I283" s="2" t="n">
        <v>46301.63958333333</v>
      </c>
      <c r="J283" t="inlineStr">
        <is>
          <t>Completed</t>
        </is>
      </c>
      <c r="K283" t="n">
        <v>4.03</v>
      </c>
      <c r="L283" t="n">
        <v>12</v>
      </c>
      <c r="M283" t="b">
        <v>0</v>
      </c>
      <c r="N283" t="n">
        <v>0</v>
      </c>
      <c r="O283" t="b">
        <v>1</v>
      </c>
      <c r="P283" t="b">
        <v>0</v>
      </c>
      <c r="Q283" t="b">
        <v>1</v>
      </c>
    </row>
    <row r="284">
      <c r="A284" t="inlineStr">
        <is>
          <t>REQ00283</t>
        </is>
      </c>
      <c r="B284" t="inlineStr">
        <is>
          <t>969500MCPTKBW7WG3O27</t>
        </is>
      </c>
      <c r="C284" t="inlineStr">
        <is>
          <t>document_refresh</t>
        </is>
      </c>
      <c r="D284" s="2" t="n">
        <v>46301.475</v>
      </c>
      <c r="E284" s="2" t="n">
        <v>46302.6</v>
      </c>
      <c r="F284" t="inlineStr">
        <is>
          <t>M2</t>
        </is>
      </c>
      <c r="G284" t="inlineStr">
        <is>
          <t>C2</t>
        </is>
      </c>
      <c r="H284" s="2" t="n">
        <v>46301.48888888889</v>
      </c>
      <c r="I284" s="2" t="n">
        <v>46301.49305555555</v>
      </c>
      <c r="J284" t="inlineStr">
        <is>
          <t>Completed</t>
        </is>
      </c>
      <c r="K284" t="n">
        <v>0.44</v>
      </c>
      <c r="L284" t="n">
        <v>12</v>
      </c>
      <c r="M284" t="b">
        <v>0</v>
      </c>
      <c r="N284" t="n">
        <v>0</v>
      </c>
      <c r="O284" t="b">
        <v>1</v>
      </c>
      <c r="P284" t="b">
        <v>0</v>
      </c>
      <c r="Q284" t="b">
        <v>0</v>
      </c>
    </row>
    <row r="285">
      <c r="A285" t="inlineStr">
        <is>
          <t>REQ00284</t>
        </is>
      </c>
      <c r="B285" t="inlineStr">
        <is>
          <t>5299006Q7HIAA4NB4A48</t>
        </is>
      </c>
      <c r="C285" t="inlineStr">
        <is>
          <t>new_account</t>
        </is>
      </c>
      <c r="D285" s="2" t="n">
        <v>46301.47638888889</v>
      </c>
      <c r="E285" s="2" t="n">
        <v>46303.39305555556</v>
      </c>
      <c r="F285" t="inlineStr">
        <is>
          <t>M4</t>
        </is>
      </c>
      <c r="G285" t="inlineStr">
        <is>
          <t>C3</t>
        </is>
      </c>
      <c r="H285" s="2" t="n">
        <v>46301.50625</v>
      </c>
      <c r="I285" s="2" t="n">
        <v>46301.69166666667</v>
      </c>
      <c r="J285" t="inlineStr">
        <is>
          <t>Completed</t>
        </is>
      </c>
      <c r="K285" t="n">
        <v>5.16</v>
      </c>
      <c r="L285" t="n">
        <v>16</v>
      </c>
      <c r="M285" t="b">
        <v>0</v>
      </c>
      <c r="N285" t="n">
        <v>0</v>
      </c>
      <c r="O285" t="b">
        <v>1</v>
      </c>
      <c r="P285" t="b">
        <v>0</v>
      </c>
      <c r="Q285" t="b">
        <v>1</v>
      </c>
    </row>
    <row r="286">
      <c r="A286" t="inlineStr">
        <is>
          <t>REQ00285</t>
        </is>
      </c>
      <c r="B286" t="inlineStr">
        <is>
          <t>9845002EDDV53LCF0632</t>
        </is>
      </c>
      <c r="C286" t="inlineStr">
        <is>
          <t>new_account</t>
        </is>
      </c>
      <c r="D286" s="2" t="n">
        <v>46301.47638888889</v>
      </c>
      <c r="E286" s="2" t="n">
        <v>46303.39305555556</v>
      </c>
      <c r="F286" t="inlineStr">
        <is>
          <t>M5</t>
        </is>
      </c>
      <c r="G286" t="inlineStr">
        <is>
          <t>C1</t>
        </is>
      </c>
      <c r="H286" s="2" t="n">
        <v>46301.51111111111</v>
      </c>
      <c r="I286" s="2" t="n">
        <v>46301.52708333333</v>
      </c>
      <c r="J286" t="inlineStr">
        <is>
          <t>Completed</t>
        </is>
      </c>
      <c r="K286" t="n">
        <v>1.22</v>
      </c>
      <c r="L286" t="n">
        <v>16</v>
      </c>
      <c r="M286" t="b">
        <v>0</v>
      </c>
      <c r="N286" t="n">
        <v>0</v>
      </c>
      <c r="O286" t="b">
        <v>1</v>
      </c>
      <c r="P286" t="b">
        <v>0</v>
      </c>
      <c r="Q286" t="b">
        <v>0</v>
      </c>
    </row>
    <row r="287">
      <c r="A287" t="inlineStr">
        <is>
          <t>REQ00286</t>
        </is>
      </c>
      <c r="B287" t="inlineStr">
        <is>
          <t>5299005KSXG29JGOI430</t>
        </is>
      </c>
      <c r="C287" t="inlineStr">
        <is>
          <t>new_account</t>
        </is>
      </c>
      <c r="D287" s="2" t="n">
        <v>46301.48055555556</v>
      </c>
      <c r="E287" s="2" t="n">
        <v>46303.39722222222</v>
      </c>
      <c r="F287" t="inlineStr">
        <is>
          <t>M2</t>
        </is>
      </c>
      <c r="G287" t="inlineStr">
        <is>
          <t>C1</t>
        </is>
      </c>
      <c r="H287" s="2" t="n">
        <v>46301.52708333333</v>
      </c>
      <c r="I287" s="2" t="n">
        <v>46301.68819444445</v>
      </c>
      <c r="J287" t="inlineStr">
        <is>
          <t>Completed</t>
        </is>
      </c>
      <c r="K287" t="n">
        <v>4.98</v>
      </c>
      <c r="L287" t="n">
        <v>16</v>
      </c>
      <c r="M287" t="b">
        <v>0</v>
      </c>
      <c r="N287" t="n">
        <v>0</v>
      </c>
      <c r="O287" t="b">
        <v>1</v>
      </c>
      <c r="P287" t="b">
        <v>0</v>
      </c>
      <c r="Q287" t="b">
        <v>1</v>
      </c>
    </row>
    <row r="288">
      <c r="A288" t="inlineStr">
        <is>
          <t>REQ00287</t>
        </is>
      </c>
      <c r="B288" t="inlineStr">
        <is>
          <t>724500GW3VNRJCHRD223</t>
        </is>
      </c>
      <c r="C288" t="inlineStr">
        <is>
          <t>signatory_change</t>
        </is>
      </c>
      <c r="D288" s="2" t="n">
        <v>46301.48958333334</v>
      </c>
      <c r="E288" s="2" t="n">
        <v>46302.44791666666</v>
      </c>
      <c r="F288" t="inlineStr">
        <is>
          <t>M3</t>
        </is>
      </c>
      <c r="G288" t="inlineStr">
        <is>
          <t>C2</t>
        </is>
      </c>
      <c r="H288" s="2" t="n">
        <v>46301.51388888889</v>
      </c>
      <c r="I288" s="2" t="n">
        <v>46301.63125</v>
      </c>
      <c r="J288" t="inlineStr">
        <is>
          <t>Completed</t>
        </is>
      </c>
      <c r="K288" t="n">
        <v>3.4</v>
      </c>
      <c r="L288" t="n">
        <v>8</v>
      </c>
      <c r="M288" t="b">
        <v>0</v>
      </c>
      <c r="N288" t="n">
        <v>0</v>
      </c>
      <c r="O288" t="b">
        <v>1</v>
      </c>
      <c r="P288" t="b">
        <v>0</v>
      </c>
      <c r="Q288" t="b">
        <v>1</v>
      </c>
    </row>
    <row r="289">
      <c r="A289" t="inlineStr">
        <is>
          <t>REQ00288</t>
        </is>
      </c>
      <c r="B289" t="inlineStr">
        <is>
          <t>967600IFHX8KWX8UN184</t>
        </is>
      </c>
      <c r="C289" t="inlineStr">
        <is>
          <t>document_refresh</t>
        </is>
      </c>
      <c r="D289" s="2" t="n">
        <v>46301.49097222222</v>
      </c>
      <c r="E289" s="2" t="n">
        <v>46302.61597222222</v>
      </c>
      <c r="F289" t="inlineStr">
        <is>
          <t>M6</t>
        </is>
      </c>
      <c r="G289" t="inlineStr">
        <is>
          <t>C1</t>
        </is>
      </c>
      <c r="H289" s="2" t="n">
        <v>46301.50972222222</v>
      </c>
      <c r="I289" s="2" t="n">
        <v>46301.51458333333</v>
      </c>
      <c r="J289" t="inlineStr">
        <is>
          <t>Completed</t>
        </is>
      </c>
      <c r="K289" t="n">
        <v>0.5600000000000001</v>
      </c>
      <c r="L289" t="n">
        <v>12</v>
      </c>
      <c r="M289" t="b">
        <v>0</v>
      </c>
      <c r="N289" t="n">
        <v>0</v>
      </c>
      <c r="O289" t="b">
        <v>1</v>
      </c>
      <c r="P289" t="b">
        <v>0</v>
      </c>
      <c r="Q289" t="b">
        <v>0</v>
      </c>
    </row>
    <row r="290">
      <c r="A290" t="inlineStr">
        <is>
          <t>REQ00289</t>
        </is>
      </c>
      <c r="B290" t="inlineStr">
        <is>
          <t>9845004FA9QP1E5DE887</t>
        </is>
      </c>
      <c r="C290" t="inlineStr">
        <is>
          <t>data_amendment</t>
        </is>
      </c>
      <c r="D290" s="2" t="n">
        <v>46301.49444444444</v>
      </c>
      <c r="E290" s="2" t="n">
        <v>46302.45277777778</v>
      </c>
      <c r="F290" t="inlineStr">
        <is>
          <t>M4</t>
        </is>
      </c>
      <c r="G290" t="inlineStr">
        <is>
          <t>C3</t>
        </is>
      </c>
      <c r="H290" s="2" t="n">
        <v>46301.51527777778</v>
      </c>
      <c r="I290" s="2" t="n">
        <v>46301.74097222222</v>
      </c>
      <c r="J290" t="inlineStr">
        <is>
          <t>Completed</t>
        </is>
      </c>
      <c r="K290" t="n">
        <v>5.92</v>
      </c>
      <c r="L290" t="n">
        <v>8</v>
      </c>
      <c r="M290" t="b">
        <v>0</v>
      </c>
      <c r="N290" t="n">
        <v>1</v>
      </c>
      <c r="O290" t="b">
        <v>0</v>
      </c>
      <c r="P290" t="b">
        <v>1</v>
      </c>
      <c r="Q290" t="b">
        <v>1</v>
      </c>
    </row>
    <row r="291">
      <c r="A291" t="inlineStr">
        <is>
          <t>REQ00290</t>
        </is>
      </c>
      <c r="B291" t="inlineStr">
        <is>
          <t>984500T75CAFP7EOE460</t>
        </is>
      </c>
      <c r="C291" t="inlineStr">
        <is>
          <t>data_amendment</t>
        </is>
      </c>
      <c r="D291" s="2" t="n">
        <v>46301.49652777778</v>
      </c>
      <c r="E291" s="2" t="n">
        <v>46302.45486111111</v>
      </c>
      <c r="F291" t="inlineStr">
        <is>
          <t>M1</t>
        </is>
      </c>
      <c r="G291" t="inlineStr">
        <is>
          <t>C3</t>
        </is>
      </c>
      <c r="H291" s="2" t="n">
        <v>46301.51944444444</v>
      </c>
      <c r="I291" s="2" t="n">
        <v>46301.52291666667</v>
      </c>
      <c r="J291" t="inlineStr">
        <is>
          <t>Completed</t>
        </is>
      </c>
      <c r="K291" t="n">
        <v>0.64</v>
      </c>
      <c r="L291" t="n">
        <v>8</v>
      </c>
      <c r="M291" t="b">
        <v>0</v>
      </c>
      <c r="N291" t="n">
        <v>0</v>
      </c>
      <c r="O291" t="b">
        <v>1</v>
      </c>
      <c r="P291" t="b">
        <v>0</v>
      </c>
      <c r="Q291" t="b">
        <v>0</v>
      </c>
    </row>
    <row r="292">
      <c r="A292" t="inlineStr">
        <is>
          <t>REQ00291</t>
        </is>
      </c>
      <c r="B292" t="inlineStr">
        <is>
          <t>213800DX4N53YVBXE217</t>
        </is>
      </c>
      <c r="C292" t="inlineStr">
        <is>
          <t>document_refresh</t>
        </is>
      </c>
      <c r="D292" s="2" t="n">
        <v>46301.49791666667</v>
      </c>
      <c r="E292" s="2" t="n">
        <v>46302.62291666667</v>
      </c>
      <c r="F292" t="inlineStr">
        <is>
          <t>M6</t>
        </is>
      </c>
      <c r="G292" t="inlineStr">
        <is>
          <t>C3</t>
        </is>
      </c>
      <c r="H292" s="2" t="n">
        <v>46301.52569444444</v>
      </c>
      <c r="I292" s="2" t="n">
        <v>46301.74722222222</v>
      </c>
      <c r="J292" t="inlineStr">
        <is>
          <t>Completed</t>
        </is>
      </c>
      <c r="K292" t="n">
        <v>5.99</v>
      </c>
      <c r="L292" t="n">
        <v>12</v>
      </c>
      <c r="M292" t="b">
        <v>0</v>
      </c>
      <c r="N292" t="n">
        <v>0</v>
      </c>
      <c r="O292" t="b">
        <v>1</v>
      </c>
      <c r="P292" t="b">
        <v>0</v>
      </c>
      <c r="Q292" t="b">
        <v>1</v>
      </c>
    </row>
    <row r="293">
      <c r="A293" t="inlineStr">
        <is>
          <t>REQ00292</t>
        </is>
      </c>
      <c r="B293" t="inlineStr">
        <is>
          <t>3358001MGOJ9NIHGOT03</t>
        </is>
      </c>
      <c r="C293" t="inlineStr">
        <is>
          <t>signatory_change</t>
        </is>
      </c>
      <c r="D293" s="2" t="n">
        <v>46301.50138888889</v>
      </c>
      <c r="E293" s="2" t="n">
        <v>46302.45972222222</v>
      </c>
      <c r="F293" t="inlineStr">
        <is>
          <t>M5</t>
        </is>
      </c>
      <c r="G293" t="inlineStr">
        <is>
          <t>C2</t>
        </is>
      </c>
      <c r="H293" s="2" t="n">
        <v>46301.53611111111</v>
      </c>
      <c r="I293" s="2" t="n">
        <v>46301.54444444444</v>
      </c>
      <c r="J293" t="inlineStr">
        <is>
          <t>Completed</t>
        </is>
      </c>
      <c r="K293" t="n">
        <v>1.03</v>
      </c>
      <c r="L293" t="n">
        <v>8</v>
      </c>
      <c r="M293" t="b">
        <v>0</v>
      </c>
      <c r="N293" t="n">
        <v>0</v>
      </c>
      <c r="O293" t="b">
        <v>1</v>
      </c>
      <c r="P293" t="b">
        <v>0</v>
      </c>
      <c r="Q293" t="b">
        <v>0</v>
      </c>
    </row>
    <row r="294">
      <c r="A294" t="inlineStr">
        <is>
          <t>REQ00293</t>
        </is>
      </c>
      <c r="B294" t="inlineStr">
        <is>
          <t>391200N2OOLQP37J9J66</t>
        </is>
      </c>
      <c r="C294" t="inlineStr">
        <is>
          <t>new_account</t>
        </is>
      </c>
      <c r="D294" s="2" t="n">
        <v>46301.50208333333</v>
      </c>
      <c r="E294" s="2" t="n">
        <v>46303.41875</v>
      </c>
      <c r="F294" t="inlineStr">
        <is>
          <t>M3</t>
        </is>
      </c>
      <c r="G294" t="inlineStr">
        <is>
          <t>C3</t>
        </is>
      </c>
      <c r="H294" s="2" t="n">
        <v>46301.55277777778</v>
      </c>
      <c r="I294" s="2" t="n">
        <v>46301.56666666667</v>
      </c>
      <c r="J294" t="inlineStr">
        <is>
          <t>Completed</t>
        </is>
      </c>
      <c r="K294" t="n">
        <v>1.55</v>
      </c>
      <c r="L294" t="n">
        <v>16</v>
      </c>
      <c r="M294" t="b">
        <v>0</v>
      </c>
      <c r="N294" t="n">
        <v>0</v>
      </c>
      <c r="O294" t="b">
        <v>1</v>
      </c>
      <c r="P294" t="b">
        <v>0</v>
      </c>
      <c r="Q294" t="b">
        <v>0</v>
      </c>
    </row>
    <row r="295">
      <c r="A295" t="inlineStr">
        <is>
          <t>REQ00294</t>
        </is>
      </c>
      <c r="B295" t="inlineStr">
        <is>
          <t>724500RYIG7JM5S4AZ77</t>
        </is>
      </c>
      <c r="C295" t="inlineStr">
        <is>
          <t>new_account</t>
        </is>
      </c>
      <c r="D295" s="2" t="n">
        <v>46301.50208333333</v>
      </c>
      <c r="E295" s="2" t="n">
        <v>46303.41875</v>
      </c>
      <c r="F295" t="inlineStr">
        <is>
          <t>M4</t>
        </is>
      </c>
      <c r="G295" t="inlineStr">
        <is>
          <t>C1</t>
        </is>
      </c>
      <c r="H295" s="2" t="n">
        <v>46301.54652777778</v>
      </c>
      <c r="I295" s="2" t="n">
        <v>46301.55416666667</v>
      </c>
      <c r="J295" t="inlineStr">
        <is>
          <t>Completed</t>
        </is>
      </c>
      <c r="K295" t="n">
        <v>1.26</v>
      </c>
      <c r="L295" t="n">
        <v>16</v>
      </c>
      <c r="M295" t="b">
        <v>0</v>
      </c>
      <c r="N295" t="n">
        <v>0</v>
      </c>
      <c r="O295" t="b">
        <v>1</v>
      </c>
      <c r="P295" t="b">
        <v>0</v>
      </c>
      <c r="Q295" t="b">
        <v>0</v>
      </c>
    </row>
    <row r="296">
      <c r="A296" t="inlineStr">
        <is>
          <t>REQ00295</t>
        </is>
      </c>
      <c r="B296" t="inlineStr">
        <is>
          <t>254900E8L9UJZGWTXA76</t>
        </is>
      </c>
      <c r="C296" t="inlineStr">
        <is>
          <t>document_refresh</t>
        </is>
      </c>
      <c r="D296" s="2" t="n">
        <v>46301.50555555556</v>
      </c>
      <c r="E296" s="2" t="n">
        <v>46302.63055555556</v>
      </c>
      <c r="F296" t="inlineStr">
        <is>
          <t>M1</t>
        </is>
      </c>
      <c r="G296" t="inlineStr">
        <is>
          <t>C3</t>
        </is>
      </c>
      <c r="H296" s="2" t="n">
        <v>46301.53541666667</v>
      </c>
      <c r="I296" s="2" t="n">
        <v>46301.7125</v>
      </c>
      <c r="J296" t="inlineStr">
        <is>
          <t>Completed</t>
        </is>
      </c>
      <c r="K296" t="n">
        <v>4.96</v>
      </c>
      <c r="L296" t="n">
        <v>12</v>
      </c>
      <c r="M296" t="b">
        <v>0</v>
      </c>
      <c r="N296" t="n">
        <v>0</v>
      </c>
      <c r="O296" t="b">
        <v>1</v>
      </c>
      <c r="P296" t="b">
        <v>0</v>
      </c>
      <c r="Q296" t="b">
        <v>1</v>
      </c>
    </row>
    <row r="297">
      <c r="A297" t="inlineStr">
        <is>
          <t>REQ00296</t>
        </is>
      </c>
      <c r="B297" t="inlineStr">
        <is>
          <t>391200V1JIMRWTCG4894</t>
        </is>
      </c>
      <c r="C297" t="inlineStr">
        <is>
          <t>document_refresh</t>
        </is>
      </c>
      <c r="D297" s="2" t="n">
        <v>46301.50833333333</v>
      </c>
      <c r="E297" s="2" t="n">
        <v>46302.63333333333</v>
      </c>
      <c r="F297" t="inlineStr">
        <is>
          <t>M6</t>
        </is>
      </c>
      <c r="G297" t="inlineStr">
        <is>
          <t>C1</t>
        </is>
      </c>
      <c r="H297" s="2" t="n">
        <v>46301.53958333333</v>
      </c>
      <c r="I297" s="2" t="n">
        <v>46301.54375</v>
      </c>
      <c r="J297" t="inlineStr">
        <is>
          <t>Completed</t>
        </is>
      </c>
      <c r="K297" t="n">
        <v>0.86</v>
      </c>
      <c r="L297" t="n">
        <v>12</v>
      </c>
      <c r="M297" t="b">
        <v>0</v>
      </c>
      <c r="N297" t="n">
        <v>0</v>
      </c>
      <c r="O297" t="b">
        <v>1</v>
      </c>
      <c r="P297" t="b">
        <v>0</v>
      </c>
      <c r="Q297" t="b">
        <v>0</v>
      </c>
    </row>
    <row r="298">
      <c r="A298" t="inlineStr">
        <is>
          <t>REQ00297</t>
        </is>
      </c>
      <c r="B298" t="inlineStr">
        <is>
          <t>391200C1TJH8LLGYPH27</t>
        </is>
      </c>
      <c r="C298" t="inlineStr">
        <is>
          <t>data_amendment</t>
        </is>
      </c>
      <c r="D298" s="2" t="n">
        <v>46301.50902777778</v>
      </c>
      <c r="E298" s="2" t="n">
        <v>46302.46736111111</v>
      </c>
      <c r="F298" t="inlineStr">
        <is>
          <t>M2</t>
        </is>
      </c>
      <c r="G298" t="inlineStr">
        <is>
          <t>C3</t>
        </is>
      </c>
      <c r="H298" s="2" t="n">
        <v>46301.53819444445</v>
      </c>
      <c r="I298" s="2" t="n">
        <v>46301.54166666666</v>
      </c>
      <c r="J298" t="inlineStr">
        <is>
          <t>Completed</t>
        </is>
      </c>
      <c r="K298" t="n">
        <v>0.79</v>
      </c>
      <c r="L298" t="n">
        <v>8</v>
      </c>
      <c r="M298" t="b">
        <v>0</v>
      </c>
      <c r="N298" t="n">
        <v>0</v>
      </c>
      <c r="O298" t="b">
        <v>1</v>
      </c>
      <c r="P298" t="b">
        <v>0</v>
      </c>
      <c r="Q298" t="b">
        <v>0</v>
      </c>
    </row>
    <row r="299">
      <c r="A299" t="inlineStr">
        <is>
          <t>REQ00298</t>
        </is>
      </c>
      <c r="B299" t="inlineStr">
        <is>
          <t>7245005ALC3L8N1MR783</t>
        </is>
      </c>
      <c r="C299" t="inlineStr">
        <is>
          <t>document_refresh</t>
        </is>
      </c>
      <c r="D299" s="2" t="n">
        <v>46301.51180555556</v>
      </c>
      <c r="E299" s="2" t="n">
        <v>46302.63680555556</v>
      </c>
      <c r="F299" t="inlineStr">
        <is>
          <t>M1</t>
        </is>
      </c>
      <c r="G299" t="inlineStr">
        <is>
          <t>C3</t>
        </is>
      </c>
      <c r="H299" s="2" t="n">
        <v>46301.55277777778</v>
      </c>
      <c r="I299" s="2" t="n">
        <v>46301.70555555556</v>
      </c>
      <c r="J299" t="inlineStr">
        <is>
          <t>Completed</t>
        </is>
      </c>
      <c r="K299" t="n">
        <v>4.64</v>
      </c>
      <c r="L299" t="n">
        <v>12</v>
      </c>
      <c r="M299" t="b">
        <v>0</v>
      </c>
      <c r="N299" t="n">
        <v>0</v>
      </c>
      <c r="O299" t="b">
        <v>1</v>
      </c>
      <c r="P299" t="b">
        <v>0</v>
      </c>
      <c r="Q299" t="b">
        <v>1</v>
      </c>
    </row>
    <row r="300">
      <c r="A300" t="inlineStr">
        <is>
          <t>REQ00299</t>
        </is>
      </c>
      <c r="B300" t="inlineStr">
        <is>
          <t>213800UH2TZFVDWNNO72</t>
        </is>
      </c>
      <c r="C300" t="inlineStr">
        <is>
          <t>new_account</t>
        </is>
      </c>
      <c r="D300" s="2" t="n">
        <v>46301.51597222222</v>
      </c>
      <c r="E300" s="2" t="n">
        <v>46303.43263888889</v>
      </c>
      <c r="F300" t="inlineStr">
        <is>
          <t>M5</t>
        </is>
      </c>
      <c r="G300" t="inlineStr">
        <is>
          <t>C1</t>
        </is>
      </c>
      <c r="H300" s="2" t="n">
        <v>46301.56666666667</v>
      </c>
      <c r="I300" s="2" t="n">
        <v>46301.74236111111</v>
      </c>
      <c r="J300" t="inlineStr">
        <is>
          <t>Completed</t>
        </is>
      </c>
      <c r="K300" t="n">
        <v>5.44</v>
      </c>
      <c r="L300" t="n">
        <v>16</v>
      </c>
      <c r="M300" t="b">
        <v>0</v>
      </c>
      <c r="N300" t="n">
        <v>0</v>
      </c>
      <c r="O300" t="b">
        <v>1</v>
      </c>
      <c r="P300" t="b">
        <v>0</v>
      </c>
      <c r="Q300" t="b">
        <v>1</v>
      </c>
    </row>
    <row r="301">
      <c r="A301" t="inlineStr">
        <is>
          <t>REQ00300</t>
        </is>
      </c>
      <c r="B301" t="inlineStr">
        <is>
          <t>2138002DLJ5BCMAO4B20</t>
        </is>
      </c>
      <c r="C301" t="inlineStr">
        <is>
          <t>data_amendment</t>
        </is>
      </c>
      <c r="D301" s="2" t="n">
        <v>46301.52638888889</v>
      </c>
      <c r="E301" s="2" t="n">
        <v>46302.48472222222</v>
      </c>
      <c r="F301" t="inlineStr">
        <is>
          <t>M2</t>
        </is>
      </c>
      <c r="G301" t="inlineStr">
        <is>
          <t>C2</t>
        </is>
      </c>
      <c r="H301" s="2" t="n">
        <v>46301.54930555556</v>
      </c>
      <c r="I301" s="2" t="n">
        <v>46301.55277777778</v>
      </c>
      <c r="J301" t="inlineStr">
        <is>
          <t>Completed</t>
        </is>
      </c>
      <c r="K301" t="n">
        <v>0.64</v>
      </c>
      <c r="L301" t="n">
        <v>8</v>
      </c>
      <c r="M301" t="b">
        <v>0</v>
      </c>
      <c r="N301" t="n">
        <v>0</v>
      </c>
      <c r="O301" t="b">
        <v>1</v>
      </c>
      <c r="P301" t="b">
        <v>0</v>
      </c>
      <c r="Q301" t="b">
        <v>0</v>
      </c>
    </row>
    <row r="302">
      <c r="A302" t="inlineStr">
        <is>
          <t>REQ00301</t>
        </is>
      </c>
      <c r="B302" t="inlineStr">
        <is>
          <t>984500FZ1DA5C99QC116</t>
        </is>
      </c>
      <c r="C302" t="inlineStr">
        <is>
          <t>document_refresh</t>
        </is>
      </c>
      <c r="D302" s="2" t="n">
        <v>46301.52847222222</v>
      </c>
      <c r="E302" s="2" t="n">
        <v>46302.65347222222</v>
      </c>
      <c r="F302" t="inlineStr">
        <is>
          <t>M6</t>
        </is>
      </c>
      <c r="G302" t="inlineStr">
        <is>
          <t>C2</t>
        </is>
      </c>
      <c r="H302" s="2" t="n">
        <v>46301.55486111111</v>
      </c>
      <c r="I302" s="2" t="n">
        <v>46301.56180555555</v>
      </c>
      <c r="J302" t="inlineStr">
        <is>
          <t>Completed</t>
        </is>
      </c>
      <c r="K302" t="n">
        <v>0.8</v>
      </c>
      <c r="L302" t="n">
        <v>12</v>
      </c>
      <c r="M302" t="b">
        <v>0</v>
      </c>
      <c r="N302" t="n">
        <v>0</v>
      </c>
      <c r="O302" t="b">
        <v>1</v>
      </c>
      <c r="P302" t="b">
        <v>0</v>
      </c>
      <c r="Q302" t="b">
        <v>0</v>
      </c>
    </row>
    <row r="303">
      <c r="A303" t="inlineStr">
        <is>
          <t>REQ00302</t>
        </is>
      </c>
      <c r="B303" t="inlineStr">
        <is>
          <t>984500CF9ACB404FD959</t>
        </is>
      </c>
      <c r="C303" t="inlineStr">
        <is>
          <t>new_account</t>
        </is>
      </c>
      <c r="D303" s="2" t="n">
        <v>46301.52916666667</v>
      </c>
      <c r="E303" s="2" t="n">
        <v>46303.44583333333</v>
      </c>
      <c r="F303" t="inlineStr">
        <is>
          <t>M4</t>
        </is>
      </c>
      <c r="G303" t="inlineStr">
        <is>
          <t>C1</t>
        </is>
      </c>
      <c r="H303" s="2" t="n">
        <v>46301.575</v>
      </c>
      <c r="I303" s="2" t="n">
        <v>46301.58680555555</v>
      </c>
      <c r="J303" t="inlineStr">
        <is>
          <t>Completed</t>
        </is>
      </c>
      <c r="K303" t="n">
        <v>1.39</v>
      </c>
      <c r="L303" t="n">
        <v>16</v>
      </c>
      <c r="M303" t="b">
        <v>0</v>
      </c>
      <c r="N303" t="n">
        <v>0</v>
      </c>
      <c r="O303" t="b">
        <v>1</v>
      </c>
      <c r="P303" t="b">
        <v>0</v>
      </c>
      <c r="Q303" t="b">
        <v>0</v>
      </c>
    </row>
    <row r="304">
      <c r="A304" t="inlineStr">
        <is>
          <t>REQ00303</t>
        </is>
      </c>
      <c r="B304" t="inlineStr">
        <is>
          <t>529900Z5AIT6U3X8BV50</t>
        </is>
      </c>
      <c r="C304" t="inlineStr">
        <is>
          <t>signatory_change</t>
        </is>
      </c>
      <c r="D304" s="2" t="n">
        <v>46301.53958333333</v>
      </c>
      <c r="E304" s="2" t="n">
        <v>46302.49791666667</v>
      </c>
      <c r="F304" t="inlineStr">
        <is>
          <t>M2</t>
        </is>
      </c>
      <c r="G304" t="inlineStr">
        <is>
          <t>C2</t>
        </is>
      </c>
      <c r="H304" s="2" t="n">
        <v>46301.57430555556</v>
      </c>
      <c r="I304" s="2" t="n">
        <v>46302.39027777778</v>
      </c>
      <c r="J304" t="inlineStr">
        <is>
          <t>Completed</t>
        </is>
      </c>
      <c r="K304" t="n">
        <v>5.42</v>
      </c>
      <c r="L304" t="n">
        <v>8</v>
      </c>
      <c r="M304" t="b">
        <v>0</v>
      </c>
      <c r="N304" t="n">
        <v>0</v>
      </c>
      <c r="O304" t="b">
        <v>1</v>
      </c>
      <c r="P304" t="b">
        <v>0</v>
      </c>
      <c r="Q304" t="b">
        <v>1</v>
      </c>
    </row>
    <row r="305">
      <c r="A305" t="inlineStr">
        <is>
          <t>REQ00304</t>
        </is>
      </c>
      <c r="B305" t="inlineStr">
        <is>
          <t>254900VB928S8V492P54</t>
        </is>
      </c>
      <c r="C305" t="inlineStr">
        <is>
          <t>new_account</t>
        </is>
      </c>
      <c r="D305" s="2" t="n">
        <v>46301.54166666666</v>
      </c>
      <c r="E305" s="2" t="n">
        <v>46303.45833333334</v>
      </c>
      <c r="F305" t="inlineStr">
        <is>
          <t>M1</t>
        </is>
      </c>
      <c r="G305" t="inlineStr">
        <is>
          <t>C3</t>
        </is>
      </c>
      <c r="H305" s="2" t="n">
        <v>46301.57569444444</v>
      </c>
      <c r="I305" s="2" t="n">
        <v>46301.67291666667</v>
      </c>
      <c r="J305" t="inlineStr">
        <is>
          <t>Completed</t>
        </is>
      </c>
      <c r="K305" t="n">
        <v>3.15</v>
      </c>
      <c r="L305" t="n">
        <v>16</v>
      </c>
      <c r="M305" t="b">
        <v>0</v>
      </c>
      <c r="N305" t="n">
        <v>0</v>
      </c>
      <c r="O305" t="b">
        <v>1</v>
      </c>
      <c r="P305" t="b">
        <v>0</v>
      </c>
      <c r="Q305" t="b">
        <v>1</v>
      </c>
    </row>
    <row r="306">
      <c r="A306" t="inlineStr">
        <is>
          <t>REQ00305</t>
        </is>
      </c>
      <c r="B306" t="inlineStr">
        <is>
          <t>5299006PXG54CJ020F45</t>
        </is>
      </c>
      <c r="C306" t="inlineStr">
        <is>
          <t>new_account</t>
        </is>
      </c>
      <c r="D306" s="2" t="n">
        <v>46301.54652777778</v>
      </c>
      <c r="E306" s="2" t="n">
        <v>46303.46319444444</v>
      </c>
      <c r="F306" t="inlineStr">
        <is>
          <t>M3</t>
        </is>
      </c>
      <c r="G306" t="inlineStr">
        <is>
          <t>C2</t>
        </is>
      </c>
      <c r="H306" s="2" t="n">
        <v>46301.59027777778</v>
      </c>
      <c r="I306" s="2" t="n">
        <v>46301.70208333333</v>
      </c>
      <c r="J306" t="inlineStr">
        <is>
          <t>Completed</t>
        </is>
      </c>
      <c r="K306" t="n">
        <v>3.73</v>
      </c>
      <c r="L306" t="n">
        <v>16</v>
      </c>
      <c r="M306" t="b">
        <v>0</v>
      </c>
      <c r="N306" t="n">
        <v>0</v>
      </c>
      <c r="O306" t="b">
        <v>1</v>
      </c>
      <c r="P306" t="b">
        <v>0</v>
      </c>
      <c r="Q306" t="b">
        <v>1</v>
      </c>
    </row>
    <row r="307">
      <c r="A307" t="inlineStr">
        <is>
          <t>REQ00306</t>
        </is>
      </c>
      <c r="B307" t="inlineStr">
        <is>
          <t>254900SXW5I77C2LMJ88</t>
        </is>
      </c>
      <c r="C307" t="inlineStr">
        <is>
          <t>data_amendment</t>
        </is>
      </c>
      <c r="D307" s="2" t="n">
        <v>46301.54722222222</v>
      </c>
      <c r="E307" s="2" t="n">
        <v>46302.50555555556</v>
      </c>
      <c r="F307" t="inlineStr">
        <is>
          <t>M6</t>
        </is>
      </c>
      <c r="G307" t="inlineStr">
        <is>
          <t>C1</t>
        </is>
      </c>
      <c r="H307" s="2" t="n">
        <v>46301.56805555556</v>
      </c>
      <c r="I307" s="2" t="n">
        <v>46302.38611111111</v>
      </c>
      <c r="J307" t="inlineStr">
        <is>
          <t>Completed</t>
        </is>
      </c>
      <c r="K307" t="n">
        <v>5.14</v>
      </c>
      <c r="L307" t="n">
        <v>8</v>
      </c>
      <c r="M307" t="b">
        <v>0</v>
      </c>
      <c r="N307" t="n">
        <v>0</v>
      </c>
      <c r="O307" t="b">
        <v>1</v>
      </c>
      <c r="P307" t="b">
        <v>0</v>
      </c>
      <c r="Q307" t="b">
        <v>1</v>
      </c>
    </row>
    <row r="308">
      <c r="A308" t="inlineStr">
        <is>
          <t>REQ00307</t>
        </is>
      </c>
      <c r="B308" t="inlineStr">
        <is>
          <t>984500C744C1FF450F09</t>
        </is>
      </c>
      <c r="C308" t="inlineStr">
        <is>
          <t>data_amendment</t>
        </is>
      </c>
      <c r="D308" s="2" t="n">
        <v>46301.54930555556</v>
      </c>
      <c r="E308" s="2" t="n">
        <v>46302.50763888889</v>
      </c>
      <c r="F308" t="inlineStr">
        <is>
          <t>M5</t>
        </is>
      </c>
      <c r="G308" t="inlineStr">
        <is>
          <t>C3</t>
        </is>
      </c>
      <c r="H308" s="2" t="n">
        <v>46301.57708333333</v>
      </c>
      <c r="I308" s="2" t="n">
        <v>46301.58055555556</v>
      </c>
      <c r="J308" t="inlineStr">
        <is>
          <t>Completed</t>
        </is>
      </c>
      <c r="K308" t="n">
        <v>0.75</v>
      </c>
      <c r="L308" t="n">
        <v>8</v>
      </c>
      <c r="M308" t="b">
        <v>0</v>
      </c>
      <c r="N308" t="n">
        <v>0</v>
      </c>
      <c r="O308" t="b">
        <v>1</v>
      </c>
      <c r="P308" t="b">
        <v>0</v>
      </c>
      <c r="Q308" t="b">
        <v>0</v>
      </c>
    </row>
    <row r="309">
      <c r="A309" t="inlineStr">
        <is>
          <t>REQ00308</t>
        </is>
      </c>
      <c r="B309" t="inlineStr">
        <is>
          <t>7245004VEWZKC38NAM07</t>
        </is>
      </c>
      <c r="C309" t="inlineStr">
        <is>
          <t>new_account</t>
        </is>
      </c>
      <c r="D309" s="2" t="n">
        <v>46301.55069444444</v>
      </c>
      <c r="E309" s="2" t="n">
        <v>46303.46736111111</v>
      </c>
      <c r="F309" t="inlineStr">
        <is>
          <t>M6</t>
        </is>
      </c>
      <c r="G309" t="inlineStr">
        <is>
          <t>C3</t>
        </is>
      </c>
      <c r="H309" s="2" t="n">
        <v>46301.6</v>
      </c>
      <c r="I309" s="2" t="n">
        <v>46301.61388888889</v>
      </c>
      <c r="J309" t="inlineStr">
        <is>
          <t>Completed</t>
        </is>
      </c>
      <c r="K309" t="n">
        <v>1.52</v>
      </c>
      <c r="L309" t="n">
        <v>16</v>
      </c>
      <c r="M309" t="b">
        <v>0</v>
      </c>
      <c r="N309" t="n">
        <v>0</v>
      </c>
      <c r="O309" t="b">
        <v>1</v>
      </c>
      <c r="P309" t="b">
        <v>0</v>
      </c>
      <c r="Q309" t="b">
        <v>0</v>
      </c>
    </row>
    <row r="310">
      <c r="A310" t="inlineStr">
        <is>
          <t>REQ00309</t>
        </is>
      </c>
      <c r="B310" t="inlineStr">
        <is>
          <t>6367005LXDRPFOIJ1F51</t>
        </is>
      </c>
      <c r="C310" t="inlineStr">
        <is>
          <t>signatory_change</t>
        </is>
      </c>
      <c r="D310" s="2" t="n">
        <v>46301.55069444444</v>
      </c>
      <c r="E310" s="2" t="n">
        <v>46302.50902777778</v>
      </c>
      <c r="F310" t="inlineStr">
        <is>
          <t>M2</t>
        </is>
      </c>
      <c r="G310" t="inlineStr">
        <is>
          <t>C2</t>
        </is>
      </c>
      <c r="H310" s="2" t="n">
        <v>46301.59930555556</v>
      </c>
      <c r="I310" s="2" t="n">
        <v>46301.60763888889</v>
      </c>
      <c r="J310" t="inlineStr">
        <is>
          <t>Completed</t>
        </is>
      </c>
      <c r="K310" t="n">
        <v>1.37</v>
      </c>
      <c r="L310" t="n">
        <v>8</v>
      </c>
      <c r="M310" t="b">
        <v>0</v>
      </c>
      <c r="N310" t="n">
        <v>0</v>
      </c>
      <c r="O310" t="b">
        <v>1</v>
      </c>
      <c r="P310" t="b">
        <v>0</v>
      </c>
      <c r="Q310" t="b">
        <v>0</v>
      </c>
    </row>
    <row r="311">
      <c r="A311" t="inlineStr">
        <is>
          <t>REQ00310</t>
        </is>
      </c>
      <c r="B311" t="inlineStr">
        <is>
          <t>254900XUKS5YXOTU8923</t>
        </is>
      </c>
      <c r="C311" t="inlineStr">
        <is>
          <t>new_account</t>
        </is>
      </c>
      <c r="D311" s="2" t="n">
        <v>46301.55208333334</v>
      </c>
      <c r="E311" s="2" t="n">
        <v>46303.46875</v>
      </c>
      <c r="F311" t="inlineStr">
        <is>
          <t>M4</t>
        </is>
      </c>
      <c r="G311" t="inlineStr">
        <is>
          <t>C2</t>
        </is>
      </c>
      <c r="H311" s="2" t="n">
        <v>46301.60208333333</v>
      </c>
      <c r="I311" s="2" t="n">
        <v>46301.72152777778</v>
      </c>
      <c r="J311" t="inlineStr">
        <is>
          <t>Completed</t>
        </is>
      </c>
      <c r="K311" t="n">
        <v>4.06</v>
      </c>
      <c r="L311" t="n">
        <v>16</v>
      </c>
      <c r="M311" t="b">
        <v>0</v>
      </c>
      <c r="N311" t="n">
        <v>0</v>
      </c>
      <c r="O311" t="b">
        <v>1</v>
      </c>
      <c r="P311" t="b">
        <v>0</v>
      </c>
      <c r="Q311" t="b">
        <v>1</v>
      </c>
    </row>
    <row r="312">
      <c r="A312" t="inlineStr">
        <is>
          <t>REQ00311</t>
        </is>
      </c>
      <c r="B312" t="inlineStr">
        <is>
          <t>984500EA74FYA5E59N74</t>
        </is>
      </c>
      <c r="C312" t="inlineStr">
        <is>
          <t>signatory_change</t>
        </is>
      </c>
      <c r="D312" s="2" t="n">
        <v>46301.55208333334</v>
      </c>
      <c r="E312" s="2" t="n">
        <v>46302.51041666666</v>
      </c>
      <c r="F312" t="inlineStr">
        <is>
          <t>M1</t>
        </is>
      </c>
      <c r="G312" t="inlineStr">
        <is>
          <t>C2</t>
        </is>
      </c>
      <c r="H312" s="2" t="n">
        <v>46301.59097222222</v>
      </c>
      <c r="I312" s="2" t="n">
        <v>46301.59930555556</v>
      </c>
      <c r="J312" t="inlineStr">
        <is>
          <t>Completed</t>
        </is>
      </c>
      <c r="K312" t="n">
        <v>1.13</v>
      </c>
      <c r="L312" t="n">
        <v>8</v>
      </c>
      <c r="M312" t="b">
        <v>0</v>
      </c>
      <c r="N312" t="n">
        <v>0</v>
      </c>
      <c r="O312" t="b">
        <v>1</v>
      </c>
      <c r="P312" t="b">
        <v>0</v>
      </c>
      <c r="Q312" t="b">
        <v>0</v>
      </c>
    </row>
    <row r="313">
      <c r="A313" t="inlineStr">
        <is>
          <t>REQ00312</t>
        </is>
      </c>
      <c r="B313" t="inlineStr">
        <is>
          <t>5493005MJS4773JAOK78</t>
        </is>
      </c>
      <c r="C313" t="inlineStr">
        <is>
          <t>new_account</t>
        </is>
      </c>
      <c r="D313" s="2" t="n">
        <v>46301.55416666667</v>
      </c>
      <c r="E313" s="2" t="n">
        <v>46303.47083333333</v>
      </c>
      <c r="F313" t="inlineStr">
        <is>
          <t>M5</t>
        </is>
      </c>
      <c r="G313" t="inlineStr">
        <is>
          <t>C1</t>
        </is>
      </c>
      <c r="H313" s="2" t="n">
        <v>46301.61111111111</v>
      </c>
      <c r="I313" s="2" t="n">
        <v>46301.73888888889</v>
      </c>
      <c r="J313" t="inlineStr">
        <is>
          <t>Completed</t>
        </is>
      </c>
      <c r="K313" t="n">
        <v>4.43</v>
      </c>
      <c r="L313" t="n">
        <v>16</v>
      </c>
      <c r="M313" t="b">
        <v>0</v>
      </c>
      <c r="N313" t="n">
        <v>1</v>
      </c>
      <c r="O313" t="b">
        <v>0</v>
      </c>
      <c r="P313" t="b">
        <v>1</v>
      </c>
      <c r="Q313" t="b">
        <v>1</v>
      </c>
    </row>
    <row r="314">
      <c r="A314" t="inlineStr">
        <is>
          <t>REQ00313</t>
        </is>
      </c>
      <c r="B314" t="inlineStr">
        <is>
          <t>724500HS0DQHNN01ZF03</t>
        </is>
      </c>
      <c r="C314" t="inlineStr">
        <is>
          <t>signatory_change</t>
        </is>
      </c>
      <c r="D314" s="2" t="n">
        <v>46301.55625</v>
      </c>
      <c r="E314" s="2" t="n">
        <v>46302.51458333333</v>
      </c>
      <c r="F314" t="inlineStr">
        <is>
          <t>M3</t>
        </is>
      </c>
      <c r="G314" t="inlineStr">
        <is>
          <t>C2</t>
        </is>
      </c>
      <c r="H314" s="2" t="n">
        <v>46301.61527777778</v>
      </c>
      <c r="I314" s="2" t="n">
        <v>46301.62152777778</v>
      </c>
      <c r="J314" t="inlineStr">
        <is>
          <t>Completed</t>
        </is>
      </c>
      <c r="K314" t="n">
        <v>1.57</v>
      </c>
      <c r="L314" t="n">
        <v>8</v>
      </c>
      <c r="M314" t="b">
        <v>0</v>
      </c>
      <c r="N314" t="n">
        <v>0</v>
      </c>
      <c r="O314" t="b">
        <v>1</v>
      </c>
      <c r="P314" t="b">
        <v>0</v>
      </c>
      <c r="Q314" t="b">
        <v>0</v>
      </c>
    </row>
    <row r="315">
      <c r="A315" t="inlineStr">
        <is>
          <t>REQ00314</t>
        </is>
      </c>
      <c r="B315" t="inlineStr">
        <is>
          <t>2549008UB0ORADNXJC70</t>
        </is>
      </c>
      <c r="C315" t="inlineStr">
        <is>
          <t>document_refresh</t>
        </is>
      </c>
      <c r="D315" s="2" t="n">
        <v>46301.55763888889</v>
      </c>
      <c r="E315" s="2" t="n">
        <v>46302.68263888889</v>
      </c>
      <c r="F315" t="inlineStr">
        <is>
          <t>M1</t>
        </is>
      </c>
      <c r="G315" t="inlineStr">
        <is>
          <t>C2</t>
        </is>
      </c>
      <c r="H315" s="2" t="n">
        <v>46301.60277777778</v>
      </c>
      <c r="I315" s="2" t="n">
        <v>46301.61319444444</v>
      </c>
      <c r="J315" t="inlineStr">
        <is>
          <t>Completed</t>
        </is>
      </c>
      <c r="K315" t="n">
        <v>1.33</v>
      </c>
      <c r="L315" t="n">
        <v>12</v>
      </c>
      <c r="M315" t="b">
        <v>0</v>
      </c>
      <c r="N315" t="n">
        <v>0</v>
      </c>
      <c r="O315" t="b">
        <v>1</v>
      </c>
      <c r="P315" t="b">
        <v>0</v>
      </c>
      <c r="Q315" t="b">
        <v>0</v>
      </c>
    </row>
    <row r="316">
      <c r="A316" t="inlineStr">
        <is>
          <t>REQ00315</t>
        </is>
      </c>
      <c r="B316" t="inlineStr">
        <is>
          <t>549300P0XBYC802JEN11</t>
        </is>
      </c>
      <c r="C316" t="inlineStr">
        <is>
          <t>document_refresh</t>
        </is>
      </c>
      <c r="D316" s="2" t="n">
        <v>46301.56666666667</v>
      </c>
      <c r="E316" s="2" t="n">
        <v>46302.69166666667</v>
      </c>
      <c r="F316" t="inlineStr">
        <is>
          <t>M2</t>
        </is>
      </c>
      <c r="G316" t="inlineStr">
        <is>
          <t>C2</t>
        </is>
      </c>
      <c r="H316" s="2" t="n">
        <v>46301.61666666667</v>
      </c>
      <c r="I316" s="2" t="n">
        <v>46302.44027777778</v>
      </c>
      <c r="J316" t="inlineStr">
        <is>
          <t>Completed</t>
        </is>
      </c>
      <c r="K316" t="n">
        <v>5.96</v>
      </c>
      <c r="L316" t="n">
        <v>12</v>
      </c>
      <c r="M316" t="b">
        <v>0</v>
      </c>
      <c r="N316" t="n">
        <v>0</v>
      </c>
      <c r="O316" t="b">
        <v>1</v>
      </c>
      <c r="P316" t="b">
        <v>0</v>
      </c>
      <c r="Q316" t="b">
        <v>1</v>
      </c>
    </row>
    <row r="317">
      <c r="A317" t="inlineStr">
        <is>
          <t>REQ00316</t>
        </is>
      </c>
      <c r="B317" t="inlineStr">
        <is>
          <t>7245001KID9JUOKIRP53</t>
        </is>
      </c>
      <c r="C317" t="inlineStr">
        <is>
          <t>signatory_change</t>
        </is>
      </c>
      <c r="D317" s="2" t="n">
        <v>46301.56736111111</v>
      </c>
      <c r="E317" s="2" t="n">
        <v>46302.52569444444</v>
      </c>
      <c r="F317" t="inlineStr">
        <is>
          <t>M6</t>
        </is>
      </c>
      <c r="G317" t="inlineStr">
        <is>
          <t>C1</t>
        </is>
      </c>
      <c r="H317" s="2" t="n">
        <v>46301.61527777778</v>
      </c>
      <c r="I317" s="2" t="n">
        <v>46301.63402777778</v>
      </c>
      <c r="J317" t="inlineStr">
        <is>
          <t>Completed</t>
        </is>
      </c>
      <c r="K317" t="n">
        <v>1.59</v>
      </c>
      <c r="L317" t="n">
        <v>8</v>
      </c>
      <c r="M317" t="b">
        <v>0</v>
      </c>
      <c r="N317" t="n">
        <v>1</v>
      </c>
      <c r="O317" t="b">
        <v>0</v>
      </c>
      <c r="P317" t="b">
        <v>1</v>
      </c>
      <c r="Q317" t="b">
        <v>0</v>
      </c>
    </row>
    <row r="318">
      <c r="A318" t="inlineStr">
        <is>
          <t>REQ00317</t>
        </is>
      </c>
      <c r="B318" t="inlineStr">
        <is>
          <t>3912009HHCS8DXKF0465</t>
        </is>
      </c>
      <c r="C318" t="inlineStr">
        <is>
          <t>document_refresh</t>
        </is>
      </c>
      <c r="D318" s="2" t="n">
        <v>46301.57152777778</v>
      </c>
      <c r="E318" s="2" t="n">
        <v>46302.69652777778</v>
      </c>
      <c r="F318" t="inlineStr">
        <is>
          <t>M4</t>
        </is>
      </c>
      <c r="G318" t="inlineStr">
        <is>
          <t>C1</t>
        </is>
      </c>
      <c r="H318" s="2" t="n">
        <v>46301.61319444444</v>
      </c>
      <c r="I318" s="2" t="n">
        <v>46302.41944444444</v>
      </c>
      <c r="J318" t="inlineStr">
        <is>
          <t>Completed</t>
        </is>
      </c>
      <c r="K318" t="n">
        <v>5.35</v>
      </c>
      <c r="L318" t="n">
        <v>12</v>
      </c>
      <c r="M318" t="b">
        <v>0</v>
      </c>
      <c r="N318" t="n">
        <v>0</v>
      </c>
      <c r="O318" t="b">
        <v>1</v>
      </c>
      <c r="P318" t="b">
        <v>0</v>
      </c>
      <c r="Q318" t="b">
        <v>1</v>
      </c>
    </row>
    <row r="319">
      <c r="A319" t="inlineStr">
        <is>
          <t>REQ00318</t>
        </is>
      </c>
      <c r="B319" t="inlineStr">
        <is>
          <t>213800WVMN4PDX5TOF36</t>
        </is>
      </c>
      <c r="C319" t="inlineStr">
        <is>
          <t>new_account</t>
        </is>
      </c>
      <c r="D319" s="2" t="n">
        <v>46301.57291666666</v>
      </c>
      <c r="E319" s="2" t="n">
        <v>46303.48958333334</v>
      </c>
      <c r="F319" t="inlineStr">
        <is>
          <t>M1</t>
        </is>
      </c>
      <c r="G319" t="inlineStr">
        <is>
          <t>C3</t>
        </is>
      </c>
      <c r="H319" s="2" t="n">
        <v>46301.62847222222</v>
      </c>
      <c r="I319" s="2" t="n">
        <v>46302.43888888889</v>
      </c>
      <c r="J319" t="inlineStr">
        <is>
          <t>Completed</t>
        </is>
      </c>
      <c r="K319" t="n">
        <v>5.79</v>
      </c>
      <c r="L319" t="n">
        <v>16</v>
      </c>
      <c r="M319" t="b">
        <v>0</v>
      </c>
      <c r="N319" t="n">
        <v>0</v>
      </c>
      <c r="O319" t="b">
        <v>1</v>
      </c>
      <c r="P319" t="b">
        <v>0</v>
      </c>
      <c r="Q319" t="b">
        <v>1</v>
      </c>
    </row>
    <row r="320">
      <c r="A320" t="inlineStr">
        <is>
          <t>REQ00319</t>
        </is>
      </c>
      <c r="B320" t="inlineStr">
        <is>
          <t>54930048G50KXIONCE06</t>
        </is>
      </c>
      <c r="C320" t="inlineStr">
        <is>
          <t>data_amendment</t>
        </is>
      </c>
      <c r="D320" s="2" t="n">
        <v>46301.57430555556</v>
      </c>
      <c r="E320" s="2" t="n">
        <v>46302.53263888889</v>
      </c>
      <c r="F320" t="inlineStr">
        <is>
          <t>M5</t>
        </is>
      </c>
      <c r="G320" t="inlineStr">
        <is>
          <t>C3</t>
        </is>
      </c>
      <c r="H320" s="2" t="n">
        <v>46301.61875</v>
      </c>
      <c r="I320" s="2" t="n">
        <v>46302.49583333333</v>
      </c>
      <c r="J320" t="inlineStr">
        <is>
          <t>Completed</t>
        </is>
      </c>
      <c r="K320" t="n">
        <v>7.11</v>
      </c>
      <c r="L320" t="n">
        <v>8</v>
      </c>
      <c r="M320" t="b">
        <v>0</v>
      </c>
      <c r="N320" t="n">
        <v>0</v>
      </c>
      <c r="O320" t="b">
        <v>1</v>
      </c>
      <c r="P320" t="b">
        <v>0</v>
      </c>
      <c r="Q320" t="b">
        <v>1</v>
      </c>
    </row>
    <row r="321">
      <c r="A321" t="inlineStr">
        <is>
          <t>REQ00320</t>
        </is>
      </c>
      <c r="B321" t="inlineStr">
        <is>
          <t>969500AZGAKDK3ULA364</t>
        </is>
      </c>
      <c r="C321" t="inlineStr">
        <is>
          <t>data_amendment</t>
        </is>
      </c>
      <c r="D321" s="2" t="n">
        <v>46301.57638888889</v>
      </c>
      <c r="E321" s="2" t="n">
        <v>46302.53472222222</v>
      </c>
      <c r="F321" t="inlineStr">
        <is>
          <t>M4</t>
        </is>
      </c>
      <c r="G321" t="inlineStr">
        <is>
          <t>C3</t>
        </is>
      </c>
      <c r="H321" s="2" t="n">
        <v>46301.62083333333</v>
      </c>
      <c r="I321" s="2" t="n">
        <v>46301.62638888889</v>
      </c>
      <c r="J321" t="inlineStr">
        <is>
          <t>Completed</t>
        </is>
      </c>
      <c r="K321" t="n">
        <v>1.2</v>
      </c>
      <c r="L321" t="n">
        <v>8</v>
      </c>
      <c r="M321" t="b">
        <v>0</v>
      </c>
      <c r="N321" t="n">
        <v>0</v>
      </c>
      <c r="O321" t="b">
        <v>1</v>
      </c>
      <c r="P321" t="b">
        <v>0</v>
      </c>
      <c r="Q321" t="b">
        <v>0</v>
      </c>
    </row>
    <row r="322">
      <c r="A322" t="inlineStr">
        <is>
          <t>REQ00321</t>
        </is>
      </c>
      <c r="B322" t="inlineStr">
        <is>
          <t>9845003EBBTBP0752C61</t>
        </is>
      </c>
      <c r="C322" t="inlineStr">
        <is>
          <t>signatory_change</t>
        </is>
      </c>
      <c r="D322" s="2" t="n">
        <v>46301.58402777778</v>
      </c>
      <c r="E322" s="2" t="n">
        <v>46302.54236111111</v>
      </c>
      <c r="F322" t="inlineStr">
        <is>
          <t>M6</t>
        </is>
      </c>
      <c r="G322" t="inlineStr">
        <is>
          <t>C3</t>
        </is>
      </c>
      <c r="H322" s="2" t="n">
        <v>46301.63055555556</v>
      </c>
      <c r="I322" s="2" t="n">
        <v>46301.74236111111</v>
      </c>
      <c r="J322" t="inlineStr">
        <is>
          <t>Completed</t>
        </is>
      </c>
      <c r="K322" t="n">
        <v>3.79</v>
      </c>
      <c r="L322" t="n">
        <v>8</v>
      </c>
      <c r="M322" t="b">
        <v>0</v>
      </c>
      <c r="N322" t="n">
        <v>0</v>
      </c>
      <c r="O322" t="b">
        <v>1</v>
      </c>
      <c r="P322" t="b">
        <v>0</v>
      </c>
      <c r="Q322" t="b">
        <v>1</v>
      </c>
    </row>
    <row r="323">
      <c r="A323" t="inlineStr">
        <is>
          <t>REQ00322</t>
        </is>
      </c>
      <c r="B323" t="inlineStr">
        <is>
          <t>549300N15O6KGI4DP497</t>
        </is>
      </c>
      <c r="C323" t="inlineStr">
        <is>
          <t>new_account</t>
        </is>
      </c>
      <c r="D323" s="2" t="n">
        <v>46301.58680555555</v>
      </c>
      <c r="E323" s="2" t="n">
        <v>46303.50347222222</v>
      </c>
      <c r="F323" t="inlineStr">
        <is>
          <t>M3</t>
        </is>
      </c>
      <c r="G323" t="inlineStr">
        <is>
          <t>C1</t>
        </is>
      </c>
      <c r="H323" s="2" t="n">
        <v>46301.64236111111</v>
      </c>
      <c r="I323" s="2" t="n">
        <v>46302.40555555555</v>
      </c>
      <c r="J323" t="inlineStr">
        <is>
          <t>Completed</t>
        </is>
      </c>
      <c r="K323" t="n">
        <v>4.66</v>
      </c>
      <c r="L323" t="n">
        <v>16</v>
      </c>
      <c r="M323" t="b">
        <v>0</v>
      </c>
      <c r="N323" t="n">
        <v>0</v>
      </c>
      <c r="O323" t="b">
        <v>1</v>
      </c>
      <c r="P323" t="b">
        <v>0</v>
      </c>
      <c r="Q323" t="b">
        <v>1</v>
      </c>
    </row>
    <row r="324">
      <c r="A324" t="inlineStr">
        <is>
          <t>REQ00323</t>
        </is>
      </c>
      <c r="B324" t="inlineStr">
        <is>
          <t>724500DC0PCT1NQGPZ65</t>
        </is>
      </c>
      <c r="C324" t="inlineStr">
        <is>
          <t>new_account</t>
        </is>
      </c>
      <c r="D324" s="2" t="n">
        <v>46301.60208333333</v>
      </c>
      <c r="E324" s="2" t="n">
        <v>46303.51875</v>
      </c>
      <c r="F324" t="inlineStr">
        <is>
          <t>M2</t>
        </is>
      </c>
      <c r="G324" t="inlineStr">
        <is>
          <t>C2</t>
        </is>
      </c>
      <c r="H324" s="2" t="n">
        <v>46301.64930555555</v>
      </c>
      <c r="I324" s="2" t="n">
        <v>46301.65833333333</v>
      </c>
      <c r="J324" t="inlineStr">
        <is>
          <t>Completed</t>
        </is>
      </c>
      <c r="K324" t="n">
        <v>1.36</v>
      </c>
      <c r="L324" t="n">
        <v>16</v>
      </c>
      <c r="M324" t="b">
        <v>0</v>
      </c>
      <c r="N324" t="n">
        <v>0</v>
      </c>
      <c r="O324" t="b">
        <v>1</v>
      </c>
      <c r="P324" t="b">
        <v>0</v>
      </c>
      <c r="Q324" t="b">
        <v>0</v>
      </c>
    </row>
    <row r="325">
      <c r="A325" t="inlineStr">
        <is>
          <t>REQ00324</t>
        </is>
      </c>
      <c r="B325" t="inlineStr">
        <is>
          <t>335800Z3OZVX37OPLI87</t>
        </is>
      </c>
      <c r="C325" t="inlineStr">
        <is>
          <t>data_amendment</t>
        </is>
      </c>
      <c r="D325" s="2" t="n">
        <v>46301.61041666667</v>
      </c>
      <c r="E325" s="2" t="n">
        <v>46302.56875</v>
      </c>
      <c r="F325" t="inlineStr">
        <is>
          <t>M5</t>
        </is>
      </c>
      <c r="G325" t="inlineStr">
        <is>
          <t>C1</t>
        </is>
      </c>
      <c r="H325" s="2" t="n">
        <v>46301.62777777778</v>
      </c>
      <c r="I325" s="2" t="n">
        <v>46301.63125</v>
      </c>
      <c r="J325" t="inlineStr">
        <is>
          <t>Completed</t>
        </is>
      </c>
      <c r="K325" t="n">
        <v>0.49</v>
      </c>
      <c r="L325" t="n">
        <v>8</v>
      </c>
      <c r="M325" t="b">
        <v>0</v>
      </c>
      <c r="N325" t="n">
        <v>0</v>
      </c>
      <c r="O325" t="b">
        <v>1</v>
      </c>
      <c r="P325" t="b">
        <v>0</v>
      </c>
      <c r="Q325" t="b">
        <v>0</v>
      </c>
    </row>
    <row r="326">
      <c r="A326" t="inlineStr">
        <is>
          <t>REQ00325</t>
        </is>
      </c>
      <c r="B326" t="inlineStr">
        <is>
          <t>549300AQ2KMHJRTPXH21</t>
        </is>
      </c>
      <c r="C326" t="inlineStr">
        <is>
          <t>signatory_change</t>
        </is>
      </c>
      <c r="D326" s="2" t="n">
        <v>46301.61111111111</v>
      </c>
      <c r="E326" s="2" t="n">
        <v>46302.56944444445</v>
      </c>
      <c r="F326" t="inlineStr">
        <is>
          <t>M4</t>
        </is>
      </c>
      <c r="G326" t="inlineStr">
        <is>
          <t>C1</t>
        </is>
      </c>
      <c r="H326" s="2" t="n">
        <v>46301.64027777778</v>
      </c>
      <c r="I326" s="2" t="n">
        <v>46302.43888888889</v>
      </c>
      <c r="J326" t="inlineStr">
        <is>
          <t>Completed</t>
        </is>
      </c>
      <c r="K326" t="n">
        <v>4.86</v>
      </c>
      <c r="L326" t="n">
        <v>8</v>
      </c>
      <c r="M326" t="b">
        <v>0</v>
      </c>
      <c r="N326" t="n">
        <v>0</v>
      </c>
      <c r="O326" t="b">
        <v>1</v>
      </c>
      <c r="P326" t="b">
        <v>0</v>
      </c>
      <c r="Q326" t="b">
        <v>1</v>
      </c>
    </row>
    <row r="327">
      <c r="A327" t="inlineStr">
        <is>
          <t>REQ00326</t>
        </is>
      </c>
      <c r="B327" t="inlineStr">
        <is>
          <t>2138008CTY34VDY46X74</t>
        </is>
      </c>
      <c r="C327" t="inlineStr">
        <is>
          <t>new_account</t>
        </is>
      </c>
      <c r="D327" s="2" t="n">
        <v>46301.61388888889</v>
      </c>
      <c r="E327" s="2" t="n">
        <v>46303.53055555555</v>
      </c>
      <c r="F327" t="inlineStr">
        <is>
          <t>M5</t>
        </is>
      </c>
      <c r="G327" t="inlineStr">
        <is>
          <t>C1</t>
        </is>
      </c>
      <c r="H327" s="2" t="n">
        <v>46301.65625</v>
      </c>
      <c r="I327" s="2" t="n">
        <v>46301.66388888889</v>
      </c>
      <c r="J327" t="inlineStr">
        <is>
          <t>Completed</t>
        </is>
      </c>
      <c r="K327" t="n">
        <v>1.2</v>
      </c>
      <c r="L327" t="n">
        <v>16</v>
      </c>
      <c r="M327" t="b">
        <v>0</v>
      </c>
      <c r="N327" t="n">
        <v>0</v>
      </c>
      <c r="O327" t="b">
        <v>1</v>
      </c>
      <c r="P327" t="b">
        <v>0</v>
      </c>
      <c r="Q327" t="b">
        <v>0</v>
      </c>
    </row>
    <row r="328">
      <c r="A328" t="inlineStr">
        <is>
          <t>REQ00327</t>
        </is>
      </c>
      <c r="B328" t="inlineStr">
        <is>
          <t>529900RPBX6EPE1XNU32</t>
        </is>
      </c>
      <c r="C328" t="inlineStr">
        <is>
          <t>document_refresh</t>
        </is>
      </c>
      <c r="D328" s="2" t="n">
        <v>46301.61388888889</v>
      </c>
      <c r="E328" s="2" t="n">
        <v>46302.73888888889</v>
      </c>
      <c r="F328" t="inlineStr">
        <is>
          <t>M1</t>
        </is>
      </c>
      <c r="G328" t="inlineStr">
        <is>
          <t>C3</t>
        </is>
      </c>
      <c r="H328" s="2" t="n">
        <v>46301.64513888889</v>
      </c>
      <c r="I328" s="2" t="n">
        <v>46302.40763888889</v>
      </c>
      <c r="J328" t="inlineStr">
        <is>
          <t>Completed</t>
        </is>
      </c>
      <c r="K328" t="n">
        <v>4.04</v>
      </c>
      <c r="L328" t="n">
        <v>12</v>
      </c>
      <c r="M328" t="b">
        <v>0</v>
      </c>
      <c r="N328" t="n">
        <v>0</v>
      </c>
      <c r="O328" t="b">
        <v>1</v>
      </c>
      <c r="P328" t="b">
        <v>0</v>
      </c>
      <c r="Q328" t="b">
        <v>1</v>
      </c>
    </row>
    <row r="329">
      <c r="A329" t="inlineStr">
        <is>
          <t>REQ00328</t>
        </is>
      </c>
      <c r="B329" t="inlineStr">
        <is>
          <t>549300GLLPXSYTBPEC60</t>
        </is>
      </c>
      <c r="C329" t="inlineStr">
        <is>
          <t>new_account</t>
        </is>
      </c>
      <c r="D329" s="2" t="n">
        <v>46301.61666666667</v>
      </c>
      <c r="E329" s="2" t="n">
        <v>46303.53333333333</v>
      </c>
      <c r="F329" t="inlineStr">
        <is>
          <t>M6</t>
        </is>
      </c>
      <c r="G329" t="inlineStr">
        <is>
          <t>C1</t>
        </is>
      </c>
      <c r="H329" s="2" t="n">
        <v>46301.66944444444</v>
      </c>
      <c r="I329" s="2" t="n">
        <v>46302.55277777778</v>
      </c>
      <c r="J329" t="inlineStr">
        <is>
          <t>Completed</t>
        </is>
      </c>
      <c r="K329" t="n">
        <v>7.46</v>
      </c>
      <c r="L329" t="n">
        <v>16</v>
      </c>
      <c r="M329" t="b">
        <v>0</v>
      </c>
      <c r="N329" t="n">
        <v>0</v>
      </c>
      <c r="O329" t="b">
        <v>1</v>
      </c>
      <c r="P329" t="b">
        <v>0</v>
      </c>
      <c r="Q329" t="b">
        <v>1</v>
      </c>
    </row>
    <row r="330">
      <c r="A330" t="inlineStr">
        <is>
          <t>REQ00329</t>
        </is>
      </c>
      <c r="B330" t="inlineStr">
        <is>
          <t>213800SNRHJV729TFC72</t>
        </is>
      </c>
      <c r="C330" t="inlineStr">
        <is>
          <t>data_amendment</t>
        </is>
      </c>
      <c r="D330" s="2" t="n">
        <v>46301.62013888889</v>
      </c>
      <c r="E330" s="2" t="n">
        <v>46302.57847222222</v>
      </c>
      <c r="F330" t="inlineStr">
        <is>
          <t>M4</t>
        </is>
      </c>
      <c r="G330" t="inlineStr">
        <is>
          <t>C3</t>
        </is>
      </c>
      <c r="H330" s="2" t="n">
        <v>46301.65138888889</v>
      </c>
      <c r="I330" s="2" t="n">
        <v>46301.65416666667</v>
      </c>
      <c r="J330" t="inlineStr">
        <is>
          <t>Completed</t>
        </is>
      </c>
      <c r="K330" t="n">
        <v>0.82</v>
      </c>
      <c r="L330" t="n">
        <v>8</v>
      </c>
      <c r="M330" t="b">
        <v>0</v>
      </c>
      <c r="N330" t="n">
        <v>0</v>
      </c>
      <c r="O330" t="b">
        <v>1</v>
      </c>
      <c r="P330" t="b">
        <v>0</v>
      </c>
      <c r="Q330" t="b">
        <v>0</v>
      </c>
    </row>
    <row r="331">
      <c r="A331" t="inlineStr">
        <is>
          <t>REQ00330</t>
        </is>
      </c>
      <c r="B331" t="inlineStr">
        <is>
          <t>5493000ROQIC1OY61346</t>
        </is>
      </c>
      <c r="C331" t="inlineStr">
        <is>
          <t>document_refresh</t>
        </is>
      </c>
      <c r="D331" s="2" t="n">
        <v>46301.64027777778</v>
      </c>
      <c r="E331" s="2" t="n">
        <v>46303.39027777778</v>
      </c>
      <c r="F331" t="inlineStr">
        <is>
          <t>M3</t>
        </is>
      </c>
      <c r="G331" t="inlineStr">
        <is>
          <t>C2</t>
        </is>
      </c>
      <c r="H331" s="2" t="n">
        <v>46301.65277777778</v>
      </c>
      <c r="I331" s="2" t="n">
        <v>46302.37777777778</v>
      </c>
      <c r="J331" t="inlineStr">
        <is>
          <t>Completed</t>
        </is>
      </c>
      <c r="K331" t="n">
        <v>2.69</v>
      </c>
      <c r="L331" t="n">
        <v>12</v>
      </c>
      <c r="M331" t="b">
        <v>0</v>
      </c>
      <c r="N331" t="n">
        <v>0</v>
      </c>
      <c r="O331" t="b">
        <v>1</v>
      </c>
      <c r="P331" t="b">
        <v>0</v>
      </c>
      <c r="Q331" t="b">
        <v>1</v>
      </c>
    </row>
    <row r="332">
      <c r="A332" t="inlineStr">
        <is>
          <t>REQ00331</t>
        </is>
      </c>
      <c r="B332" t="inlineStr">
        <is>
          <t>984500F4584EO6K36C59</t>
        </is>
      </c>
      <c r="C332" t="inlineStr">
        <is>
          <t>document_refresh</t>
        </is>
      </c>
      <c r="D332" s="2" t="n">
        <v>46301.65069444444</v>
      </c>
      <c r="E332" s="2" t="n">
        <v>46303.40069444444</v>
      </c>
      <c r="F332" t="inlineStr">
        <is>
          <t>M1</t>
        </is>
      </c>
      <c r="G332" t="inlineStr">
        <is>
          <t>C2</t>
        </is>
      </c>
      <c r="H332" s="2" t="n">
        <v>46301.66041666667</v>
      </c>
      <c r="I332" s="2" t="n">
        <v>46301.66736111111</v>
      </c>
      <c r="J332" t="inlineStr">
        <is>
          <t>Completed</t>
        </is>
      </c>
      <c r="K332" t="n">
        <v>0.4</v>
      </c>
      <c r="L332" t="n">
        <v>12</v>
      </c>
      <c r="M332" t="b">
        <v>0</v>
      </c>
      <c r="N332" t="n">
        <v>0</v>
      </c>
      <c r="O332" t="b">
        <v>1</v>
      </c>
      <c r="P332" t="b">
        <v>0</v>
      </c>
      <c r="Q332" t="b">
        <v>0</v>
      </c>
    </row>
    <row r="333">
      <c r="A333" t="inlineStr">
        <is>
          <t>REQ00332</t>
        </is>
      </c>
      <c r="B333" t="inlineStr">
        <is>
          <t>969500G2NS8J69A9KF19</t>
        </is>
      </c>
      <c r="C333" t="inlineStr">
        <is>
          <t>data_amendment</t>
        </is>
      </c>
      <c r="D333" s="2" t="n">
        <v>46301.65138888889</v>
      </c>
      <c r="E333" s="2" t="n">
        <v>46302.60972222222</v>
      </c>
      <c r="F333" t="inlineStr">
        <is>
          <t>M2</t>
        </is>
      </c>
      <c r="G333" t="inlineStr">
        <is>
          <t>C1</t>
        </is>
      </c>
      <c r="H333" s="2" t="n">
        <v>46301.66041666667</v>
      </c>
      <c r="I333" s="2" t="n">
        <v>46301.66805555556</v>
      </c>
      <c r="J333" t="inlineStr">
        <is>
          <t>Completed</t>
        </is>
      </c>
      <c r="K333" t="n">
        <v>0.4</v>
      </c>
      <c r="L333" t="n">
        <v>8</v>
      </c>
      <c r="M333" t="b">
        <v>0</v>
      </c>
      <c r="N333" t="n">
        <v>0</v>
      </c>
      <c r="O333" t="b">
        <v>1</v>
      </c>
      <c r="P333" t="b">
        <v>0</v>
      </c>
      <c r="Q333" t="b">
        <v>0</v>
      </c>
    </row>
    <row r="334">
      <c r="A334" t="inlineStr">
        <is>
          <t>REQ00333</t>
        </is>
      </c>
      <c r="B334" t="inlineStr">
        <is>
          <t>549300L6MXED37UMCV23</t>
        </is>
      </c>
      <c r="C334" t="inlineStr">
        <is>
          <t>document_refresh</t>
        </is>
      </c>
      <c r="D334" s="2" t="n">
        <v>46301.66180555556</v>
      </c>
      <c r="E334" s="2" t="n">
        <v>46303.41180555556</v>
      </c>
      <c r="F334" t="inlineStr">
        <is>
          <t>M4</t>
        </is>
      </c>
      <c r="G334" t="inlineStr">
        <is>
          <t>C2</t>
        </is>
      </c>
      <c r="H334" s="2" t="n">
        <v>46301.67708333334</v>
      </c>
      <c r="I334" s="2" t="n">
        <v>46301.68263888889</v>
      </c>
      <c r="J334" t="inlineStr">
        <is>
          <t>Completed</t>
        </is>
      </c>
      <c r="K334" t="n">
        <v>0.5</v>
      </c>
      <c r="L334" t="n">
        <v>12</v>
      </c>
      <c r="M334" t="b">
        <v>0</v>
      </c>
      <c r="N334" t="n">
        <v>0</v>
      </c>
      <c r="O334" t="b">
        <v>1</v>
      </c>
      <c r="P334" t="b">
        <v>0</v>
      </c>
      <c r="Q334" t="b">
        <v>0</v>
      </c>
    </row>
    <row r="335">
      <c r="A335" t="inlineStr">
        <is>
          <t>REQ00334</t>
        </is>
      </c>
      <c r="B335" t="inlineStr">
        <is>
          <t>724500MSOSS0OFZAGW84</t>
        </is>
      </c>
      <c r="C335" t="inlineStr">
        <is>
          <t>signatory_change</t>
        </is>
      </c>
      <c r="D335" s="2" t="n">
        <v>46301.66875</v>
      </c>
      <c r="E335" s="2" t="n">
        <v>46302.62708333333</v>
      </c>
      <c r="F335" t="inlineStr">
        <is>
          <t>M3</t>
        </is>
      </c>
      <c r="G335" t="inlineStr">
        <is>
          <t>C1</t>
        </is>
      </c>
      <c r="H335" s="2" t="n">
        <v>46301.69166666667</v>
      </c>
      <c r="I335" s="2" t="n">
        <v>46302.47638888889</v>
      </c>
      <c r="J335" t="inlineStr">
        <is>
          <t>Completed</t>
        </is>
      </c>
      <c r="K335" t="n">
        <v>4.38</v>
      </c>
      <c r="L335" t="n">
        <v>8</v>
      </c>
      <c r="M335" t="b">
        <v>0</v>
      </c>
      <c r="N335" t="n">
        <v>0</v>
      </c>
      <c r="O335" t="b">
        <v>1</v>
      </c>
      <c r="P335" t="b">
        <v>0</v>
      </c>
      <c r="Q335" t="b">
        <v>1</v>
      </c>
    </row>
    <row r="336">
      <c r="A336" t="inlineStr">
        <is>
          <t>REQ00335</t>
        </is>
      </c>
      <c r="B336" t="inlineStr">
        <is>
          <t>984500ACE3D84I446D66</t>
        </is>
      </c>
      <c r="C336" t="inlineStr">
        <is>
          <t>document_refresh</t>
        </is>
      </c>
      <c r="D336" s="2" t="n">
        <v>46301.67430555556</v>
      </c>
      <c r="E336" s="2" t="n">
        <v>46303.42430555556</v>
      </c>
      <c r="F336" t="inlineStr">
        <is>
          <t>M5</t>
        </is>
      </c>
      <c r="G336" t="inlineStr">
        <is>
          <t>C1</t>
        </is>
      </c>
      <c r="H336" s="2" t="n">
        <v>46301.69097222222</v>
      </c>
      <c r="I336" s="2" t="n">
        <v>46301.69652777778</v>
      </c>
      <c r="J336" t="inlineStr">
        <is>
          <t>Completed</t>
        </is>
      </c>
      <c r="K336" t="n">
        <v>0.54</v>
      </c>
      <c r="L336" t="n">
        <v>12</v>
      </c>
      <c r="M336" t="b">
        <v>0</v>
      </c>
      <c r="N336" t="n">
        <v>0</v>
      </c>
      <c r="O336" t="b">
        <v>1</v>
      </c>
      <c r="P336" t="b">
        <v>0</v>
      </c>
      <c r="Q336" t="b">
        <v>0</v>
      </c>
    </row>
    <row r="337">
      <c r="A337" t="inlineStr">
        <is>
          <t>REQ00336</t>
        </is>
      </c>
      <c r="B337" t="inlineStr">
        <is>
          <t>98450040E0404F957716</t>
        </is>
      </c>
      <c r="C337" t="inlineStr">
        <is>
          <t>document_refresh</t>
        </is>
      </c>
      <c r="D337" s="2" t="n">
        <v>46301.67847222222</v>
      </c>
      <c r="E337" s="2" t="n">
        <v>46303.42847222222</v>
      </c>
      <c r="F337" t="inlineStr">
        <is>
          <t>M1</t>
        </is>
      </c>
      <c r="G337" t="inlineStr">
        <is>
          <t>C3</t>
        </is>
      </c>
      <c r="H337" s="2" t="n">
        <v>46301.69305555556</v>
      </c>
      <c r="I337" s="2" t="n">
        <v>46301.69930555556</v>
      </c>
      <c r="J337" t="inlineStr">
        <is>
          <t>Completed</t>
        </is>
      </c>
      <c r="K337" t="n">
        <v>0.5</v>
      </c>
      <c r="L337" t="n">
        <v>12</v>
      </c>
      <c r="M337" t="b">
        <v>0</v>
      </c>
      <c r="N337" t="n">
        <v>0</v>
      </c>
      <c r="O337" t="b">
        <v>1</v>
      </c>
      <c r="P337" t="b">
        <v>0</v>
      </c>
      <c r="Q337" t="b">
        <v>0</v>
      </c>
    </row>
    <row r="338">
      <c r="A338" t="inlineStr">
        <is>
          <t>REQ00337</t>
        </is>
      </c>
      <c r="B338" t="inlineStr">
        <is>
          <t>254900S7OTOH3P1HGX81</t>
        </is>
      </c>
      <c r="C338" t="inlineStr">
        <is>
          <t>signatory_change</t>
        </is>
      </c>
      <c r="D338" s="2" t="n">
        <v>46301.68194444444</v>
      </c>
      <c r="E338" s="2" t="n">
        <v>46302.64027777778</v>
      </c>
      <c r="F338" t="inlineStr">
        <is>
          <t>M2</t>
        </is>
      </c>
      <c r="G338" t="inlineStr">
        <is>
          <t>C2</t>
        </is>
      </c>
      <c r="H338" s="2" t="n">
        <v>46301.70416666667</v>
      </c>
      <c r="I338" s="2" t="n">
        <v>46301.71111111111</v>
      </c>
      <c r="J338" t="inlineStr">
        <is>
          <t>Completed</t>
        </is>
      </c>
      <c r="K338" t="n">
        <v>0.7</v>
      </c>
      <c r="L338" t="n">
        <v>8</v>
      </c>
      <c r="M338" t="b">
        <v>0</v>
      </c>
      <c r="N338" t="n">
        <v>0</v>
      </c>
      <c r="O338" t="b">
        <v>1</v>
      </c>
      <c r="P338" t="b">
        <v>0</v>
      </c>
      <c r="Q338" t="b">
        <v>0</v>
      </c>
    </row>
    <row r="339">
      <c r="A339" t="inlineStr">
        <is>
          <t>REQ00338</t>
        </is>
      </c>
      <c r="B339" t="inlineStr">
        <is>
          <t>549300MGPJG27P7WLN33</t>
        </is>
      </c>
      <c r="C339" t="inlineStr">
        <is>
          <t>new_account</t>
        </is>
      </c>
      <c r="D339" s="2" t="n">
        <v>46301.69027777778</v>
      </c>
      <c r="E339" s="2" t="n">
        <v>46303.60694444444</v>
      </c>
      <c r="F339" t="inlineStr">
        <is>
          <t>M6</t>
        </is>
      </c>
      <c r="G339" t="inlineStr">
        <is>
          <t>C1</t>
        </is>
      </c>
      <c r="H339" s="2" t="n">
        <v>46301.72986111111</v>
      </c>
      <c r="I339" s="2" t="n">
        <v>46302.49513888889</v>
      </c>
      <c r="J339" t="inlineStr">
        <is>
          <t>Completed</t>
        </is>
      </c>
      <c r="K339" t="n">
        <v>4.32</v>
      </c>
      <c r="L339" t="n">
        <v>16</v>
      </c>
      <c r="M339" t="b">
        <v>0</v>
      </c>
      <c r="N339" t="n">
        <v>0</v>
      </c>
      <c r="O339" t="b">
        <v>1</v>
      </c>
      <c r="P339" t="b">
        <v>0</v>
      </c>
      <c r="Q339" t="b">
        <v>1</v>
      </c>
    </row>
    <row r="340">
      <c r="A340" t="inlineStr">
        <is>
          <t>REQ00339</t>
        </is>
      </c>
      <c r="B340" t="inlineStr">
        <is>
          <t>5493006HGFJY0VR2ZB66</t>
        </is>
      </c>
      <c r="C340" t="inlineStr">
        <is>
          <t>new_account</t>
        </is>
      </c>
      <c r="D340" s="2" t="n">
        <v>46301.69791666666</v>
      </c>
      <c r="E340" s="2" t="n">
        <v>46303.61458333334</v>
      </c>
      <c r="F340" t="inlineStr">
        <is>
          <t>M4</t>
        </is>
      </c>
      <c r="G340" t="inlineStr">
        <is>
          <t>C1</t>
        </is>
      </c>
      <c r="H340" s="2" t="n">
        <v>46301.72013888889</v>
      </c>
      <c r="I340" s="2" t="n">
        <v>46301.73263888889</v>
      </c>
      <c r="J340" t="inlineStr">
        <is>
          <t>Completed</t>
        </is>
      </c>
      <c r="K340" t="n">
        <v>0.84</v>
      </c>
      <c r="L340" t="n">
        <v>16</v>
      </c>
      <c r="M340" t="b">
        <v>0</v>
      </c>
      <c r="N340" t="n">
        <v>0</v>
      </c>
      <c r="O340" t="b">
        <v>1</v>
      </c>
      <c r="P340" t="b">
        <v>0</v>
      </c>
      <c r="Q340" t="b">
        <v>0</v>
      </c>
    </row>
    <row r="341">
      <c r="A341" t="inlineStr">
        <is>
          <t>REQ00340</t>
        </is>
      </c>
      <c r="B341" t="inlineStr">
        <is>
          <t>969500CYMK6S969L2O30</t>
        </is>
      </c>
      <c r="C341" t="inlineStr">
        <is>
          <t>signatory_change</t>
        </is>
      </c>
      <c r="D341" s="2" t="n">
        <v>46301.7</v>
      </c>
      <c r="E341" s="2" t="n">
        <v>46302.65833333333</v>
      </c>
      <c r="F341" t="inlineStr">
        <is>
          <t>M5</t>
        </is>
      </c>
      <c r="G341" t="inlineStr">
        <is>
          <t>C3</t>
        </is>
      </c>
      <c r="H341" s="2" t="n">
        <v>46301.72569444445</v>
      </c>
      <c r="I341" s="2" t="n">
        <v>46302.47083333333</v>
      </c>
      <c r="J341" t="inlineStr">
        <is>
          <t>Completed</t>
        </is>
      </c>
      <c r="K341" t="n">
        <v>3.5</v>
      </c>
      <c r="L341" t="n">
        <v>8</v>
      </c>
      <c r="M341" t="b">
        <v>0</v>
      </c>
      <c r="N341" t="n">
        <v>0</v>
      </c>
      <c r="O341" t="b">
        <v>1</v>
      </c>
      <c r="P341" t="b">
        <v>0</v>
      </c>
      <c r="Q341" t="b">
        <v>1</v>
      </c>
    </row>
    <row r="342">
      <c r="A342" t="inlineStr">
        <is>
          <t>REQ00341</t>
        </is>
      </c>
      <c r="B342" t="inlineStr">
        <is>
          <t>549300U8IWPYJC7SSF14</t>
        </is>
      </c>
      <c r="C342" t="inlineStr">
        <is>
          <t>new_account</t>
        </is>
      </c>
      <c r="D342" s="2" t="n">
        <v>46301.70069444444</v>
      </c>
      <c r="E342" s="2" t="n">
        <v>46303.61736111111</v>
      </c>
      <c r="F342" t="inlineStr">
        <is>
          <t>M3</t>
        </is>
      </c>
      <c r="G342" t="inlineStr">
        <is>
          <t>C2</t>
        </is>
      </c>
      <c r="H342" s="2" t="n">
        <v>46301.72638888889</v>
      </c>
      <c r="I342" s="2" t="n">
        <v>46301.73819444444</v>
      </c>
      <c r="J342" t="inlineStr">
        <is>
          <t>Completed</t>
        </is>
      </c>
      <c r="K342" t="n">
        <v>0.9</v>
      </c>
      <c r="L342" t="n">
        <v>16</v>
      </c>
      <c r="M342" t="b">
        <v>0</v>
      </c>
      <c r="N342" t="n">
        <v>0</v>
      </c>
      <c r="O342" t="b">
        <v>1</v>
      </c>
      <c r="P342" t="b">
        <v>0</v>
      </c>
      <c r="Q342" t="b">
        <v>0</v>
      </c>
    </row>
    <row r="343">
      <c r="A343" t="inlineStr">
        <is>
          <t>REQ00342</t>
        </is>
      </c>
      <c r="B343" t="inlineStr">
        <is>
          <t>984500750E12FE646903</t>
        </is>
      </c>
      <c r="C343" t="inlineStr">
        <is>
          <t>data_amendment</t>
        </is>
      </c>
      <c r="D343" s="2" t="n">
        <v>46301.70694444444</v>
      </c>
      <c r="E343" s="2" t="n">
        <v>46302.66527777778</v>
      </c>
      <c r="F343" t="inlineStr">
        <is>
          <t>M1</t>
        </is>
      </c>
      <c r="G343" t="inlineStr">
        <is>
          <t>C3</t>
        </is>
      </c>
      <c r="H343" s="2" t="n">
        <v>46301.71736111111</v>
      </c>
      <c r="I343" s="2" t="n">
        <v>46301.72222222222</v>
      </c>
      <c r="J343" t="inlineStr">
        <is>
          <t>Completed</t>
        </is>
      </c>
      <c r="K343" t="n">
        <v>0.37</v>
      </c>
      <c r="L343" t="n">
        <v>8</v>
      </c>
      <c r="M343" t="b">
        <v>0</v>
      </c>
      <c r="N343" t="n">
        <v>0</v>
      </c>
      <c r="O343" t="b">
        <v>1</v>
      </c>
      <c r="P343" t="b">
        <v>0</v>
      </c>
      <c r="Q343" t="b">
        <v>0</v>
      </c>
    </row>
    <row r="344">
      <c r="A344" t="inlineStr">
        <is>
          <t>REQ00343</t>
        </is>
      </c>
      <c r="B344" t="inlineStr">
        <is>
          <t>969500GJ6L7ZS571G003</t>
        </is>
      </c>
      <c r="C344" t="inlineStr">
        <is>
          <t>data_amendment</t>
        </is>
      </c>
      <c r="D344" s="2" t="n">
        <v>46301.70902777778</v>
      </c>
      <c r="E344" s="2" t="n">
        <v>46302.66736111111</v>
      </c>
      <c r="F344" t="inlineStr">
        <is>
          <t>M2</t>
        </is>
      </c>
      <c r="G344" t="inlineStr">
        <is>
          <t>C3</t>
        </is>
      </c>
      <c r="H344" s="2" t="n">
        <v>46301.71805555555</v>
      </c>
      <c r="I344" s="2" t="n">
        <v>46302.52152777778</v>
      </c>
      <c r="J344" t="inlineStr">
        <is>
          <t>Completed</t>
        </is>
      </c>
      <c r="K344" t="n">
        <v>4.5</v>
      </c>
      <c r="L344" t="n">
        <v>8</v>
      </c>
      <c r="M344" t="b">
        <v>0</v>
      </c>
      <c r="N344" t="n">
        <v>0</v>
      </c>
      <c r="O344" t="b">
        <v>1</v>
      </c>
      <c r="P344" t="b">
        <v>0</v>
      </c>
      <c r="Q344" t="b">
        <v>1</v>
      </c>
    </row>
    <row r="345">
      <c r="A345" t="inlineStr">
        <is>
          <t>REQ00344</t>
        </is>
      </c>
      <c r="B345" t="inlineStr">
        <is>
          <t>6354005OGSRLFYGDMG46</t>
        </is>
      </c>
      <c r="C345" t="inlineStr">
        <is>
          <t>document_refresh</t>
        </is>
      </c>
      <c r="D345" s="2" t="n">
        <v>46301.71597222222</v>
      </c>
      <c r="E345" s="2" t="n">
        <v>46303.46597222222</v>
      </c>
      <c r="F345" t="inlineStr">
        <is>
          <t>M1</t>
        </is>
      </c>
      <c r="G345" t="inlineStr">
        <is>
          <t>C2</t>
        </is>
      </c>
      <c r="H345" s="2" t="n">
        <v>46301.73333333333</v>
      </c>
      <c r="I345" s="2" t="n">
        <v>46301.74305555555</v>
      </c>
      <c r="J345" t="inlineStr">
        <is>
          <t>Completed</t>
        </is>
      </c>
      <c r="K345" t="n">
        <v>0.65</v>
      </c>
      <c r="L345" t="n">
        <v>12</v>
      </c>
      <c r="M345" t="b">
        <v>0</v>
      </c>
      <c r="N345" t="n">
        <v>0</v>
      </c>
      <c r="O345" t="b">
        <v>1</v>
      </c>
      <c r="P345" t="b">
        <v>0</v>
      </c>
      <c r="Q345" t="b">
        <v>0</v>
      </c>
    </row>
    <row r="346">
      <c r="A346" t="inlineStr">
        <is>
          <t>REQ00345</t>
        </is>
      </c>
      <c r="B346" t="inlineStr">
        <is>
          <t>213800GVRB26MZBN8461</t>
        </is>
      </c>
      <c r="C346" t="inlineStr">
        <is>
          <t>signatory_change</t>
        </is>
      </c>
      <c r="D346" s="2" t="n">
        <v>46301.72361111111</v>
      </c>
      <c r="E346" s="2" t="n">
        <v>46302.68194444444</v>
      </c>
      <c r="F346" t="inlineStr">
        <is>
          <t>M2</t>
        </is>
      </c>
      <c r="G346" t="inlineStr">
        <is>
          <t>C2</t>
        </is>
      </c>
      <c r="H346" s="2" t="n">
        <v>46301.74305555555</v>
      </c>
      <c r="I346" s="2" t="n">
        <v>46302.59861111111</v>
      </c>
      <c r="J346" t="inlineStr">
        <is>
          <t>Completed</t>
        </is>
      </c>
      <c r="K346" t="n">
        <v>6</v>
      </c>
      <c r="L346" t="n">
        <v>8</v>
      </c>
      <c r="M346" t="b">
        <v>0</v>
      </c>
      <c r="N346" t="n">
        <v>0</v>
      </c>
      <c r="O346" t="b">
        <v>1</v>
      </c>
      <c r="P346" t="b">
        <v>0</v>
      </c>
      <c r="Q346" t="b">
        <v>1</v>
      </c>
    </row>
    <row r="347">
      <c r="A347" t="inlineStr">
        <is>
          <t>REQ00346</t>
        </is>
      </c>
      <c r="B347" t="inlineStr">
        <is>
          <t>391200EZNICQFZ6KMN21</t>
        </is>
      </c>
      <c r="C347" t="inlineStr">
        <is>
          <t>signatory_change</t>
        </is>
      </c>
      <c r="D347" s="2" t="n">
        <v>46301.72430555556</v>
      </c>
      <c r="E347" s="2" t="n">
        <v>46302.68263888889</v>
      </c>
      <c r="F347" t="inlineStr">
        <is>
          <t>M4</t>
        </is>
      </c>
      <c r="G347" t="inlineStr">
        <is>
          <t>C1</t>
        </is>
      </c>
      <c r="H347" s="2" t="n">
        <v>46301.74652777778</v>
      </c>
      <c r="I347" s="2" t="n">
        <v>46302.48402777778</v>
      </c>
      <c r="J347" t="inlineStr">
        <is>
          <t>Completed</t>
        </is>
      </c>
      <c r="K347" t="n">
        <v>3.23</v>
      </c>
      <c r="L347" t="n">
        <v>8</v>
      </c>
      <c r="M347" t="b">
        <v>0</v>
      </c>
      <c r="N347" t="n">
        <v>0</v>
      </c>
      <c r="O347" t="b">
        <v>1</v>
      </c>
      <c r="P347" t="b">
        <v>0</v>
      </c>
      <c r="Q347" t="b">
        <v>1</v>
      </c>
    </row>
    <row r="348">
      <c r="A348" t="inlineStr">
        <is>
          <t>REQ00347</t>
        </is>
      </c>
      <c r="B348" t="inlineStr">
        <is>
          <t>506700KO2QZ5991V2454</t>
        </is>
      </c>
      <c r="C348" t="inlineStr">
        <is>
          <t>document_refresh</t>
        </is>
      </c>
      <c r="D348" s="2" t="n">
        <v>46301.73194444444</v>
      </c>
      <c r="E348" s="2" t="n">
        <v>46303.48194444444</v>
      </c>
      <c r="F348" t="inlineStr">
        <is>
          <t>M5</t>
        </is>
      </c>
      <c r="G348" t="inlineStr">
        <is>
          <t>C1</t>
        </is>
      </c>
      <c r="H348" s="2" t="n">
        <v>46301.74513888889</v>
      </c>
      <c r="I348" s="2" t="n">
        <v>46302.375</v>
      </c>
      <c r="J348" t="inlineStr">
        <is>
          <t>Completed</t>
        </is>
      </c>
      <c r="K348" t="n">
        <v>0.43</v>
      </c>
      <c r="L348" t="n">
        <v>12</v>
      </c>
      <c r="M348" t="b">
        <v>0</v>
      </c>
      <c r="N348" t="n">
        <v>0</v>
      </c>
      <c r="O348" t="b">
        <v>1</v>
      </c>
      <c r="P348" t="b">
        <v>0</v>
      </c>
      <c r="Q348" t="b">
        <v>0</v>
      </c>
    </row>
    <row r="349">
      <c r="A349" t="inlineStr">
        <is>
          <t>REQ00348</t>
        </is>
      </c>
      <c r="B349" t="inlineStr">
        <is>
          <t>5299009PEQPFXF07EH39</t>
        </is>
      </c>
      <c r="C349" t="inlineStr">
        <is>
          <t>signatory_change</t>
        </is>
      </c>
      <c r="D349" s="2" t="n">
        <v>46301.73541666667</v>
      </c>
      <c r="E349" s="2" t="n">
        <v>46302.69375</v>
      </c>
      <c r="F349" t="inlineStr">
        <is>
          <t>M3</t>
        </is>
      </c>
      <c r="G349" t="inlineStr">
        <is>
          <t>C3</t>
        </is>
      </c>
      <c r="H349" s="2" t="n">
        <v>46302.38680555556</v>
      </c>
      <c r="I349" s="2" t="n">
        <v>46302.39166666667</v>
      </c>
      <c r="J349" t="inlineStr">
        <is>
          <t>Completed</t>
        </is>
      </c>
      <c r="K349" t="n">
        <v>0.76</v>
      </c>
      <c r="L349" t="n">
        <v>8</v>
      </c>
      <c r="M349" t="b">
        <v>0</v>
      </c>
      <c r="N349" t="n">
        <v>0</v>
      </c>
      <c r="O349" t="b">
        <v>1</v>
      </c>
      <c r="P349" t="b">
        <v>0</v>
      </c>
      <c r="Q349" t="b">
        <v>0</v>
      </c>
    </row>
    <row r="350">
      <c r="A350" t="inlineStr">
        <is>
          <t>REQ00349</t>
        </is>
      </c>
      <c r="B350" t="inlineStr">
        <is>
          <t>549300NFC50Z3VWJ3E30</t>
        </is>
      </c>
      <c r="C350" t="inlineStr">
        <is>
          <t>new_account</t>
        </is>
      </c>
      <c r="D350" s="2" t="n">
        <v>46301.73680555556</v>
      </c>
      <c r="E350" s="2" t="n">
        <v>46303.65347222222</v>
      </c>
      <c r="F350" t="inlineStr">
        <is>
          <t>M6</t>
        </is>
      </c>
      <c r="G350" t="inlineStr">
        <is>
          <t>C2</t>
        </is>
      </c>
      <c r="H350" s="2" t="n">
        <v>46302.39652777778</v>
      </c>
      <c r="I350" s="2" t="n">
        <v>46302.40763888889</v>
      </c>
      <c r="J350" t="inlineStr">
        <is>
          <t>Completed</t>
        </is>
      </c>
      <c r="K350" t="n">
        <v>1.1</v>
      </c>
      <c r="L350" t="n">
        <v>16</v>
      </c>
      <c r="M350" t="b">
        <v>0</v>
      </c>
      <c r="N350" t="n">
        <v>0</v>
      </c>
      <c r="O350" t="b">
        <v>1</v>
      </c>
      <c r="P350" t="b">
        <v>0</v>
      </c>
      <c r="Q350" t="b">
        <v>0</v>
      </c>
    </row>
    <row r="351">
      <c r="A351" t="inlineStr">
        <is>
          <t>REQ00350</t>
        </is>
      </c>
      <c r="B351" t="inlineStr">
        <is>
          <t>254900BALPFU8ERZGQ26</t>
        </is>
      </c>
      <c r="C351" t="inlineStr">
        <is>
          <t>signatory_change</t>
        </is>
      </c>
      <c r="D351" s="2" t="n">
        <v>46301.73958333334</v>
      </c>
      <c r="E351" s="2" t="n">
        <v>46302.69791666666</v>
      </c>
      <c r="F351" t="inlineStr">
        <is>
          <t>M1</t>
        </is>
      </c>
      <c r="G351" t="inlineStr">
        <is>
          <t>C3</t>
        </is>
      </c>
      <c r="H351" s="2" t="n">
        <v>46302.38680555556</v>
      </c>
      <c r="I351" s="2" t="n">
        <v>46302.47638888889</v>
      </c>
      <c r="J351" t="inlineStr">
        <is>
          <t>Completed</t>
        </is>
      </c>
      <c r="K351" t="n">
        <v>2.69</v>
      </c>
      <c r="L351" t="n">
        <v>8</v>
      </c>
      <c r="M351" t="b">
        <v>0</v>
      </c>
      <c r="N351" t="n">
        <v>0</v>
      </c>
      <c r="O351" t="b">
        <v>1</v>
      </c>
      <c r="P351" t="b">
        <v>0</v>
      </c>
      <c r="Q351" t="b">
        <v>1</v>
      </c>
    </row>
    <row r="352">
      <c r="A352" t="inlineStr">
        <is>
          <t>REQ00351</t>
        </is>
      </c>
      <c r="B352" t="inlineStr">
        <is>
          <t>335800RBNUVZQHWYGS46</t>
        </is>
      </c>
      <c r="C352" t="inlineStr">
        <is>
          <t>document_refresh</t>
        </is>
      </c>
      <c r="D352" s="2" t="n">
        <v>46301.74027777778</v>
      </c>
      <c r="E352" s="2" t="n">
        <v>46303.49027777778</v>
      </c>
      <c r="F352" t="inlineStr">
        <is>
          <t>M2</t>
        </is>
      </c>
      <c r="G352" t="inlineStr">
        <is>
          <t>C3</t>
        </is>
      </c>
      <c r="H352" s="2" t="n">
        <v>46302.37916666667</v>
      </c>
      <c r="I352" s="2" t="n">
        <v>46302.38402777778</v>
      </c>
      <c r="J352" t="inlineStr">
        <is>
          <t>Completed</t>
        </is>
      </c>
      <c r="K352" t="n">
        <v>0.46</v>
      </c>
      <c r="L352" t="n">
        <v>12</v>
      </c>
      <c r="M352" t="b">
        <v>0</v>
      </c>
      <c r="N352" t="n">
        <v>0</v>
      </c>
      <c r="O352" t="b">
        <v>1</v>
      </c>
      <c r="P352" t="b">
        <v>0</v>
      </c>
      <c r="Q352" t="b">
        <v>0</v>
      </c>
    </row>
    <row r="353">
      <c r="A353" t="inlineStr">
        <is>
          <t>REQ00352</t>
        </is>
      </c>
      <c r="B353" t="inlineStr">
        <is>
          <t>969500TT1G8OTR1CYR63</t>
        </is>
      </c>
      <c r="C353" t="inlineStr">
        <is>
          <t>document_refresh</t>
        </is>
      </c>
      <c r="D353" s="2" t="n">
        <v>46301.74583333333</v>
      </c>
      <c r="E353" s="2" t="n">
        <v>46303.49583333333</v>
      </c>
      <c r="F353" t="inlineStr">
        <is>
          <t>M5</t>
        </is>
      </c>
      <c r="G353" t="inlineStr">
        <is>
          <t>C1</t>
        </is>
      </c>
      <c r="H353" s="2" t="n">
        <v>46302.38541666666</v>
      </c>
      <c r="I353" s="2" t="n">
        <v>46302.61597222222</v>
      </c>
      <c r="J353" t="inlineStr">
        <is>
          <t>Completed</t>
        </is>
      </c>
      <c r="K353" t="n">
        <v>5.88</v>
      </c>
      <c r="L353" t="n">
        <v>12</v>
      </c>
      <c r="M353" t="b">
        <v>0</v>
      </c>
      <c r="N353" t="n">
        <v>0</v>
      </c>
      <c r="O353" t="b">
        <v>1</v>
      </c>
      <c r="P353" t="b">
        <v>0</v>
      </c>
      <c r="Q353" t="b">
        <v>1</v>
      </c>
    </row>
    <row r="354">
      <c r="A354" t="inlineStr">
        <is>
          <t>REQ00353</t>
        </is>
      </c>
      <c r="B354" t="inlineStr">
        <is>
          <t>549300LUSTI23WOJ3S85</t>
        </is>
      </c>
      <c r="C354" t="inlineStr">
        <is>
          <t>new_account</t>
        </is>
      </c>
      <c r="D354" s="2" t="n">
        <v>46302.37708333333</v>
      </c>
      <c r="E354" s="2" t="n">
        <v>46303.66875</v>
      </c>
      <c r="F354" t="inlineStr">
        <is>
          <t>M4</t>
        </is>
      </c>
      <c r="G354" t="inlineStr">
        <is>
          <t>C1</t>
        </is>
      </c>
      <c r="H354" s="2" t="n">
        <v>46302.4</v>
      </c>
      <c r="I354" s="2" t="n">
        <v>46302.52638888889</v>
      </c>
      <c r="J354" t="inlineStr">
        <is>
          <t>Completed</t>
        </is>
      </c>
      <c r="K354" t="n">
        <v>3.58</v>
      </c>
      <c r="L354" t="n">
        <v>16</v>
      </c>
      <c r="M354" t="b">
        <v>0</v>
      </c>
      <c r="N354" t="n">
        <v>0</v>
      </c>
      <c r="O354" t="b">
        <v>1</v>
      </c>
      <c r="P354" t="b">
        <v>0</v>
      </c>
      <c r="Q354" t="b">
        <v>1</v>
      </c>
    </row>
    <row r="355">
      <c r="A355" t="inlineStr">
        <is>
          <t>REQ00354</t>
        </is>
      </c>
      <c r="B355" t="inlineStr">
        <is>
          <t>213800VTPPD3FVPGVA32</t>
        </is>
      </c>
      <c r="C355" t="inlineStr">
        <is>
          <t>new_account</t>
        </is>
      </c>
      <c r="D355" s="2" t="n">
        <v>46302.38611111111</v>
      </c>
      <c r="E355" s="2" t="n">
        <v>46303.67777777778</v>
      </c>
      <c r="F355" t="inlineStr">
        <is>
          <t>M2</t>
        </is>
      </c>
      <c r="G355" t="inlineStr">
        <is>
          <t>C2</t>
        </is>
      </c>
      <c r="H355" s="2" t="n">
        <v>46302.425</v>
      </c>
      <c r="I355" s="2" t="n">
        <v>46302.54722222222</v>
      </c>
      <c r="J355" t="inlineStr">
        <is>
          <t>Completed</t>
        </is>
      </c>
      <c r="K355" t="n">
        <v>3.87</v>
      </c>
      <c r="L355" t="n">
        <v>16</v>
      </c>
      <c r="M355" t="b">
        <v>0</v>
      </c>
      <c r="N355" t="n">
        <v>0</v>
      </c>
      <c r="O355" t="b">
        <v>1</v>
      </c>
      <c r="P355" t="b">
        <v>0</v>
      </c>
      <c r="Q355" t="b">
        <v>1</v>
      </c>
    </row>
    <row r="356">
      <c r="A356" t="inlineStr">
        <is>
          <t>REQ00355</t>
        </is>
      </c>
      <c r="B356" t="inlineStr">
        <is>
          <t>391200TDR2KCXWUUCV59</t>
        </is>
      </c>
      <c r="C356" t="inlineStr">
        <is>
          <t>data_amendment</t>
        </is>
      </c>
      <c r="D356" s="2" t="n">
        <v>46302.38611111111</v>
      </c>
      <c r="E356" s="2" t="n">
        <v>46302.71944444445</v>
      </c>
      <c r="F356" t="inlineStr">
        <is>
          <t>M5</t>
        </is>
      </c>
      <c r="G356" t="inlineStr">
        <is>
          <t>C3</t>
        </is>
      </c>
      <c r="H356" s="2" t="n">
        <v>46302.39930555555</v>
      </c>
      <c r="I356" s="2" t="n">
        <v>46302.40277777778</v>
      </c>
      <c r="J356" t="inlineStr">
        <is>
          <t>Completed</t>
        </is>
      </c>
      <c r="K356" t="n">
        <v>0.41</v>
      </c>
      <c r="L356" t="n">
        <v>8</v>
      </c>
      <c r="M356" t="b">
        <v>0</v>
      </c>
      <c r="N356" t="n">
        <v>0</v>
      </c>
      <c r="O356" t="b">
        <v>1</v>
      </c>
      <c r="P356" t="b">
        <v>0</v>
      </c>
      <c r="Q356" t="b">
        <v>0</v>
      </c>
    </row>
    <row r="357">
      <c r="A357" t="inlineStr">
        <is>
          <t>REQ00356</t>
        </is>
      </c>
      <c r="B357" t="inlineStr">
        <is>
          <t>54930002MRPG4D203Z16</t>
        </is>
      </c>
      <c r="C357" t="inlineStr">
        <is>
          <t>new_account</t>
        </is>
      </c>
      <c r="D357" s="2" t="n">
        <v>46302.38680555556</v>
      </c>
      <c r="E357" s="2" t="n">
        <v>46303.67847222222</v>
      </c>
      <c r="F357" t="inlineStr">
        <is>
          <t>M1</t>
        </is>
      </c>
      <c r="G357" t="inlineStr">
        <is>
          <t>C3</t>
        </is>
      </c>
      <c r="H357" s="2" t="n">
        <v>46302.41111111111</v>
      </c>
      <c r="I357" s="2" t="n">
        <v>46302.41944444444</v>
      </c>
      <c r="J357" t="inlineStr">
        <is>
          <t>Completed</t>
        </is>
      </c>
      <c r="K357" t="n">
        <v>0.79</v>
      </c>
      <c r="L357" t="n">
        <v>16</v>
      </c>
      <c r="M357" t="b">
        <v>0</v>
      </c>
      <c r="N357" t="n">
        <v>0</v>
      </c>
      <c r="O357" t="b">
        <v>1</v>
      </c>
      <c r="P357" t="b">
        <v>0</v>
      </c>
      <c r="Q357" t="b">
        <v>0</v>
      </c>
    </row>
    <row r="358">
      <c r="A358" t="inlineStr">
        <is>
          <t>REQ00357</t>
        </is>
      </c>
      <c r="B358" t="inlineStr">
        <is>
          <t>213800EWVJTTLD5LHA93</t>
        </is>
      </c>
      <c r="C358" t="inlineStr">
        <is>
          <t>new_account</t>
        </is>
      </c>
      <c r="D358" s="2" t="n">
        <v>46302.38680555556</v>
      </c>
      <c r="E358" s="2" t="n">
        <v>46303.67847222222</v>
      </c>
      <c r="F358" t="inlineStr">
        <is>
          <t>M3</t>
        </is>
      </c>
      <c r="G358" t="inlineStr">
        <is>
          <t>C2</t>
        </is>
      </c>
      <c r="H358" s="2" t="n">
        <v>46302.42152777778</v>
      </c>
      <c r="I358" s="2" t="n">
        <v>46302.52569444444</v>
      </c>
      <c r="J358" t="inlineStr">
        <is>
          <t>Completed</t>
        </is>
      </c>
      <c r="K358" t="n">
        <v>3.33</v>
      </c>
      <c r="L358" t="n">
        <v>16</v>
      </c>
      <c r="M358" t="b">
        <v>0</v>
      </c>
      <c r="N358" t="n">
        <v>0</v>
      </c>
      <c r="O358" t="b">
        <v>1</v>
      </c>
      <c r="P358" t="b">
        <v>0</v>
      </c>
      <c r="Q358" t="b">
        <v>1</v>
      </c>
    </row>
    <row r="359">
      <c r="A359" t="inlineStr">
        <is>
          <t>REQ00358</t>
        </is>
      </c>
      <c r="B359" t="inlineStr">
        <is>
          <t>6488VAO4X53X7I267R16</t>
        </is>
      </c>
      <c r="C359" t="inlineStr">
        <is>
          <t>data_amendment</t>
        </is>
      </c>
      <c r="D359" s="2" t="n">
        <v>46302.38888888889</v>
      </c>
      <c r="E359" s="2" t="n">
        <v>46302.72222222222</v>
      </c>
      <c r="F359" t="inlineStr">
        <is>
          <t>M6</t>
        </is>
      </c>
      <c r="G359" t="inlineStr">
        <is>
          <t>C1</t>
        </is>
      </c>
      <c r="H359" s="2" t="n">
        <v>46302.40486111111</v>
      </c>
      <c r="I359" s="2" t="n">
        <v>46302.40972222222</v>
      </c>
      <c r="J359" t="inlineStr">
        <is>
          <t>Completed</t>
        </is>
      </c>
      <c r="K359" t="n">
        <v>0.5</v>
      </c>
      <c r="L359" t="n">
        <v>8</v>
      </c>
      <c r="M359" t="b">
        <v>0</v>
      </c>
      <c r="N359" t="n">
        <v>0</v>
      </c>
      <c r="O359" t="b">
        <v>1</v>
      </c>
      <c r="P359" t="b">
        <v>0</v>
      </c>
      <c r="Q359" t="b">
        <v>0</v>
      </c>
    </row>
    <row r="360">
      <c r="A360" t="inlineStr">
        <is>
          <t>REQ00359</t>
        </is>
      </c>
      <c r="B360" t="inlineStr">
        <is>
          <t>529900PN4K2PYLPPFI36</t>
        </is>
      </c>
      <c r="C360" t="inlineStr">
        <is>
          <t>new_account</t>
        </is>
      </c>
      <c r="D360" s="2" t="n">
        <v>46302.38958333333</v>
      </c>
      <c r="E360" s="2" t="n">
        <v>46303.68125</v>
      </c>
      <c r="F360" t="inlineStr">
        <is>
          <t>M5</t>
        </is>
      </c>
      <c r="G360" t="inlineStr">
        <is>
          <t>C2</t>
        </is>
      </c>
      <c r="H360" s="2" t="n">
        <v>46302.43888888889</v>
      </c>
      <c r="I360" s="2" t="n">
        <v>46302.68541666667</v>
      </c>
      <c r="J360" t="inlineStr">
        <is>
          <t>Completed</t>
        </is>
      </c>
      <c r="K360" t="n">
        <v>7.1</v>
      </c>
      <c r="L360" t="n">
        <v>16</v>
      </c>
      <c r="M360" t="b">
        <v>0</v>
      </c>
      <c r="N360" t="n">
        <v>0</v>
      </c>
      <c r="O360" t="b">
        <v>1</v>
      </c>
      <c r="P360" t="b">
        <v>0</v>
      </c>
      <c r="Q360" t="b">
        <v>1</v>
      </c>
    </row>
    <row r="361">
      <c r="A361" t="inlineStr">
        <is>
          <t>REQ00360</t>
        </is>
      </c>
      <c r="B361" t="inlineStr">
        <is>
          <t>969500AZGAKDK3ULA364</t>
        </is>
      </c>
      <c r="C361" t="inlineStr">
        <is>
          <t>document_refresh</t>
        </is>
      </c>
      <c r="D361" s="2" t="n">
        <v>46302.38958333333</v>
      </c>
      <c r="E361" s="2" t="n">
        <v>46303.51458333333</v>
      </c>
      <c r="F361" t="inlineStr">
        <is>
          <t>M4</t>
        </is>
      </c>
      <c r="G361" t="inlineStr">
        <is>
          <t>C2</t>
        </is>
      </c>
      <c r="H361" s="2" t="n">
        <v>46302.41111111111</v>
      </c>
      <c r="I361" s="2" t="n">
        <v>46302.41597222222</v>
      </c>
      <c r="J361" t="inlineStr">
        <is>
          <t>Completed</t>
        </is>
      </c>
      <c r="K361" t="n">
        <v>0.63</v>
      </c>
      <c r="L361" t="n">
        <v>12</v>
      </c>
      <c r="M361" t="b">
        <v>0</v>
      </c>
      <c r="N361" t="n">
        <v>0</v>
      </c>
      <c r="O361" t="b">
        <v>1</v>
      </c>
      <c r="P361" t="b">
        <v>0</v>
      </c>
      <c r="Q361" t="b">
        <v>0</v>
      </c>
    </row>
    <row r="362">
      <c r="A362" t="inlineStr">
        <is>
          <t>REQ00361</t>
        </is>
      </c>
      <c r="B362" t="inlineStr">
        <is>
          <t>724500SX4UH3KXV03A31</t>
        </is>
      </c>
      <c r="C362" t="inlineStr">
        <is>
          <t>new_account</t>
        </is>
      </c>
      <c r="D362" s="2" t="n">
        <v>46302.39097222222</v>
      </c>
      <c r="E362" s="2" t="n">
        <v>46303.68263888889</v>
      </c>
      <c r="F362" t="inlineStr">
        <is>
          <t>M6</t>
        </is>
      </c>
      <c r="G362" t="inlineStr">
        <is>
          <t>C3</t>
        </is>
      </c>
      <c r="H362" s="2" t="n">
        <v>46302.44166666667</v>
      </c>
      <c r="I362" s="2" t="n">
        <v>46302.55902777778</v>
      </c>
      <c r="J362" t="inlineStr">
        <is>
          <t>Completed</t>
        </is>
      </c>
      <c r="K362" t="n">
        <v>4.03</v>
      </c>
      <c r="L362" t="n">
        <v>16</v>
      </c>
      <c r="M362" t="b">
        <v>0</v>
      </c>
      <c r="N362" t="n">
        <v>0</v>
      </c>
      <c r="O362" t="b">
        <v>1</v>
      </c>
      <c r="P362" t="b">
        <v>0</v>
      </c>
      <c r="Q362" t="b">
        <v>1</v>
      </c>
    </row>
    <row r="363">
      <c r="A363" t="inlineStr">
        <is>
          <t>REQ00362</t>
        </is>
      </c>
      <c r="B363" t="inlineStr">
        <is>
          <t>9845003UDEB21F83F178</t>
        </is>
      </c>
      <c r="C363" t="inlineStr">
        <is>
          <t>document_refresh</t>
        </is>
      </c>
      <c r="D363" s="2" t="n">
        <v>46302.39722222222</v>
      </c>
      <c r="E363" s="2" t="n">
        <v>46303.52222222222</v>
      </c>
      <c r="F363" t="inlineStr">
        <is>
          <t>M1</t>
        </is>
      </c>
      <c r="G363" t="inlineStr">
        <is>
          <t>C1</t>
        </is>
      </c>
      <c r="H363" s="2" t="n">
        <v>46302.42291666667</v>
      </c>
      <c r="I363" s="2" t="n">
        <v>46302.42986111111</v>
      </c>
      <c r="J363" t="inlineStr">
        <is>
          <t>Completed</t>
        </is>
      </c>
      <c r="K363" t="n">
        <v>0.78</v>
      </c>
      <c r="L363" t="n">
        <v>12</v>
      </c>
      <c r="M363" t="b">
        <v>0</v>
      </c>
      <c r="N363" t="n">
        <v>0</v>
      </c>
      <c r="O363" t="b">
        <v>1</v>
      </c>
      <c r="P363" t="b">
        <v>0</v>
      </c>
      <c r="Q363" t="b">
        <v>0</v>
      </c>
    </row>
    <row r="364">
      <c r="A364" t="inlineStr">
        <is>
          <t>REQ00363</t>
        </is>
      </c>
      <c r="B364" t="inlineStr">
        <is>
          <t>984500K51CA3D80A2F64</t>
        </is>
      </c>
      <c r="C364" t="inlineStr">
        <is>
          <t>data_amendment</t>
        </is>
      </c>
      <c r="D364" s="2" t="n">
        <v>46302.39722222222</v>
      </c>
      <c r="E364" s="2" t="n">
        <v>46302.73055555556</v>
      </c>
      <c r="F364" t="inlineStr">
        <is>
          <t>M4</t>
        </is>
      </c>
      <c r="G364" t="inlineStr">
        <is>
          <t>C2</t>
        </is>
      </c>
      <c r="H364" s="2" t="n">
        <v>46302.42013888889</v>
      </c>
      <c r="I364" s="2" t="n">
        <v>46302.42361111111</v>
      </c>
      <c r="J364" t="inlineStr">
        <is>
          <t>Completed</t>
        </is>
      </c>
      <c r="K364" t="n">
        <v>0.64</v>
      </c>
      <c r="L364" t="n">
        <v>8</v>
      </c>
      <c r="M364" t="b">
        <v>0</v>
      </c>
      <c r="N364" t="n">
        <v>0</v>
      </c>
      <c r="O364" t="b">
        <v>1</v>
      </c>
      <c r="P364" t="b">
        <v>0</v>
      </c>
      <c r="Q364" t="b">
        <v>0</v>
      </c>
    </row>
    <row r="365">
      <c r="A365" t="inlineStr">
        <is>
          <t>REQ00364</t>
        </is>
      </c>
      <c r="B365" t="inlineStr">
        <is>
          <t>549300WXITVJ8BK6KP40</t>
        </is>
      </c>
      <c r="C365" t="inlineStr">
        <is>
          <t>data_amendment</t>
        </is>
      </c>
      <c r="D365" s="2" t="n">
        <v>46302.39930555555</v>
      </c>
      <c r="E365" s="2" t="n">
        <v>46302.73263888889</v>
      </c>
      <c r="F365" t="inlineStr">
        <is>
          <t>M4</t>
        </is>
      </c>
      <c r="G365" t="inlineStr">
        <is>
          <t>C2</t>
        </is>
      </c>
      <c r="H365" s="2" t="n">
        <v>46302.42916666667</v>
      </c>
      <c r="I365" s="2" t="n">
        <v>46302.43194444444</v>
      </c>
      <c r="J365" t="inlineStr">
        <is>
          <t>Completed</t>
        </is>
      </c>
      <c r="K365" t="n">
        <v>0.79</v>
      </c>
      <c r="L365" t="n">
        <v>8</v>
      </c>
      <c r="M365" t="b">
        <v>0</v>
      </c>
      <c r="N365" t="n">
        <v>0</v>
      </c>
      <c r="O365" t="b">
        <v>1</v>
      </c>
      <c r="P365" t="b">
        <v>0</v>
      </c>
      <c r="Q365" t="b">
        <v>0</v>
      </c>
    </row>
    <row r="366">
      <c r="A366" t="inlineStr">
        <is>
          <t>REQ00365</t>
        </is>
      </c>
      <c r="B366" t="inlineStr">
        <is>
          <t>5493002IITPO16CQU448</t>
        </is>
      </c>
      <c r="C366" t="inlineStr">
        <is>
          <t>signatory_change</t>
        </is>
      </c>
      <c r="D366" s="2" t="n">
        <v>46302.40694444445</v>
      </c>
      <c r="E366" s="2" t="n">
        <v>46302.74027777778</v>
      </c>
      <c r="F366" t="inlineStr">
        <is>
          <t>M3</t>
        </is>
      </c>
      <c r="G366" t="inlineStr">
        <is>
          <t>C3</t>
        </is>
      </c>
      <c r="H366" s="2" t="n">
        <v>46302.44027777778</v>
      </c>
      <c r="I366" s="2" t="n">
        <v>46302.63680555556</v>
      </c>
      <c r="J366" t="inlineStr">
        <is>
          <t>Completed</t>
        </is>
      </c>
      <c r="K366" t="n">
        <v>5.51</v>
      </c>
      <c r="L366" t="n">
        <v>8</v>
      </c>
      <c r="M366" t="b">
        <v>0</v>
      </c>
      <c r="N366" t="n">
        <v>0</v>
      </c>
      <c r="O366" t="b">
        <v>1</v>
      </c>
      <c r="P366" t="b">
        <v>0</v>
      </c>
      <c r="Q366" t="b">
        <v>1</v>
      </c>
    </row>
    <row r="367">
      <c r="A367" t="inlineStr">
        <is>
          <t>REQ00366</t>
        </is>
      </c>
      <c r="B367" t="inlineStr">
        <is>
          <t>5299000XN3AJ5QX5ND70</t>
        </is>
      </c>
      <c r="C367" t="inlineStr">
        <is>
          <t>new_account</t>
        </is>
      </c>
      <c r="D367" s="2" t="n">
        <v>46302.41527777778</v>
      </c>
      <c r="E367" s="2" t="n">
        <v>46303.70694444444</v>
      </c>
      <c r="F367" t="inlineStr">
        <is>
          <t>M1</t>
        </is>
      </c>
      <c r="G367" t="inlineStr">
        <is>
          <t>C1</t>
        </is>
      </c>
      <c r="H367" s="2" t="n">
        <v>46302.45277777778</v>
      </c>
      <c r="I367" s="2" t="n">
        <v>46302.4625</v>
      </c>
      <c r="J367" t="inlineStr">
        <is>
          <t>Completed</t>
        </is>
      </c>
      <c r="K367" t="n">
        <v>1.13</v>
      </c>
      <c r="L367" t="n">
        <v>16</v>
      </c>
      <c r="M367" t="b">
        <v>0</v>
      </c>
      <c r="N367" t="n">
        <v>0</v>
      </c>
      <c r="O367" t="b">
        <v>1</v>
      </c>
      <c r="P367" t="b">
        <v>0</v>
      </c>
      <c r="Q367" t="b">
        <v>0</v>
      </c>
    </row>
    <row r="368">
      <c r="A368" t="inlineStr">
        <is>
          <t>REQ00367</t>
        </is>
      </c>
      <c r="B368" t="inlineStr">
        <is>
          <t>529900K46LWUK3C3J050</t>
        </is>
      </c>
      <c r="C368" t="inlineStr">
        <is>
          <t>signatory_change</t>
        </is>
      </c>
      <c r="D368" s="2" t="n">
        <v>46302.41597222222</v>
      </c>
      <c r="E368" s="2" t="n">
        <v>46302.74930555555</v>
      </c>
      <c r="F368" t="inlineStr">
        <is>
          <t>M2</t>
        </is>
      </c>
      <c r="G368" t="inlineStr">
        <is>
          <t>C3</t>
        </is>
      </c>
      <c r="H368" s="2" t="n">
        <v>46302.45069444444</v>
      </c>
      <c r="I368" s="2" t="n">
        <v>46302.59513888889</v>
      </c>
      <c r="J368" t="inlineStr">
        <is>
          <t>Completed</t>
        </is>
      </c>
      <c r="K368" t="n">
        <v>4.3</v>
      </c>
      <c r="L368" t="n">
        <v>8</v>
      </c>
      <c r="M368" t="b">
        <v>0</v>
      </c>
      <c r="N368" t="n">
        <v>0</v>
      </c>
      <c r="O368" t="b">
        <v>1</v>
      </c>
      <c r="P368" t="b">
        <v>0</v>
      </c>
      <c r="Q368" t="b">
        <v>1</v>
      </c>
    </row>
    <row r="369">
      <c r="A369" t="inlineStr">
        <is>
          <t>REQ00368</t>
        </is>
      </c>
      <c r="B369" t="inlineStr">
        <is>
          <t>6488TM7961XU21N2WW45</t>
        </is>
      </c>
      <c r="C369" t="inlineStr">
        <is>
          <t>document_refresh</t>
        </is>
      </c>
      <c r="D369" s="2" t="n">
        <v>46302.42013888889</v>
      </c>
      <c r="E369" s="2" t="n">
        <v>46303.54513888889</v>
      </c>
      <c r="F369" t="inlineStr">
        <is>
          <t>M4</t>
        </is>
      </c>
      <c r="G369" t="inlineStr">
        <is>
          <t>C1</t>
        </is>
      </c>
      <c r="H369" s="2" t="n">
        <v>46302.44583333333</v>
      </c>
      <c r="I369" s="2" t="n">
        <v>46302.45208333333</v>
      </c>
      <c r="J369" t="inlineStr">
        <is>
          <t>Completed</t>
        </is>
      </c>
      <c r="K369" t="n">
        <v>0.76</v>
      </c>
      <c r="L369" t="n">
        <v>12</v>
      </c>
      <c r="M369" t="b">
        <v>0</v>
      </c>
      <c r="N369" t="n">
        <v>0</v>
      </c>
      <c r="O369" t="b">
        <v>1</v>
      </c>
      <c r="P369" t="b">
        <v>0</v>
      </c>
      <c r="Q369" t="b">
        <v>0</v>
      </c>
    </row>
    <row r="370">
      <c r="A370" t="inlineStr">
        <is>
          <t>REQ00369</t>
        </is>
      </c>
      <c r="B370" t="inlineStr">
        <is>
          <t>969500O0WKM930XAIQ96</t>
        </is>
      </c>
      <c r="C370" t="inlineStr">
        <is>
          <t>new_account</t>
        </is>
      </c>
      <c r="D370" s="2" t="n">
        <v>46302.425</v>
      </c>
      <c r="E370" s="2" t="n">
        <v>46303.71666666667</v>
      </c>
      <c r="F370" t="inlineStr">
        <is>
          <t>M5</t>
        </is>
      </c>
      <c r="G370" t="inlineStr">
        <is>
          <t>C3</t>
        </is>
      </c>
      <c r="H370" s="2" t="n">
        <v>46302.47916666666</v>
      </c>
      <c r="I370" s="2" t="n">
        <v>46302.48819444444</v>
      </c>
      <c r="J370" t="inlineStr">
        <is>
          <t>Completed</t>
        </is>
      </c>
      <c r="K370" t="n">
        <v>1.52</v>
      </c>
      <c r="L370" t="n">
        <v>16</v>
      </c>
      <c r="M370" t="b">
        <v>0</v>
      </c>
      <c r="N370" t="n">
        <v>0</v>
      </c>
      <c r="O370" t="b">
        <v>1</v>
      </c>
      <c r="P370" t="b">
        <v>0</v>
      </c>
      <c r="Q370" t="b">
        <v>0</v>
      </c>
    </row>
    <row r="371">
      <c r="A371" t="inlineStr">
        <is>
          <t>REQ00370</t>
        </is>
      </c>
      <c r="B371" t="inlineStr">
        <is>
          <t>969500CTC1O95GVHX836</t>
        </is>
      </c>
      <c r="C371" t="inlineStr">
        <is>
          <t>data_amendment</t>
        </is>
      </c>
      <c r="D371" s="2" t="n">
        <v>46302.42569444444</v>
      </c>
      <c r="E371" s="2" t="n">
        <v>46303.38402777778</v>
      </c>
      <c r="F371" t="inlineStr">
        <is>
          <t>M3</t>
        </is>
      </c>
      <c r="G371" t="inlineStr">
        <is>
          <t>C3</t>
        </is>
      </c>
      <c r="H371" s="2" t="n">
        <v>46302.44791666666</v>
      </c>
      <c r="I371" s="2" t="n">
        <v>46302.45208333333</v>
      </c>
      <c r="J371" t="inlineStr">
        <is>
          <t>Completed</t>
        </is>
      </c>
      <c r="K371" t="n">
        <v>0.63</v>
      </c>
      <c r="L371" t="n">
        <v>8</v>
      </c>
      <c r="M371" t="b">
        <v>0</v>
      </c>
      <c r="N371" t="n">
        <v>0</v>
      </c>
      <c r="O371" t="b">
        <v>1</v>
      </c>
      <c r="P371" t="b">
        <v>0</v>
      </c>
      <c r="Q371" t="b">
        <v>0</v>
      </c>
    </row>
    <row r="372">
      <c r="A372" t="inlineStr">
        <is>
          <t>REQ00371</t>
        </is>
      </c>
      <c r="B372" t="inlineStr">
        <is>
          <t>5299007LB0INTWW8GF77</t>
        </is>
      </c>
      <c r="C372" t="inlineStr">
        <is>
          <t>data_amendment</t>
        </is>
      </c>
      <c r="D372" s="2" t="n">
        <v>46302.42638888889</v>
      </c>
      <c r="E372" s="2" t="n">
        <v>46303.38472222222</v>
      </c>
      <c r="F372" t="inlineStr">
        <is>
          <t>M6</t>
        </is>
      </c>
      <c r="G372" t="inlineStr">
        <is>
          <t>C2</t>
        </is>
      </c>
      <c r="H372" s="2" t="n">
        <v>46302.45</v>
      </c>
      <c r="I372" s="2" t="n">
        <v>46302.45416666667</v>
      </c>
      <c r="J372" t="inlineStr">
        <is>
          <t>Completed</t>
        </is>
      </c>
      <c r="K372" t="n">
        <v>0.67</v>
      </c>
      <c r="L372" t="n">
        <v>8</v>
      </c>
      <c r="M372" t="b">
        <v>0</v>
      </c>
      <c r="N372" t="n">
        <v>0</v>
      </c>
      <c r="O372" t="b">
        <v>1</v>
      </c>
      <c r="P372" t="b">
        <v>0</v>
      </c>
      <c r="Q372" t="b">
        <v>0</v>
      </c>
    </row>
    <row r="373">
      <c r="A373" t="inlineStr">
        <is>
          <t>REQ00372</t>
        </is>
      </c>
      <c r="B373" t="inlineStr">
        <is>
          <t>894500BIYD69G3TRW172</t>
        </is>
      </c>
      <c r="C373" t="inlineStr">
        <is>
          <t>document_refresh</t>
        </is>
      </c>
      <c r="D373" s="2" t="n">
        <v>46302.43263888889</v>
      </c>
      <c r="E373" s="2" t="n">
        <v>46303.55763888889</v>
      </c>
      <c r="F373" t="inlineStr">
        <is>
          <t>M4</t>
        </is>
      </c>
      <c r="G373" t="inlineStr">
        <is>
          <t>C2</t>
        </is>
      </c>
      <c r="H373" s="2" t="n">
        <v>46302.46180555555</v>
      </c>
      <c r="I373" s="2" t="n">
        <v>46302.65069444444</v>
      </c>
      <c r="J373" t="inlineStr">
        <is>
          <t>Completed</t>
        </is>
      </c>
      <c r="K373" t="n">
        <v>5.24</v>
      </c>
      <c r="L373" t="n">
        <v>12</v>
      </c>
      <c r="M373" t="b">
        <v>0</v>
      </c>
      <c r="N373" t="n">
        <v>0</v>
      </c>
      <c r="O373" t="b">
        <v>1</v>
      </c>
      <c r="P373" t="b">
        <v>0</v>
      </c>
      <c r="Q373" t="b">
        <v>1</v>
      </c>
    </row>
    <row r="374">
      <c r="A374" t="inlineStr">
        <is>
          <t>REQ00373</t>
        </is>
      </c>
      <c r="B374" t="inlineStr">
        <is>
          <t>9845002D0AEAADAN7B37</t>
        </is>
      </c>
      <c r="C374" t="inlineStr">
        <is>
          <t>new_account</t>
        </is>
      </c>
      <c r="D374" s="2" t="n">
        <v>46302.43472222222</v>
      </c>
      <c r="E374" s="2" t="n">
        <v>46303.72638888889</v>
      </c>
      <c r="F374" t="inlineStr">
        <is>
          <t>M3</t>
        </is>
      </c>
      <c r="G374" t="inlineStr">
        <is>
          <t>C2</t>
        </is>
      </c>
      <c r="H374" s="2" t="n">
        <v>46302.47361111111</v>
      </c>
      <c r="I374" s="2" t="n">
        <v>46302.48611111111</v>
      </c>
      <c r="J374" t="inlineStr">
        <is>
          <t>Completed</t>
        </is>
      </c>
      <c r="K374" t="n">
        <v>1.23</v>
      </c>
      <c r="L374" t="n">
        <v>16</v>
      </c>
      <c r="M374" t="b">
        <v>0</v>
      </c>
      <c r="N374" t="n">
        <v>0</v>
      </c>
      <c r="O374" t="b">
        <v>1</v>
      </c>
      <c r="P374" t="b">
        <v>0</v>
      </c>
      <c r="Q374" t="b">
        <v>0</v>
      </c>
    </row>
    <row r="375">
      <c r="A375" t="inlineStr">
        <is>
          <t>REQ00374</t>
        </is>
      </c>
      <c r="B375" t="inlineStr">
        <is>
          <t>549300A4JSLVTL7EP089</t>
        </is>
      </c>
      <c r="C375" t="inlineStr">
        <is>
          <t>document_refresh</t>
        </is>
      </c>
      <c r="D375" s="2" t="n">
        <v>46302.43541666667</v>
      </c>
      <c r="E375" s="2" t="n">
        <v>46303.56041666667</v>
      </c>
      <c r="F375" t="inlineStr">
        <is>
          <t>M6</t>
        </is>
      </c>
      <c r="G375" t="inlineStr">
        <is>
          <t>C2</t>
        </is>
      </c>
      <c r="H375" s="2" t="n">
        <v>46302.46666666667</v>
      </c>
      <c r="I375" s="2" t="n">
        <v>46302.47291666667</v>
      </c>
      <c r="J375" t="inlineStr">
        <is>
          <t>Completed</t>
        </is>
      </c>
      <c r="K375" t="n">
        <v>0.9</v>
      </c>
      <c r="L375" t="n">
        <v>12</v>
      </c>
      <c r="M375" t="b">
        <v>0</v>
      </c>
      <c r="N375" t="n">
        <v>0</v>
      </c>
      <c r="O375" t="b">
        <v>1</v>
      </c>
      <c r="P375" t="b">
        <v>0</v>
      </c>
      <c r="Q375" t="b">
        <v>0</v>
      </c>
    </row>
    <row r="376">
      <c r="A376" t="inlineStr">
        <is>
          <t>REQ00375</t>
        </is>
      </c>
      <c r="B376" t="inlineStr">
        <is>
          <t>549300L0RPZHNK1XT484</t>
        </is>
      </c>
      <c r="C376" t="inlineStr">
        <is>
          <t>document_refresh</t>
        </is>
      </c>
      <c r="D376" s="2" t="n">
        <v>46302.44027777778</v>
      </c>
      <c r="E376" s="2" t="n">
        <v>46303.56527777778</v>
      </c>
      <c r="F376" t="inlineStr">
        <is>
          <t>M2</t>
        </is>
      </c>
      <c r="G376" t="inlineStr">
        <is>
          <t>C1</t>
        </is>
      </c>
      <c r="H376" s="2" t="n">
        <v>46302.46319444444</v>
      </c>
      <c r="I376" s="2" t="n">
        <v>46302.69305555556</v>
      </c>
      <c r="J376" t="inlineStr">
        <is>
          <t>Completed</t>
        </is>
      </c>
      <c r="K376" t="n">
        <v>6.06</v>
      </c>
      <c r="L376" t="n">
        <v>12</v>
      </c>
      <c r="M376" t="b">
        <v>0</v>
      </c>
      <c r="N376" t="n">
        <v>0</v>
      </c>
      <c r="O376" t="b">
        <v>1</v>
      </c>
      <c r="P376" t="b">
        <v>0</v>
      </c>
      <c r="Q376" t="b">
        <v>1</v>
      </c>
    </row>
    <row r="377">
      <c r="A377" t="inlineStr">
        <is>
          <t>REQ00376</t>
        </is>
      </c>
      <c r="B377" t="inlineStr">
        <is>
          <t>529900VNNCIZPUITPO46</t>
        </is>
      </c>
      <c r="C377" t="inlineStr">
        <is>
          <t>signatory_change</t>
        </is>
      </c>
      <c r="D377" s="2" t="n">
        <v>46302.44097222222</v>
      </c>
      <c r="E377" s="2" t="n">
        <v>46303.39930555555</v>
      </c>
      <c r="F377" t="inlineStr">
        <is>
          <t>M1</t>
        </is>
      </c>
      <c r="G377" t="inlineStr">
        <is>
          <t>C3</t>
        </is>
      </c>
      <c r="H377" s="2" t="n">
        <v>46302.46805555555</v>
      </c>
      <c r="I377" s="2" t="n">
        <v>46302.61875</v>
      </c>
      <c r="J377" t="inlineStr">
        <is>
          <t>Completed</t>
        </is>
      </c>
      <c r="K377" t="n">
        <v>4.26</v>
      </c>
      <c r="L377" t="n">
        <v>8</v>
      </c>
      <c r="M377" t="b">
        <v>0</v>
      </c>
      <c r="N377" t="n">
        <v>0</v>
      </c>
      <c r="O377" t="b">
        <v>1</v>
      </c>
      <c r="P377" t="b">
        <v>0</v>
      </c>
      <c r="Q377" t="b">
        <v>1</v>
      </c>
    </row>
    <row r="378">
      <c r="A378" t="inlineStr">
        <is>
          <t>REQ00377</t>
        </is>
      </c>
      <c r="B378" t="inlineStr">
        <is>
          <t>213800G2HXJAJUZ22E07</t>
        </is>
      </c>
      <c r="C378" t="inlineStr">
        <is>
          <t>document_refresh</t>
        </is>
      </c>
      <c r="D378" s="2" t="n">
        <v>46302.44097222222</v>
      </c>
      <c r="E378" s="2" t="n">
        <v>46303.56597222222</v>
      </c>
      <c r="F378" t="inlineStr">
        <is>
          <t>M4</t>
        </is>
      </c>
      <c r="G378" t="inlineStr">
        <is>
          <t>C1</t>
        </is>
      </c>
      <c r="H378" s="2" t="n">
        <v>46302.47916666666</v>
      </c>
      <c r="I378" s="2" t="n">
        <v>46302.66180555556</v>
      </c>
      <c r="J378" t="inlineStr">
        <is>
          <t>Completed</t>
        </is>
      </c>
      <c r="K378" t="n">
        <v>5.29</v>
      </c>
      <c r="L378" t="n">
        <v>12</v>
      </c>
      <c r="M378" t="b">
        <v>0</v>
      </c>
      <c r="N378" t="n">
        <v>0</v>
      </c>
      <c r="O378" t="b">
        <v>1</v>
      </c>
      <c r="P378" t="b">
        <v>0</v>
      </c>
      <c r="Q378" t="b">
        <v>1</v>
      </c>
    </row>
    <row r="379">
      <c r="A379" t="inlineStr">
        <is>
          <t>REQ00378</t>
        </is>
      </c>
      <c r="B379" t="inlineStr">
        <is>
          <t>213800IWDHI1XSVXU633</t>
        </is>
      </c>
      <c r="C379" t="inlineStr">
        <is>
          <t>new_account</t>
        </is>
      </c>
      <c r="D379" s="2" t="n">
        <v>46302.44722222222</v>
      </c>
      <c r="E379" s="2" t="n">
        <v>46303.73888888889</v>
      </c>
      <c r="F379" t="inlineStr">
        <is>
          <t>M2</t>
        </is>
      </c>
      <c r="G379" t="inlineStr">
        <is>
          <t>C3</t>
        </is>
      </c>
      <c r="H379" s="2" t="n">
        <v>46302.49305555555</v>
      </c>
      <c r="I379" s="2" t="n">
        <v>46302.67361111111</v>
      </c>
      <c r="J379" t="inlineStr">
        <is>
          <t>Completed</t>
        </is>
      </c>
      <c r="K379" t="n">
        <v>5.43</v>
      </c>
      <c r="L379" t="n">
        <v>16</v>
      </c>
      <c r="M379" t="b">
        <v>0</v>
      </c>
      <c r="N379" t="n">
        <v>0</v>
      </c>
      <c r="O379" t="b">
        <v>1</v>
      </c>
      <c r="P379" t="b">
        <v>0</v>
      </c>
      <c r="Q379" t="b">
        <v>1</v>
      </c>
    </row>
    <row r="380">
      <c r="A380" t="inlineStr">
        <is>
          <t>REQ00379</t>
        </is>
      </c>
      <c r="B380" t="inlineStr">
        <is>
          <t>5493001B24G0P4YVJ571</t>
        </is>
      </c>
      <c r="C380" t="inlineStr">
        <is>
          <t>new_account</t>
        </is>
      </c>
      <c r="D380" s="2" t="n">
        <v>46302.44930555556</v>
      </c>
      <c r="E380" s="2" t="n">
        <v>46303.74097222222</v>
      </c>
      <c r="F380" t="inlineStr">
        <is>
          <t>M6</t>
        </is>
      </c>
      <c r="G380" t="inlineStr">
        <is>
          <t>C2</t>
        </is>
      </c>
      <c r="H380" s="2" t="n">
        <v>46302.49652777778</v>
      </c>
      <c r="I380" s="2" t="n">
        <v>46302.50763888889</v>
      </c>
      <c r="J380" t="inlineStr">
        <is>
          <t>Completed</t>
        </is>
      </c>
      <c r="K380" t="n">
        <v>1.39</v>
      </c>
      <c r="L380" t="n">
        <v>16</v>
      </c>
      <c r="M380" t="b">
        <v>0</v>
      </c>
      <c r="N380" t="n">
        <v>0</v>
      </c>
      <c r="O380" t="b">
        <v>1</v>
      </c>
      <c r="P380" t="b">
        <v>0</v>
      </c>
      <c r="Q380" t="b">
        <v>0</v>
      </c>
    </row>
    <row r="381">
      <c r="A381" t="inlineStr">
        <is>
          <t>REQ00380</t>
        </is>
      </c>
      <c r="B381" t="inlineStr">
        <is>
          <t>635400XVVOPIODWMYY36</t>
        </is>
      </c>
      <c r="C381" t="inlineStr">
        <is>
          <t>signatory_change</t>
        </is>
      </c>
      <c r="D381" s="2" t="n">
        <v>46302.4625</v>
      </c>
      <c r="E381" s="2" t="n">
        <v>46303.42083333333</v>
      </c>
      <c r="F381" t="inlineStr">
        <is>
          <t>M1</t>
        </is>
      </c>
      <c r="G381" t="inlineStr">
        <is>
          <t>C2</t>
        </is>
      </c>
      <c r="H381" s="2" t="n">
        <v>46302.48541666667</v>
      </c>
      <c r="I381" s="2" t="n">
        <v>46302.49305555555</v>
      </c>
      <c r="J381" t="inlineStr">
        <is>
          <t>Completed</t>
        </is>
      </c>
      <c r="K381" t="n">
        <v>0.73</v>
      </c>
      <c r="L381" t="n">
        <v>8</v>
      </c>
      <c r="M381" t="b">
        <v>0</v>
      </c>
      <c r="N381" t="n">
        <v>0</v>
      </c>
      <c r="O381" t="b">
        <v>1</v>
      </c>
      <c r="P381" t="b">
        <v>0</v>
      </c>
      <c r="Q381" t="b">
        <v>0</v>
      </c>
    </row>
    <row r="382">
      <c r="A382" t="inlineStr">
        <is>
          <t>REQ00381</t>
        </is>
      </c>
      <c r="B382" t="inlineStr">
        <is>
          <t>254900SHDXY7USDTDD65</t>
        </is>
      </c>
      <c r="C382" t="inlineStr">
        <is>
          <t>new_account</t>
        </is>
      </c>
      <c r="D382" s="2" t="n">
        <v>46302.47152777778</v>
      </c>
      <c r="E382" s="2" t="n">
        <v>46304.38819444444</v>
      </c>
      <c r="F382" t="inlineStr">
        <is>
          <t>M3</t>
        </is>
      </c>
      <c r="G382" t="inlineStr">
        <is>
          <t>C3</t>
        </is>
      </c>
      <c r="H382" s="2" t="n">
        <v>46302.50625</v>
      </c>
      <c r="I382" s="2" t="n">
        <v>46302.51388888889</v>
      </c>
      <c r="J382" t="inlineStr">
        <is>
          <t>Completed</t>
        </is>
      </c>
      <c r="K382" t="n">
        <v>1.02</v>
      </c>
      <c r="L382" t="n">
        <v>16</v>
      </c>
      <c r="M382" t="b">
        <v>0</v>
      </c>
      <c r="N382" t="n">
        <v>0</v>
      </c>
      <c r="O382" t="b">
        <v>1</v>
      </c>
      <c r="P382" t="b">
        <v>0</v>
      </c>
      <c r="Q382" t="b">
        <v>0</v>
      </c>
    </row>
    <row r="383">
      <c r="A383" t="inlineStr">
        <is>
          <t>REQ00382</t>
        </is>
      </c>
      <c r="B383" t="inlineStr">
        <is>
          <t>875500FVDV5O7TYGEW64</t>
        </is>
      </c>
      <c r="C383" t="inlineStr">
        <is>
          <t>signatory_change</t>
        </is>
      </c>
      <c r="D383" s="2" t="n">
        <v>46302.47777777778</v>
      </c>
      <c r="E383" s="2" t="n">
        <v>46303.43611111111</v>
      </c>
      <c r="F383" t="inlineStr">
        <is>
          <t>M5</t>
        </is>
      </c>
      <c r="G383" t="inlineStr">
        <is>
          <t>C1</t>
        </is>
      </c>
      <c r="H383" s="2" t="n">
        <v>46302.50416666667</v>
      </c>
      <c r="I383" s="2" t="n">
        <v>46302.51180555556</v>
      </c>
      <c r="J383" t="inlineStr">
        <is>
          <t>Completed</t>
        </is>
      </c>
      <c r="K383" t="n">
        <v>0.82</v>
      </c>
      <c r="L383" t="n">
        <v>8</v>
      </c>
      <c r="M383" t="b">
        <v>0</v>
      </c>
      <c r="N383" t="n">
        <v>0</v>
      </c>
      <c r="O383" t="b">
        <v>1</v>
      </c>
      <c r="P383" t="b">
        <v>0</v>
      </c>
      <c r="Q383" t="b">
        <v>0</v>
      </c>
    </row>
    <row r="384">
      <c r="A384" t="inlineStr">
        <is>
          <t>REQ00383</t>
        </is>
      </c>
      <c r="B384" t="inlineStr">
        <is>
          <t>549300ERG73Q5MZ1W509</t>
        </is>
      </c>
      <c r="C384" t="inlineStr">
        <is>
          <t>signatory_change</t>
        </is>
      </c>
      <c r="D384" s="2" t="n">
        <v>46302.47847222222</v>
      </c>
      <c r="E384" s="2" t="n">
        <v>46303.43680555555</v>
      </c>
      <c r="F384" t="inlineStr">
        <is>
          <t>M4</t>
        </is>
      </c>
      <c r="G384" t="inlineStr">
        <is>
          <t>C3</t>
        </is>
      </c>
      <c r="H384" s="2" t="n">
        <v>46302.49722222222</v>
      </c>
      <c r="I384" s="2" t="n">
        <v>46302.50347222222</v>
      </c>
      <c r="J384" t="inlineStr">
        <is>
          <t>Completed</t>
        </is>
      </c>
      <c r="K384" t="n">
        <v>0.61</v>
      </c>
      <c r="L384" t="n">
        <v>8</v>
      </c>
      <c r="M384" t="b">
        <v>0</v>
      </c>
      <c r="N384" t="n">
        <v>0</v>
      </c>
      <c r="O384" t="b">
        <v>1</v>
      </c>
      <c r="P384" t="b">
        <v>0</v>
      </c>
      <c r="Q384" t="b">
        <v>0</v>
      </c>
    </row>
    <row r="385">
      <c r="A385" t="inlineStr">
        <is>
          <t>REQ00384</t>
        </is>
      </c>
      <c r="B385" t="inlineStr">
        <is>
          <t>724500KZ3CM6X0ILV966</t>
        </is>
      </c>
      <c r="C385" t="inlineStr">
        <is>
          <t>data_amendment</t>
        </is>
      </c>
      <c r="D385" s="2" t="n">
        <v>46302.48055555556</v>
      </c>
      <c r="E385" s="2" t="n">
        <v>46303.43888888889</v>
      </c>
      <c r="F385" t="inlineStr">
        <is>
          <t>M1</t>
        </is>
      </c>
      <c r="G385" t="inlineStr">
        <is>
          <t>C1</t>
        </is>
      </c>
      <c r="H385" s="2" t="n">
        <v>46302.49722222222</v>
      </c>
      <c r="I385" s="2" t="n">
        <v>46302.5</v>
      </c>
      <c r="J385" t="inlineStr">
        <is>
          <t>Completed</t>
        </is>
      </c>
      <c r="K385" t="n">
        <v>0.47</v>
      </c>
      <c r="L385" t="n">
        <v>8</v>
      </c>
      <c r="M385" t="b">
        <v>0</v>
      </c>
      <c r="N385" t="n">
        <v>0</v>
      </c>
      <c r="O385" t="b">
        <v>1</v>
      </c>
      <c r="P385" t="b">
        <v>0</v>
      </c>
      <c r="Q385" t="b">
        <v>0</v>
      </c>
    </row>
    <row r="386">
      <c r="A386" t="inlineStr">
        <is>
          <t>REQ00385</t>
        </is>
      </c>
      <c r="B386" t="inlineStr">
        <is>
          <t>529900DG9KGDDVFAUD81</t>
        </is>
      </c>
      <c r="C386" t="inlineStr">
        <is>
          <t>data_amendment</t>
        </is>
      </c>
      <c r="D386" s="2" t="n">
        <v>46302.48194444444</v>
      </c>
      <c r="E386" s="2" t="n">
        <v>46303.44027777778</v>
      </c>
      <c r="F386" t="inlineStr">
        <is>
          <t>M2</t>
        </is>
      </c>
      <c r="G386" t="inlineStr">
        <is>
          <t>C3</t>
        </is>
      </c>
      <c r="H386" s="2" t="n">
        <v>46302.50208333333</v>
      </c>
      <c r="I386" s="2" t="n">
        <v>46302.59861111111</v>
      </c>
      <c r="J386" t="inlineStr">
        <is>
          <t>Completed</t>
        </is>
      </c>
      <c r="K386" t="n">
        <v>2.8</v>
      </c>
      <c r="L386" t="n">
        <v>8</v>
      </c>
      <c r="M386" t="b">
        <v>0</v>
      </c>
      <c r="N386" t="n">
        <v>0</v>
      </c>
      <c r="O386" t="b">
        <v>1</v>
      </c>
      <c r="P386" t="b">
        <v>0</v>
      </c>
      <c r="Q386" t="b">
        <v>1</v>
      </c>
    </row>
    <row r="387">
      <c r="A387" t="inlineStr">
        <is>
          <t>REQ00386</t>
        </is>
      </c>
      <c r="B387" t="inlineStr">
        <is>
          <t>335800KUHLBESKA6UJ13</t>
        </is>
      </c>
      <c r="C387" t="inlineStr">
        <is>
          <t>signatory_change</t>
        </is>
      </c>
      <c r="D387" s="2" t="n">
        <v>46302.48402777778</v>
      </c>
      <c r="E387" s="2" t="n">
        <v>46303.44236111111</v>
      </c>
      <c r="F387" t="inlineStr">
        <is>
          <t>M6</t>
        </is>
      </c>
      <c r="G387" t="inlineStr">
        <is>
          <t>C1</t>
        </is>
      </c>
      <c r="H387" s="2" t="n">
        <v>46302.52222222222</v>
      </c>
      <c r="I387" s="2" t="n">
        <v>46302.53333333333</v>
      </c>
      <c r="J387" t="inlineStr">
        <is>
          <t>Completed</t>
        </is>
      </c>
      <c r="K387" t="n">
        <v>1.18</v>
      </c>
      <c r="L387" t="n">
        <v>8</v>
      </c>
      <c r="M387" t="b">
        <v>0</v>
      </c>
      <c r="N387" t="n">
        <v>0</v>
      </c>
      <c r="O387" t="b">
        <v>1</v>
      </c>
      <c r="P387" t="b">
        <v>0</v>
      </c>
      <c r="Q387" t="b">
        <v>0</v>
      </c>
    </row>
    <row r="388">
      <c r="A388" t="inlineStr">
        <is>
          <t>REQ00387</t>
        </is>
      </c>
      <c r="B388" t="inlineStr">
        <is>
          <t>724500418L5PCYDF3C88</t>
        </is>
      </c>
      <c r="C388" t="inlineStr">
        <is>
          <t>new_account</t>
        </is>
      </c>
      <c r="D388" s="2" t="n">
        <v>46302.48680555556</v>
      </c>
      <c r="E388" s="2" t="n">
        <v>46304.40347222222</v>
      </c>
      <c r="F388" t="inlineStr">
        <is>
          <t>M1</t>
        </is>
      </c>
      <c r="G388" t="inlineStr">
        <is>
          <t>C2</t>
        </is>
      </c>
      <c r="H388" s="2" t="n">
        <v>46302.52083333334</v>
      </c>
      <c r="I388" s="2" t="n">
        <v>46302.53333333333</v>
      </c>
      <c r="J388" t="inlineStr">
        <is>
          <t>Completed</t>
        </is>
      </c>
      <c r="K388" t="n">
        <v>1.12</v>
      </c>
      <c r="L388" t="n">
        <v>16</v>
      </c>
      <c r="M388" t="b">
        <v>0</v>
      </c>
      <c r="N388" t="n">
        <v>0</v>
      </c>
      <c r="O388" t="b">
        <v>1</v>
      </c>
      <c r="P388" t="b">
        <v>0</v>
      </c>
      <c r="Q388" t="b">
        <v>0</v>
      </c>
    </row>
    <row r="389">
      <c r="A389" t="inlineStr">
        <is>
          <t>REQ00388</t>
        </is>
      </c>
      <c r="B389" t="inlineStr">
        <is>
          <t>5493004A28N5LUW4ZP55</t>
        </is>
      </c>
      <c r="C389" t="inlineStr">
        <is>
          <t>signatory_change</t>
        </is>
      </c>
      <c r="D389" s="2" t="n">
        <v>46302.4875</v>
      </c>
      <c r="E389" s="2" t="n">
        <v>46303.44583333333</v>
      </c>
      <c r="F389" t="inlineStr">
        <is>
          <t>M4</t>
        </is>
      </c>
      <c r="G389" t="inlineStr">
        <is>
          <t>C1</t>
        </is>
      </c>
      <c r="H389" s="2" t="n">
        <v>46302.52152777778</v>
      </c>
      <c r="I389" s="2" t="n">
        <v>46302.74166666667</v>
      </c>
      <c r="J389" t="inlineStr">
        <is>
          <t>Completed</t>
        </is>
      </c>
      <c r="K389" t="n">
        <v>6.1</v>
      </c>
      <c r="L389" t="n">
        <v>8</v>
      </c>
      <c r="M389" t="b">
        <v>0</v>
      </c>
      <c r="N389" t="n">
        <v>0</v>
      </c>
      <c r="O389" t="b">
        <v>1</v>
      </c>
      <c r="P389" t="b">
        <v>0</v>
      </c>
      <c r="Q389" t="b">
        <v>1</v>
      </c>
    </row>
    <row r="390">
      <c r="A390" t="inlineStr">
        <is>
          <t>REQ00389</t>
        </is>
      </c>
      <c r="B390" t="inlineStr">
        <is>
          <t>39120020OM1WBMQHME41</t>
        </is>
      </c>
      <c r="C390" t="inlineStr">
        <is>
          <t>signatory_change</t>
        </is>
      </c>
      <c r="D390" s="2" t="n">
        <v>46302.49027777778</v>
      </c>
      <c r="E390" s="2" t="n">
        <v>46303.44861111111</v>
      </c>
      <c r="F390" t="inlineStr">
        <is>
          <t>M2</t>
        </is>
      </c>
      <c r="G390" t="inlineStr">
        <is>
          <t>C3</t>
        </is>
      </c>
      <c r="H390" s="2" t="n">
        <v>46302.51875</v>
      </c>
      <c r="I390" s="2" t="n">
        <v>46302.52777777778</v>
      </c>
      <c r="J390" t="inlineStr">
        <is>
          <t>Completed</t>
        </is>
      </c>
      <c r="K390" t="n">
        <v>0.91</v>
      </c>
      <c r="L390" t="n">
        <v>8</v>
      </c>
      <c r="M390" t="b">
        <v>0</v>
      </c>
      <c r="N390" t="n">
        <v>0</v>
      </c>
      <c r="O390" t="b">
        <v>1</v>
      </c>
      <c r="P390" t="b">
        <v>0</v>
      </c>
      <c r="Q390" t="b">
        <v>0</v>
      </c>
    </row>
    <row r="391">
      <c r="A391" t="inlineStr">
        <is>
          <t>REQ00390</t>
        </is>
      </c>
      <c r="B391" t="inlineStr">
        <is>
          <t>254900B1FNZQO9X89K38</t>
        </is>
      </c>
      <c r="C391" t="inlineStr">
        <is>
          <t>signatory_change</t>
        </is>
      </c>
      <c r="D391" s="2" t="n">
        <v>46302.49166666667</v>
      </c>
      <c r="E391" s="2" t="n">
        <v>46303.45</v>
      </c>
      <c r="F391" t="inlineStr">
        <is>
          <t>M5</t>
        </is>
      </c>
      <c r="G391" t="inlineStr">
        <is>
          <t>C2</t>
        </is>
      </c>
      <c r="H391" s="2" t="n">
        <v>46302.53055555555</v>
      </c>
      <c r="I391" s="2" t="n">
        <v>46303.41388888889</v>
      </c>
      <c r="J391" t="inlineStr">
        <is>
          <t>Completed</t>
        </is>
      </c>
      <c r="K391" t="n">
        <v>7.13</v>
      </c>
      <c r="L391" t="n">
        <v>8</v>
      </c>
      <c r="M391" t="b">
        <v>0</v>
      </c>
      <c r="N391" t="n">
        <v>1</v>
      </c>
      <c r="O391" t="b">
        <v>0</v>
      </c>
      <c r="P391" t="b">
        <v>1</v>
      </c>
      <c r="Q391" t="b">
        <v>1</v>
      </c>
    </row>
    <row r="392">
      <c r="A392" t="inlineStr">
        <is>
          <t>REQ00391</t>
        </is>
      </c>
      <c r="B392" t="inlineStr">
        <is>
          <t>724500RWRWSIR9M27B52</t>
        </is>
      </c>
      <c r="C392" t="inlineStr">
        <is>
          <t>data_amendment</t>
        </is>
      </c>
      <c r="D392" s="2" t="n">
        <v>46302.49583333333</v>
      </c>
      <c r="E392" s="2" t="n">
        <v>46303.45416666667</v>
      </c>
      <c r="F392" t="inlineStr">
        <is>
          <t>M3</t>
        </is>
      </c>
      <c r="G392" t="inlineStr">
        <is>
          <t>C2</t>
        </is>
      </c>
      <c r="H392" s="2" t="n">
        <v>46302.51875</v>
      </c>
      <c r="I392" s="2" t="n">
        <v>46302.6375</v>
      </c>
      <c r="J392" t="inlineStr">
        <is>
          <t>Completed</t>
        </is>
      </c>
      <c r="K392" t="n">
        <v>3.4</v>
      </c>
      <c r="L392" t="n">
        <v>8</v>
      </c>
      <c r="M392" t="b">
        <v>0</v>
      </c>
      <c r="N392" t="n">
        <v>0</v>
      </c>
      <c r="O392" t="b">
        <v>1</v>
      </c>
      <c r="P392" t="b">
        <v>0</v>
      </c>
      <c r="Q392" t="b">
        <v>1</v>
      </c>
    </row>
    <row r="393">
      <c r="A393" t="inlineStr">
        <is>
          <t>REQ00392</t>
        </is>
      </c>
      <c r="B393" t="inlineStr">
        <is>
          <t>9845005A958HA90FE049</t>
        </is>
      </c>
      <c r="C393" t="inlineStr">
        <is>
          <t>signatory_change</t>
        </is>
      </c>
      <c r="D393" s="2" t="n">
        <v>46302.49652777778</v>
      </c>
      <c r="E393" s="2" t="n">
        <v>46303.45486111111</v>
      </c>
      <c r="F393" t="inlineStr">
        <is>
          <t>M3</t>
        </is>
      </c>
      <c r="G393" t="inlineStr">
        <is>
          <t>C3</t>
        </is>
      </c>
      <c r="H393" s="2" t="n">
        <v>46302.53402777778</v>
      </c>
      <c r="I393" s="2" t="n">
        <v>46302.54027777778</v>
      </c>
      <c r="J393" t="inlineStr">
        <is>
          <t>Completed</t>
        </is>
      </c>
      <c r="K393" t="n">
        <v>1.05</v>
      </c>
      <c r="L393" t="n">
        <v>8</v>
      </c>
      <c r="M393" t="b">
        <v>0</v>
      </c>
      <c r="N393" t="n">
        <v>0</v>
      </c>
      <c r="O393" t="b">
        <v>1</v>
      </c>
      <c r="P393" t="b">
        <v>0</v>
      </c>
      <c r="Q393" t="b">
        <v>0</v>
      </c>
    </row>
    <row r="394">
      <c r="A394" t="inlineStr">
        <is>
          <t>REQ00393</t>
        </is>
      </c>
      <c r="B394" t="inlineStr">
        <is>
          <t>549300VKD8LJZMJ4KP57</t>
        </is>
      </c>
      <c r="C394" t="inlineStr">
        <is>
          <t>new_account</t>
        </is>
      </c>
      <c r="D394" s="2" t="n">
        <v>46302.49722222222</v>
      </c>
      <c r="E394" s="2" t="n">
        <v>46304.41388888889</v>
      </c>
      <c r="F394" t="inlineStr">
        <is>
          <t>M2</t>
        </is>
      </c>
      <c r="G394" t="inlineStr">
        <is>
          <t>C1</t>
        </is>
      </c>
      <c r="H394" s="2" t="n">
        <v>46302.54513888889</v>
      </c>
      <c r="I394" s="2" t="n">
        <v>46303.38333333333</v>
      </c>
      <c r="J394" t="inlineStr">
        <is>
          <t>Completed</t>
        </is>
      </c>
      <c r="K394" t="n">
        <v>6.27</v>
      </c>
      <c r="L394" t="n">
        <v>16</v>
      </c>
      <c r="M394" t="b">
        <v>0</v>
      </c>
      <c r="N394" t="n">
        <v>1</v>
      </c>
      <c r="O394" t="b">
        <v>0</v>
      </c>
      <c r="P394" t="b">
        <v>1</v>
      </c>
      <c r="Q394" t="b">
        <v>1</v>
      </c>
    </row>
    <row r="395">
      <c r="A395" t="inlineStr">
        <is>
          <t>REQ00394</t>
        </is>
      </c>
      <c r="B395" t="inlineStr">
        <is>
          <t>391200KVJ0PRXQWTFO74</t>
        </is>
      </c>
      <c r="C395" t="inlineStr">
        <is>
          <t>document_refresh</t>
        </is>
      </c>
      <c r="D395" s="2" t="n">
        <v>46302.50486111111</v>
      </c>
      <c r="E395" s="2" t="n">
        <v>46303.62986111111</v>
      </c>
      <c r="F395" t="inlineStr">
        <is>
          <t>M1</t>
        </is>
      </c>
      <c r="G395" t="inlineStr">
        <is>
          <t>C3</t>
        </is>
      </c>
      <c r="H395" s="2" t="n">
        <v>46302.53611111111</v>
      </c>
      <c r="I395" s="2" t="n">
        <v>46302.74236111111</v>
      </c>
      <c r="J395" t="inlineStr">
        <is>
          <t>Completed</t>
        </is>
      </c>
      <c r="K395" t="n">
        <v>5.7</v>
      </c>
      <c r="L395" t="n">
        <v>12</v>
      </c>
      <c r="M395" t="b">
        <v>0</v>
      </c>
      <c r="N395" t="n">
        <v>0</v>
      </c>
      <c r="O395" t="b">
        <v>1</v>
      </c>
      <c r="P395" t="b">
        <v>0</v>
      </c>
      <c r="Q395" t="b">
        <v>1</v>
      </c>
    </row>
    <row r="396">
      <c r="A396" t="inlineStr">
        <is>
          <t>REQ00395</t>
        </is>
      </c>
      <c r="B396" t="inlineStr">
        <is>
          <t>984500FAFBCA9F1FA487</t>
        </is>
      </c>
      <c r="C396" t="inlineStr">
        <is>
          <t>new_account</t>
        </is>
      </c>
      <c r="D396" s="2" t="n">
        <v>46302.50763888889</v>
      </c>
      <c r="E396" s="2" t="n">
        <v>46304.42430555556</v>
      </c>
      <c r="F396" t="inlineStr">
        <is>
          <t>M4</t>
        </is>
      </c>
      <c r="G396" t="inlineStr">
        <is>
          <t>C1</t>
        </is>
      </c>
      <c r="H396" s="2" t="n">
        <v>46302.55763888889</v>
      </c>
      <c r="I396" s="2" t="n">
        <v>46302.59097222222</v>
      </c>
      <c r="J396" t="inlineStr">
        <is>
          <t>Completed</t>
        </is>
      </c>
      <c r="K396" t="n">
        <v>2.01</v>
      </c>
      <c r="L396" t="n">
        <v>16</v>
      </c>
      <c r="M396" t="b">
        <v>0</v>
      </c>
      <c r="N396" t="n">
        <v>1</v>
      </c>
      <c r="O396" t="b">
        <v>0</v>
      </c>
      <c r="P396" t="b">
        <v>1</v>
      </c>
      <c r="Q396" t="b">
        <v>0</v>
      </c>
    </row>
    <row r="397">
      <c r="A397" t="inlineStr">
        <is>
          <t>REQ00396</t>
        </is>
      </c>
      <c r="B397" t="inlineStr">
        <is>
          <t>213800JC3WLN18884925</t>
        </is>
      </c>
      <c r="C397" t="inlineStr">
        <is>
          <t>document_refresh</t>
        </is>
      </c>
      <c r="D397" s="2" t="n">
        <v>46302.51458333333</v>
      </c>
      <c r="E397" s="2" t="n">
        <v>46303.63958333333</v>
      </c>
      <c r="F397" t="inlineStr">
        <is>
          <t>M6</t>
        </is>
      </c>
      <c r="G397" t="inlineStr">
        <is>
          <t>C1</t>
        </is>
      </c>
      <c r="H397" s="2" t="n">
        <v>46302.53541666667</v>
      </c>
      <c r="I397" s="2" t="n">
        <v>46303.41041666667</v>
      </c>
      <c r="J397" t="inlineStr">
        <is>
          <t>Completed</t>
        </is>
      </c>
      <c r="K397" t="n">
        <v>6.5</v>
      </c>
      <c r="L397" t="n">
        <v>12</v>
      </c>
      <c r="M397" t="b">
        <v>0</v>
      </c>
      <c r="N397" t="n">
        <v>0</v>
      </c>
      <c r="O397" t="b">
        <v>1</v>
      </c>
      <c r="P397" t="b">
        <v>0</v>
      </c>
      <c r="Q397" t="b">
        <v>1</v>
      </c>
    </row>
    <row r="398">
      <c r="A398" t="inlineStr">
        <is>
          <t>REQ00397</t>
        </is>
      </c>
      <c r="B398" t="inlineStr">
        <is>
          <t>391200TDGTSNJZJKW860</t>
        </is>
      </c>
      <c r="C398" t="inlineStr">
        <is>
          <t>document_refresh</t>
        </is>
      </c>
      <c r="D398" s="2" t="n">
        <v>46302.51875</v>
      </c>
      <c r="E398" s="2" t="n">
        <v>46303.64375</v>
      </c>
      <c r="F398" t="inlineStr">
        <is>
          <t>M5</t>
        </is>
      </c>
      <c r="G398" t="inlineStr">
        <is>
          <t>C2</t>
        </is>
      </c>
      <c r="H398" s="2" t="n">
        <v>46302.54722222222</v>
      </c>
      <c r="I398" s="2" t="n">
        <v>46302.55347222222</v>
      </c>
      <c r="J398" t="inlineStr">
        <is>
          <t>Completed</t>
        </is>
      </c>
      <c r="K398" t="n">
        <v>0.83</v>
      </c>
      <c r="L398" t="n">
        <v>12</v>
      </c>
      <c r="M398" t="b">
        <v>0</v>
      </c>
      <c r="N398" t="n">
        <v>0</v>
      </c>
      <c r="O398" t="b">
        <v>1</v>
      </c>
      <c r="P398" t="b">
        <v>0</v>
      </c>
      <c r="Q398" t="b">
        <v>0</v>
      </c>
    </row>
    <row r="399">
      <c r="A399" t="inlineStr">
        <is>
          <t>REQ00398</t>
        </is>
      </c>
      <c r="B399" t="inlineStr">
        <is>
          <t>5299004DZBO5PNOHFE93</t>
        </is>
      </c>
      <c r="C399" t="inlineStr">
        <is>
          <t>document_refresh</t>
        </is>
      </c>
      <c r="D399" s="2" t="n">
        <v>46302.51944444444</v>
      </c>
      <c r="E399" s="2" t="n">
        <v>46303.64444444444</v>
      </c>
      <c r="F399" t="inlineStr">
        <is>
          <t>M3</t>
        </is>
      </c>
      <c r="G399" t="inlineStr">
        <is>
          <t>C3</t>
        </is>
      </c>
      <c r="H399" s="2" t="n">
        <v>46302.54513888889</v>
      </c>
      <c r="I399" s="2" t="n">
        <v>46302.55</v>
      </c>
      <c r="J399" t="inlineStr">
        <is>
          <t>Completed</t>
        </is>
      </c>
      <c r="K399" t="n">
        <v>0.74</v>
      </c>
      <c r="L399" t="n">
        <v>12</v>
      </c>
      <c r="M399" t="b">
        <v>0</v>
      </c>
      <c r="N399" t="n">
        <v>0</v>
      </c>
      <c r="O399" t="b">
        <v>1</v>
      </c>
      <c r="P399" t="b">
        <v>0</v>
      </c>
      <c r="Q399" t="b">
        <v>0</v>
      </c>
    </row>
    <row r="400">
      <c r="A400" t="inlineStr">
        <is>
          <t>REQ00399</t>
        </is>
      </c>
      <c r="B400" t="inlineStr">
        <is>
          <t>254900MHUWSQX4HNYV82</t>
        </is>
      </c>
      <c r="C400" t="inlineStr">
        <is>
          <t>signatory_change</t>
        </is>
      </c>
      <c r="D400" s="2" t="n">
        <v>46302.51944444444</v>
      </c>
      <c r="E400" s="2" t="n">
        <v>46303.47777777778</v>
      </c>
      <c r="F400" t="inlineStr">
        <is>
          <t>M6</t>
        </is>
      </c>
      <c r="G400" t="inlineStr">
        <is>
          <t>C2</t>
        </is>
      </c>
      <c r="H400" s="2" t="n">
        <v>46302.56041666667</v>
      </c>
      <c r="I400" s="2" t="n">
        <v>46302.56875</v>
      </c>
      <c r="J400" t="inlineStr">
        <is>
          <t>Completed</t>
        </is>
      </c>
      <c r="K400" t="n">
        <v>1.18</v>
      </c>
      <c r="L400" t="n">
        <v>8</v>
      </c>
      <c r="M400" t="b">
        <v>0</v>
      </c>
      <c r="N400" t="n">
        <v>0</v>
      </c>
      <c r="O400" t="b">
        <v>1</v>
      </c>
      <c r="P400" t="b">
        <v>0</v>
      </c>
      <c r="Q400" t="b">
        <v>0</v>
      </c>
    </row>
    <row r="401">
      <c r="A401" t="inlineStr">
        <is>
          <t>REQ00400</t>
        </is>
      </c>
      <c r="B401" t="inlineStr">
        <is>
          <t>549300EHYKHUPQPQI392</t>
        </is>
      </c>
      <c r="C401" t="inlineStr">
        <is>
          <t>new_account</t>
        </is>
      </c>
      <c r="D401" s="2" t="n">
        <v>46302.52152777778</v>
      </c>
      <c r="E401" s="2" t="n">
        <v>46304.43819444445</v>
      </c>
      <c r="F401" t="inlineStr">
        <is>
          <t>M1</t>
        </is>
      </c>
      <c r="G401" t="inlineStr">
        <is>
          <t>C1</t>
        </is>
      </c>
      <c r="H401" s="2" t="n">
        <v>46302.56458333333</v>
      </c>
      <c r="I401" s="2" t="n">
        <v>46303.40486111111</v>
      </c>
      <c r="J401" t="inlineStr">
        <is>
          <t>Completed</t>
        </is>
      </c>
      <c r="K401" t="n">
        <v>6.2</v>
      </c>
      <c r="L401" t="n">
        <v>16</v>
      </c>
      <c r="M401" t="b">
        <v>0</v>
      </c>
      <c r="N401" t="n">
        <v>0</v>
      </c>
      <c r="O401" t="b">
        <v>1</v>
      </c>
      <c r="P401" t="b">
        <v>0</v>
      </c>
      <c r="Q401" t="b">
        <v>1</v>
      </c>
    </row>
    <row r="402">
      <c r="A402" t="inlineStr">
        <is>
          <t>REQ00401</t>
        </is>
      </c>
      <c r="B402" t="inlineStr">
        <is>
          <t>222100CS81RV5WWW2I52</t>
        </is>
      </c>
      <c r="C402" t="inlineStr">
        <is>
          <t>document_refresh</t>
        </is>
      </c>
      <c r="D402" s="2" t="n">
        <v>46302.52430555555</v>
      </c>
      <c r="E402" s="2" t="n">
        <v>46303.64930555555</v>
      </c>
      <c r="F402" t="inlineStr">
        <is>
          <t>M2</t>
        </is>
      </c>
      <c r="G402" t="inlineStr">
        <is>
          <t>C2</t>
        </is>
      </c>
      <c r="H402" s="2" t="n">
        <v>46302.5625</v>
      </c>
      <c r="I402" s="2" t="n">
        <v>46302.71875</v>
      </c>
      <c r="J402" t="inlineStr">
        <is>
          <t>Completed</t>
        </is>
      </c>
      <c r="K402" t="n">
        <v>4.67</v>
      </c>
      <c r="L402" t="n">
        <v>12</v>
      </c>
      <c r="M402" t="b">
        <v>0</v>
      </c>
      <c r="N402" t="n">
        <v>0</v>
      </c>
      <c r="O402" t="b">
        <v>1</v>
      </c>
      <c r="P402" t="b">
        <v>0</v>
      </c>
      <c r="Q402" t="b">
        <v>1</v>
      </c>
    </row>
    <row r="403">
      <c r="A403" t="inlineStr">
        <is>
          <t>REQ00402</t>
        </is>
      </c>
      <c r="B403" t="inlineStr">
        <is>
          <t>969500H9VGJZZ0MQWY13</t>
        </is>
      </c>
      <c r="C403" t="inlineStr">
        <is>
          <t>data_amendment</t>
        </is>
      </c>
      <c r="D403" s="2" t="n">
        <v>46302.525</v>
      </c>
      <c r="E403" s="2" t="n">
        <v>46303.48333333333</v>
      </c>
      <c r="F403" t="inlineStr">
        <is>
          <t>M3</t>
        </is>
      </c>
      <c r="G403" t="inlineStr">
        <is>
          <t>C1</t>
        </is>
      </c>
      <c r="H403" s="2" t="n">
        <v>46302.55833333333</v>
      </c>
      <c r="I403" s="2" t="n">
        <v>46303.425</v>
      </c>
      <c r="J403" t="inlineStr">
        <is>
          <t>Completed</t>
        </is>
      </c>
      <c r="K403" t="n">
        <v>6.6</v>
      </c>
      <c r="L403" t="n">
        <v>8</v>
      </c>
      <c r="M403" t="b">
        <v>0</v>
      </c>
      <c r="N403" t="n">
        <v>0</v>
      </c>
      <c r="O403" t="b">
        <v>1</v>
      </c>
      <c r="P403" t="b">
        <v>0</v>
      </c>
      <c r="Q403" t="b">
        <v>1</v>
      </c>
    </row>
    <row r="404">
      <c r="A404" t="inlineStr">
        <is>
          <t>REQ00403</t>
        </is>
      </c>
      <c r="B404" t="inlineStr">
        <is>
          <t>213800XXAQGXNN2LLN91</t>
        </is>
      </c>
      <c r="C404" t="inlineStr">
        <is>
          <t>new_account</t>
        </is>
      </c>
      <c r="D404" s="2" t="n">
        <v>46302.52569444444</v>
      </c>
      <c r="E404" s="2" t="n">
        <v>46304.44236111111</v>
      </c>
      <c r="F404" t="inlineStr">
        <is>
          <t>M5</t>
        </is>
      </c>
      <c r="G404" t="inlineStr">
        <is>
          <t>C2</t>
        </is>
      </c>
      <c r="H404" s="2" t="n">
        <v>46302.57569444444</v>
      </c>
      <c r="I404" s="2" t="n">
        <v>46303.40902777778</v>
      </c>
      <c r="J404" t="inlineStr">
        <is>
          <t>Completed</t>
        </is>
      </c>
      <c r="K404" t="n">
        <v>6.21</v>
      </c>
      <c r="L404" t="n">
        <v>16</v>
      </c>
      <c r="M404" t="b">
        <v>0</v>
      </c>
      <c r="N404" t="n">
        <v>0</v>
      </c>
      <c r="O404" t="b">
        <v>1</v>
      </c>
      <c r="P404" t="b">
        <v>0</v>
      </c>
      <c r="Q404" t="b">
        <v>1</v>
      </c>
    </row>
    <row r="405">
      <c r="A405" t="inlineStr">
        <is>
          <t>REQ00404</t>
        </is>
      </c>
      <c r="B405" t="inlineStr">
        <is>
          <t>648800KVVNN883H5EZ18</t>
        </is>
      </c>
      <c r="C405" t="inlineStr">
        <is>
          <t>data_amendment</t>
        </is>
      </c>
      <c r="D405" s="2" t="n">
        <v>46302.53125</v>
      </c>
      <c r="E405" s="2" t="n">
        <v>46303.48958333334</v>
      </c>
      <c r="F405" t="inlineStr">
        <is>
          <t>M4</t>
        </is>
      </c>
      <c r="G405" t="inlineStr">
        <is>
          <t>C3</t>
        </is>
      </c>
      <c r="H405" s="2" t="n">
        <v>46302.57083333333</v>
      </c>
      <c r="I405" s="2" t="n">
        <v>46302.57430555556</v>
      </c>
      <c r="J405" t="inlineStr">
        <is>
          <t>Completed</t>
        </is>
      </c>
      <c r="K405" t="n">
        <v>1.04</v>
      </c>
      <c r="L405" t="n">
        <v>8</v>
      </c>
      <c r="M405" t="b">
        <v>0</v>
      </c>
      <c r="N405" t="n">
        <v>0</v>
      </c>
      <c r="O405" t="b">
        <v>1</v>
      </c>
      <c r="P405" t="b">
        <v>0</v>
      </c>
      <c r="Q405" t="b">
        <v>0</v>
      </c>
    </row>
    <row r="406">
      <c r="A406" t="inlineStr">
        <is>
          <t>REQ00405</t>
        </is>
      </c>
      <c r="B406" t="inlineStr">
        <is>
          <t>529900RH3U64K4QX3945</t>
        </is>
      </c>
      <c r="C406" t="inlineStr">
        <is>
          <t>document_refresh</t>
        </is>
      </c>
      <c r="D406" s="2" t="n">
        <v>46302.53333333333</v>
      </c>
      <c r="E406" s="2" t="n">
        <v>46303.65833333333</v>
      </c>
      <c r="F406" t="inlineStr">
        <is>
          <t>M3</t>
        </is>
      </c>
      <c r="G406" t="inlineStr">
        <is>
          <t>C1</t>
        </is>
      </c>
      <c r="H406" s="2" t="n">
        <v>46302.57291666666</v>
      </c>
      <c r="I406" s="2" t="n">
        <v>46302.59236111111</v>
      </c>
      <c r="J406" t="inlineStr">
        <is>
          <t>Completed</t>
        </is>
      </c>
      <c r="K406" t="n">
        <v>1.41</v>
      </c>
      <c r="L406" t="n">
        <v>12</v>
      </c>
      <c r="M406" t="b">
        <v>0</v>
      </c>
      <c r="N406" t="n">
        <v>1</v>
      </c>
      <c r="O406" t="b">
        <v>0</v>
      </c>
      <c r="P406" t="b">
        <v>1</v>
      </c>
      <c r="Q406" t="b">
        <v>0</v>
      </c>
    </row>
    <row r="407">
      <c r="A407" t="inlineStr">
        <is>
          <t>REQ00406</t>
        </is>
      </c>
      <c r="B407" t="inlineStr">
        <is>
          <t>894500K91U5FWHFH4K28</t>
        </is>
      </c>
      <c r="C407" t="inlineStr">
        <is>
          <t>new_account</t>
        </is>
      </c>
      <c r="D407" s="2" t="n">
        <v>46302.53402777778</v>
      </c>
      <c r="E407" s="2" t="n">
        <v>46304.45069444444</v>
      </c>
      <c r="F407" t="inlineStr">
        <is>
          <t>M6</t>
        </is>
      </c>
      <c r="G407" t="inlineStr">
        <is>
          <t>C2</t>
        </is>
      </c>
      <c r="H407" s="2" t="n">
        <v>46302.58472222222</v>
      </c>
      <c r="I407" s="2" t="n">
        <v>46302.71180555555</v>
      </c>
      <c r="J407" t="inlineStr">
        <is>
          <t>Completed</t>
        </is>
      </c>
      <c r="K407" t="n">
        <v>4.27</v>
      </c>
      <c r="L407" t="n">
        <v>16</v>
      </c>
      <c r="M407" t="b">
        <v>0</v>
      </c>
      <c r="N407" t="n">
        <v>0</v>
      </c>
      <c r="O407" t="b">
        <v>1</v>
      </c>
      <c r="P407" t="b">
        <v>0</v>
      </c>
      <c r="Q407" t="b">
        <v>1</v>
      </c>
    </row>
    <row r="408">
      <c r="A408" t="inlineStr">
        <is>
          <t>REQ00407</t>
        </is>
      </c>
      <c r="B408" t="inlineStr">
        <is>
          <t>391200AVW5T0QROHSP89</t>
        </is>
      </c>
      <c r="C408" t="inlineStr">
        <is>
          <t>new_account</t>
        </is>
      </c>
      <c r="D408" s="2" t="n">
        <v>46302.53541666667</v>
      </c>
      <c r="E408" s="2" t="n">
        <v>46304.45208333333</v>
      </c>
      <c r="F408" t="inlineStr">
        <is>
          <t>M2</t>
        </is>
      </c>
      <c r="G408" t="inlineStr">
        <is>
          <t>C3</t>
        </is>
      </c>
      <c r="H408" s="2" t="n">
        <v>46302.60208333333</v>
      </c>
      <c r="I408" s="2" t="n">
        <v>46302.72986111111</v>
      </c>
      <c r="J408" t="inlineStr">
        <is>
          <t>Completed</t>
        </is>
      </c>
      <c r="K408" t="n">
        <v>4.67</v>
      </c>
      <c r="L408" t="n">
        <v>16</v>
      </c>
      <c r="M408" t="b">
        <v>0</v>
      </c>
      <c r="N408" t="n">
        <v>1</v>
      </c>
      <c r="O408" t="b">
        <v>0</v>
      </c>
      <c r="P408" t="b">
        <v>1</v>
      </c>
      <c r="Q408" t="b">
        <v>1</v>
      </c>
    </row>
    <row r="409">
      <c r="A409" t="inlineStr">
        <is>
          <t>REQ00408</t>
        </is>
      </c>
      <c r="B409" t="inlineStr">
        <is>
          <t>54930036GBKO02AQVT36</t>
        </is>
      </c>
      <c r="C409" t="inlineStr">
        <is>
          <t>signatory_change</t>
        </is>
      </c>
      <c r="D409" s="2" t="n">
        <v>46302.54791666667</v>
      </c>
      <c r="E409" s="2" t="n">
        <v>46303.50625</v>
      </c>
      <c r="F409" t="inlineStr">
        <is>
          <t>M1</t>
        </is>
      </c>
      <c r="G409" t="inlineStr">
        <is>
          <t>C1</t>
        </is>
      </c>
      <c r="H409" s="2" t="n">
        <v>46302.59027777778</v>
      </c>
      <c r="I409" s="2" t="n">
        <v>46302.59513888889</v>
      </c>
      <c r="J409" t="inlineStr">
        <is>
          <t>Completed</t>
        </is>
      </c>
      <c r="K409" t="n">
        <v>1.13</v>
      </c>
      <c r="L409" t="n">
        <v>8</v>
      </c>
      <c r="M409" t="b">
        <v>0</v>
      </c>
      <c r="N409" t="n">
        <v>0</v>
      </c>
      <c r="O409" t="b">
        <v>1</v>
      </c>
      <c r="P409" t="b">
        <v>0</v>
      </c>
      <c r="Q409" t="b">
        <v>0</v>
      </c>
    </row>
    <row r="410">
      <c r="A410" t="inlineStr">
        <is>
          <t>REQ00409</t>
        </is>
      </c>
      <c r="B410" t="inlineStr">
        <is>
          <t>2138005NJTCVIESFNT95</t>
        </is>
      </c>
      <c r="C410" t="inlineStr">
        <is>
          <t>document_refresh</t>
        </is>
      </c>
      <c r="D410" s="2" t="n">
        <v>46302.55069444444</v>
      </c>
      <c r="E410" s="2" t="n">
        <v>46303.67569444444</v>
      </c>
      <c r="F410" t="inlineStr">
        <is>
          <t>M4</t>
        </is>
      </c>
      <c r="G410" t="inlineStr">
        <is>
          <t>C2</t>
        </is>
      </c>
      <c r="H410" s="2" t="n">
        <v>46302.58194444444</v>
      </c>
      <c r="I410" s="2" t="n">
        <v>46302.5875</v>
      </c>
      <c r="J410" t="inlineStr">
        <is>
          <t>Completed</t>
        </is>
      </c>
      <c r="K410" t="n">
        <v>0.88</v>
      </c>
      <c r="L410" t="n">
        <v>12</v>
      </c>
      <c r="M410" t="b">
        <v>0</v>
      </c>
      <c r="N410" t="n">
        <v>0</v>
      </c>
      <c r="O410" t="b">
        <v>1</v>
      </c>
      <c r="P410" t="b">
        <v>0</v>
      </c>
      <c r="Q410" t="b">
        <v>0</v>
      </c>
    </row>
    <row r="411">
      <c r="A411" t="inlineStr">
        <is>
          <t>REQ00410</t>
        </is>
      </c>
      <c r="B411" t="inlineStr">
        <is>
          <t>648800M75CUL56JD1X14</t>
        </is>
      </c>
      <c r="C411" t="inlineStr">
        <is>
          <t>new_account</t>
        </is>
      </c>
      <c r="D411" s="2" t="n">
        <v>46302.55069444444</v>
      </c>
      <c r="E411" s="2" t="n">
        <v>46304.46736111111</v>
      </c>
      <c r="F411" t="inlineStr">
        <is>
          <t>M3</t>
        </is>
      </c>
      <c r="G411" t="inlineStr">
        <is>
          <t>C2</t>
        </is>
      </c>
      <c r="H411" s="2" t="n">
        <v>46302.60138888889</v>
      </c>
      <c r="I411" s="2" t="n">
        <v>46302.61388888889</v>
      </c>
      <c r="J411" t="inlineStr">
        <is>
          <t>Completed</t>
        </is>
      </c>
      <c r="K411" t="n">
        <v>1.52</v>
      </c>
      <c r="L411" t="n">
        <v>16</v>
      </c>
      <c r="M411" t="b">
        <v>0</v>
      </c>
      <c r="N411" t="n">
        <v>0</v>
      </c>
      <c r="O411" t="b">
        <v>1</v>
      </c>
      <c r="P411" t="b">
        <v>0</v>
      </c>
      <c r="Q411" t="b">
        <v>0</v>
      </c>
    </row>
    <row r="412">
      <c r="A412" t="inlineStr">
        <is>
          <t>REQ00411</t>
        </is>
      </c>
      <c r="B412" t="inlineStr">
        <is>
          <t>9695002C3UUOH9R2GD67</t>
        </is>
      </c>
      <c r="C412" t="inlineStr">
        <is>
          <t>document_refresh</t>
        </is>
      </c>
      <c r="D412" s="2" t="n">
        <v>46302.55138888889</v>
      </c>
      <c r="E412" s="2" t="n">
        <v>46303.67638888889</v>
      </c>
      <c r="F412" t="inlineStr">
        <is>
          <t>M5</t>
        </is>
      </c>
      <c r="G412" t="inlineStr">
        <is>
          <t>C1</t>
        </is>
      </c>
      <c r="H412" s="2" t="n">
        <v>46302.59236111111</v>
      </c>
      <c r="I412" s="2" t="n">
        <v>46302.60069444445</v>
      </c>
      <c r="J412" t="inlineStr">
        <is>
          <t>Completed</t>
        </is>
      </c>
      <c r="K412" t="n">
        <v>1.18</v>
      </c>
      <c r="L412" t="n">
        <v>12</v>
      </c>
      <c r="M412" t="b">
        <v>0</v>
      </c>
      <c r="N412" t="n">
        <v>0</v>
      </c>
      <c r="O412" t="b">
        <v>1</v>
      </c>
      <c r="P412" t="b">
        <v>0</v>
      </c>
      <c r="Q412" t="b">
        <v>0</v>
      </c>
    </row>
    <row r="413">
      <c r="A413" t="inlineStr">
        <is>
          <t>REQ00412</t>
        </is>
      </c>
      <c r="B413" t="inlineStr">
        <is>
          <t>549300YW504HRCJ4B397</t>
        </is>
      </c>
      <c r="C413" t="inlineStr">
        <is>
          <t>signatory_change</t>
        </is>
      </c>
      <c r="D413" s="2" t="n">
        <v>46302.55902777778</v>
      </c>
      <c r="E413" s="2" t="n">
        <v>46303.51736111111</v>
      </c>
      <c r="F413" t="inlineStr">
        <is>
          <t>M4</t>
        </is>
      </c>
      <c r="G413" t="inlineStr">
        <is>
          <t>C3</t>
        </is>
      </c>
      <c r="H413" s="2" t="n">
        <v>46302.60069444445</v>
      </c>
      <c r="I413" s="2" t="n">
        <v>46302.60555555556</v>
      </c>
      <c r="J413" t="inlineStr">
        <is>
          <t>Completed</t>
        </is>
      </c>
      <c r="K413" t="n">
        <v>1.12</v>
      </c>
      <c r="L413" t="n">
        <v>8</v>
      </c>
      <c r="M413" t="b">
        <v>0</v>
      </c>
      <c r="N413" t="n">
        <v>0</v>
      </c>
      <c r="O413" t="b">
        <v>1</v>
      </c>
      <c r="P413" t="b">
        <v>0</v>
      </c>
      <c r="Q413" t="b">
        <v>0</v>
      </c>
    </row>
    <row r="414">
      <c r="A414" t="inlineStr">
        <is>
          <t>REQ00413</t>
        </is>
      </c>
      <c r="B414" t="inlineStr">
        <is>
          <t>529900HOYOVL3V9UG451</t>
        </is>
      </c>
      <c r="C414" t="inlineStr">
        <is>
          <t>signatory_change</t>
        </is>
      </c>
      <c r="D414" s="2" t="n">
        <v>46302.56041666667</v>
      </c>
      <c r="E414" s="2" t="n">
        <v>46303.51875</v>
      </c>
      <c r="F414" t="inlineStr">
        <is>
          <t>M6</t>
        </is>
      </c>
      <c r="G414" t="inlineStr">
        <is>
          <t>C2</t>
        </is>
      </c>
      <c r="H414" s="2" t="n">
        <v>46302.60625</v>
      </c>
      <c r="I414" s="2" t="n">
        <v>46303.42638888889</v>
      </c>
      <c r="J414" t="inlineStr">
        <is>
          <t>Completed</t>
        </is>
      </c>
      <c r="K414" t="n">
        <v>5.78</v>
      </c>
      <c r="L414" t="n">
        <v>8</v>
      </c>
      <c r="M414" t="b">
        <v>0</v>
      </c>
      <c r="N414" t="n">
        <v>0</v>
      </c>
      <c r="O414" t="b">
        <v>1</v>
      </c>
      <c r="P414" t="b">
        <v>0</v>
      </c>
      <c r="Q414" t="b">
        <v>1</v>
      </c>
    </row>
    <row r="415">
      <c r="A415" t="inlineStr">
        <is>
          <t>REQ00414</t>
        </is>
      </c>
      <c r="B415" t="inlineStr">
        <is>
          <t>549300W2CJZLNISW2I31</t>
        </is>
      </c>
      <c r="C415" t="inlineStr">
        <is>
          <t>new_account</t>
        </is>
      </c>
      <c r="D415" s="2" t="n">
        <v>46302.5625</v>
      </c>
      <c r="E415" s="2" t="n">
        <v>46304.47916666666</v>
      </c>
      <c r="F415" t="inlineStr">
        <is>
          <t>M1</t>
        </is>
      </c>
      <c r="G415" t="inlineStr">
        <is>
          <t>C2</t>
        </is>
      </c>
      <c r="H415" s="2" t="n">
        <v>46302.61736111111</v>
      </c>
      <c r="I415" s="2" t="n">
        <v>46302.74097222222</v>
      </c>
      <c r="J415" t="inlineStr">
        <is>
          <t>Completed</t>
        </is>
      </c>
      <c r="K415" t="n">
        <v>4.28</v>
      </c>
      <c r="L415" t="n">
        <v>16</v>
      </c>
      <c r="M415" t="b">
        <v>0</v>
      </c>
      <c r="N415" t="n">
        <v>0</v>
      </c>
      <c r="O415" t="b">
        <v>1</v>
      </c>
      <c r="P415" t="b">
        <v>0</v>
      </c>
      <c r="Q415" t="b">
        <v>1</v>
      </c>
    </row>
    <row r="416">
      <c r="A416" t="inlineStr">
        <is>
          <t>REQ00415</t>
        </is>
      </c>
      <c r="B416" t="inlineStr">
        <is>
          <t>969500OEGY67M43G1H20</t>
        </is>
      </c>
      <c r="C416" t="inlineStr">
        <is>
          <t>document_refresh</t>
        </is>
      </c>
      <c r="D416" s="2" t="n">
        <v>46302.5625</v>
      </c>
      <c r="E416" s="2" t="n">
        <v>46303.6875</v>
      </c>
      <c r="F416" t="inlineStr">
        <is>
          <t>M5</t>
        </is>
      </c>
      <c r="G416" t="inlineStr">
        <is>
          <t>C1</t>
        </is>
      </c>
      <c r="H416" s="2" t="n">
        <v>46302.60555555556</v>
      </c>
      <c r="I416" s="2" t="n">
        <v>46303.47222222222</v>
      </c>
      <c r="J416" t="inlineStr">
        <is>
          <t>Completed</t>
        </is>
      </c>
      <c r="K416" t="n">
        <v>6.83</v>
      </c>
      <c r="L416" t="n">
        <v>12</v>
      </c>
      <c r="M416" t="b">
        <v>0</v>
      </c>
      <c r="N416" t="n">
        <v>0</v>
      </c>
      <c r="O416" t="b">
        <v>1</v>
      </c>
      <c r="P416" t="b">
        <v>0</v>
      </c>
      <c r="Q416" t="b">
        <v>1</v>
      </c>
    </row>
    <row r="417">
      <c r="A417" t="inlineStr">
        <is>
          <t>REQ00416</t>
        </is>
      </c>
      <c r="B417" t="inlineStr">
        <is>
          <t>549300JQ8ICP9M1ZSH63</t>
        </is>
      </c>
      <c r="C417" t="inlineStr">
        <is>
          <t>document_refresh</t>
        </is>
      </c>
      <c r="D417" s="2" t="n">
        <v>46302.56458333333</v>
      </c>
      <c r="E417" s="2" t="n">
        <v>46303.68958333333</v>
      </c>
      <c r="F417" t="inlineStr">
        <is>
          <t>M4</t>
        </is>
      </c>
      <c r="G417" t="inlineStr">
        <is>
          <t>C3</t>
        </is>
      </c>
      <c r="H417" s="2" t="n">
        <v>46302.61527777778</v>
      </c>
      <c r="I417" s="2" t="n">
        <v>46302.71111111111</v>
      </c>
      <c r="J417" t="inlineStr">
        <is>
          <t>Completed</t>
        </is>
      </c>
      <c r="K417" t="n">
        <v>3.51</v>
      </c>
      <c r="L417" t="n">
        <v>12</v>
      </c>
      <c r="M417" t="b">
        <v>0</v>
      </c>
      <c r="N417" t="n">
        <v>0</v>
      </c>
      <c r="O417" t="b">
        <v>1</v>
      </c>
      <c r="P417" t="b">
        <v>0</v>
      </c>
      <c r="Q417" t="b">
        <v>1</v>
      </c>
    </row>
    <row r="418">
      <c r="A418" t="inlineStr">
        <is>
          <t>REQ00417</t>
        </is>
      </c>
      <c r="B418" t="inlineStr">
        <is>
          <t>549300E0R4ILSHINZX78</t>
        </is>
      </c>
      <c r="C418" t="inlineStr">
        <is>
          <t>new_account</t>
        </is>
      </c>
      <c r="D418" s="2" t="n">
        <v>46302.56597222222</v>
      </c>
      <c r="E418" s="2" t="n">
        <v>46304.48263888889</v>
      </c>
      <c r="F418" t="inlineStr">
        <is>
          <t>M3</t>
        </is>
      </c>
      <c r="G418" t="inlineStr">
        <is>
          <t>C2</t>
        </is>
      </c>
      <c r="H418" s="2" t="n">
        <v>46302.63472222222</v>
      </c>
      <c r="I418" s="2" t="n">
        <v>46303.50902777778</v>
      </c>
      <c r="J418" t="inlineStr">
        <is>
          <t>Completed</t>
        </is>
      </c>
      <c r="K418" t="n">
        <v>7.64</v>
      </c>
      <c r="L418" t="n">
        <v>16</v>
      </c>
      <c r="M418" t="b">
        <v>0</v>
      </c>
      <c r="N418" t="n">
        <v>0</v>
      </c>
      <c r="O418" t="b">
        <v>1</v>
      </c>
      <c r="P418" t="b">
        <v>0</v>
      </c>
      <c r="Q418" t="b">
        <v>1</v>
      </c>
    </row>
    <row r="419">
      <c r="A419" t="inlineStr">
        <is>
          <t>REQ00418</t>
        </is>
      </c>
      <c r="B419" t="inlineStr">
        <is>
          <t>6488RY8G5J8EG22R7391</t>
        </is>
      </c>
      <c r="C419" t="inlineStr">
        <is>
          <t>document_refresh</t>
        </is>
      </c>
      <c r="D419" s="2" t="n">
        <v>46302.56597222222</v>
      </c>
      <c r="E419" s="2" t="n">
        <v>46303.69097222222</v>
      </c>
      <c r="F419" t="inlineStr">
        <is>
          <t>M2</t>
        </is>
      </c>
      <c r="G419" t="inlineStr">
        <is>
          <t>C2</t>
        </is>
      </c>
      <c r="H419" s="2" t="n">
        <v>46302.61597222222</v>
      </c>
      <c r="I419" s="2" t="n">
        <v>46302.62013888889</v>
      </c>
      <c r="J419" t="inlineStr">
        <is>
          <t>Completed</t>
        </is>
      </c>
      <c r="K419" t="n">
        <v>1.3</v>
      </c>
      <c r="L419" t="n">
        <v>12</v>
      </c>
      <c r="M419" t="b">
        <v>0</v>
      </c>
      <c r="N419" t="n">
        <v>0</v>
      </c>
      <c r="O419" t="b">
        <v>1</v>
      </c>
      <c r="P419" t="b">
        <v>0</v>
      </c>
      <c r="Q419" t="b">
        <v>0</v>
      </c>
    </row>
    <row r="420">
      <c r="A420" t="inlineStr">
        <is>
          <t>REQ00419</t>
        </is>
      </c>
      <c r="B420" t="inlineStr">
        <is>
          <t>529900YGE5235YHZHI90</t>
        </is>
      </c>
      <c r="C420" t="inlineStr">
        <is>
          <t>signatory_change</t>
        </is>
      </c>
      <c r="D420" s="2" t="n">
        <v>46302.57083333333</v>
      </c>
      <c r="E420" s="2" t="n">
        <v>46303.52916666667</v>
      </c>
      <c r="F420" t="inlineStr">
        <is>
          <t>M5</t>
        </is>
      </c>
      <c r="G420" t="inlineStr">
        <is>
          <t>C3</t>
        </is>
      </c>
      <c r="H420" s="2" t="n">
        <v>46302.625</v>
      </c>
      <c r="I420" s="2" t="n">
        <v>46303.50138888889</v>
      </c>
      <c r="J420" t="inlineStr">
        <is>
          <t>Completed</t>
        </is>
      </c>
      <c r="K420" t="n">
        <v>7.34</v>
      </c>
      <c r="L420" t="n">
        <v>8</v>
      </c>
      <c r="M420" t="b">
        <v>0</v>
      </c>
      <c r="N420" t="n">
        <v>0</v>
      </c>
      <c r="O420" t="b">
        <v>1</v>
      </c>
      <c r="P420" t="b">
        <v>0</v>
      </c>
      <c r="Q420" t="b">
        <v>1</v>
      </c>
    </row>
    <row r="421">
      <c r="A421" t="inlineStr">
        <is>
          <t>REQ00420</t>
        </is>
      </c>
      <c r="B421" t="inlineStr">
        <is>
          <t>969500O7R3LOUREMZ404</t>
        </is>
      </c>
      <c r="C421" t="inlineStr">
        <is>
          <t>data_amendment</t>
        </is>
      </c>
      <c r="D421" s="2" t="n">
        <v>46302.57222222222</v>
      </c>
      <c r="E421" s="2" t="n">
        <v>46303.53055555555</v>
      </c>
      <c r="F421" t="inlineStr">
        <is>
          <t>M6</t>
        </is>
      </c>
      <c r="G421" t="inlineStr">
        <is>
          <t>C2</t>
        </is>
      </c>
      <c r="H421" s="2" t="n">
        <v>46302.61597222222</v>
      </c>
      <c r="I421" s="2" t="n">
        <v>46303.38611111111</v>
      </c>
      <c r="J421" t="inlineStr">
        <is>
          <t>Completed</t>
        </is>
      </c>
      <c r="K421" t="n">
        <v>4.54</v>
      </c>
      <c r="L421" t="n">
        <v>8</v>
      </c>
      <c r="M421" t="b">
        <v>0</v>
      </c>
      <c r="N421" t="n">
        <v>0</v>
      </c>
      <c r="O421" t="b">
        <v>1</v>
      </c>
      <c r="P421" t="b">
        <v>0</v>
      </c>
      <c r="Q421" t="b">
        <v>1</v>
      </c>
    </row>
    <row r="422">
      <c r="A422" t="inlineStr">
        <is>
          <t>REQ00421</t>
        </is>
      </c>
      <c r="B422" t="inlineStr">
        <is>
          <t>894500RC6Y7KIARHX310</t>
        </is>
      </c>
      <c r="C422" t="inlineStr">
        <is>
          <t>new_account</t>
        </is>
      </c>
      <c r="D422" s="2" t="n">
        <v>46302.575</v>
      </c>
      <c r="E422" s="2" t="n">
        <v>46304.49166666667</v>
      </c>
      <c r="F422" t="inlineStr">
        <is>
          <t>M4</t>
        </is>
      </c>
      <c r="G422" t="inlineStr">
        <is>
          <t>C2</t>
        </is>
      </c>
      <c r="H422" s="2" t="n">
        <v>46302.65277777778</v>
      </c>
      <c r="I422" s="2" t="n">
        <v>46302.66666666666</v>
      </c>
      <c r="J422" t="inlineStr">
        <is>
          <t>Completed</t>
        </is>
      </c>
      <c r="K422" t="n">
        <v>2.19</v>
      </c>
      <c r="L422" t="n">
        <v>16</v>
      </c>
      <c r="M422" t="b">
        <v>0</v>
      </c>
      <c r="N422" t="n">
        <v>0</v>
      </c>
      <c r="O422" t="b">
        <v>1</v>
      </c>
      <c r="P422" t="b">
        <v>0</v>
      </c>
      <c r="Q422" t="b">
        <v>0</v>
      </c>
    </row>
    <row r="423">
      <c r="A423" t="inlineStr">
        <is>
          <t>REQ00422</t>
        </is>
      </c>
      <c r="B423" t="inlineStr">
        <is>
          <t>894500P1COX364M7BE55</t>
        </is>
      </c>
      <c r="C423" t="inlineStr">
        <is>
          <t>data_amendment</t>
        </is>
      </c>
      <c r="D423" s="2" t="n">
        <v>46302.58055555556</v>
      </c>
      <c r="E423" s="2" t="n">
        <v>46303.53888888889</v>
      </c>
      <c r="F423" t="inlineStr">
        <is>
          <t>M6</t>
        </is>
      </c>
      <c r="G423" t="inlineStr">
        <is>
          <t>C1</t>
        </is>
      </c>
      <c r="H423" s="2" t="n">
        <v>46302.62638888889</v>
      </c>
      <c r="I423" s="2" t="n">
        <v>46302.63055555556</v>
      </c>
      <c r="J423" t="inlineStr">
        <is>
          <t>Completed</t>
        </is>
      </c>
      <c r="K423" t="n">
        <v>1.2</v>
      </c>
      <c r="L423" t="n">
        <v>8</v>
      </c>
      <c r="M423" t="b">
        <v>0</v>
      </c>
      <c r="N423" t="n">
        <v>0</v>
      </c>
      <c r="O423" t="b">
        <v>1</v>
      </c>
      <c r="P423" t="b">
        <v>0</v>
      </c>
      <c r="Q423" t="b">
        <v>0</v>
      </c>
    </row>
    <row r="424">
      <c r="A424" t="inlineStr">
        <is>
          <t>REQ00423</t>
        </is>
      </c>
      <c r="B424" t="inlineStr">
        <is>
          <t>5299008V4SLEY8B82Z44</t>
        </is>
      </c>
      <c r="C424" t="inlineStr">
        <is>
          <t>signatory_change</t>
        </is>
      </c>
      <c r="D424" s="2" t="n">
        <v>46302.58194444444</v>
      </c>
      <c r="E424" s="2" t="n">
        <v>46303.54027777778</v>
      </c>
      <c r="F424" t="inlineStr">
        <is>
          <t>M2</t>
        </is>
      </c>
      <c r="G424" t="inlineStr">
        <is>
          <t>C3</t>
        </is>
      </c>
      <c r="H424" s="2" t="n">
        <v>46302.63263888889</v>
      </c>
      <c r="I424" s="2" t="n">
        <v>46302.72638888889</v>
      </c>
      <c r="J424" t="inlineStr">
        <is>
          <t>Completed</t>
        </is>
      </c>
      <c r="K424" t="n">
        <v>3.46</v>
      </c>
      <c r="L424" t="n">
        <v>8</v>
      </c>
      <c r="M424" t="b">
        <v>0</v>
      </c>
      <c r="N424" t="n">
        <v>0</v>
      </c>
      <c r="O424" t="b">
        <v>1</v>
      </c>
      <c r="P424" t="b">
        <v>0</v>
      </c>
      <c r="Q424" t="b">
        <v>1</v>
      </c>
    </row>
    <row r="425">
      <c r="A425" t="inlineStr">
        <is>
          <t>REQ00424</t>
        </is>
      </c>
      <c r="B425" t="inlineStr">
        <is>
          <t>8945003PHWQEFLK8SV09</t>
        </is>
      </c>
      <c r="C425" t="inlineStr">
        <is>
          <t>signatory_change</t>
        </is>
      </c>
      <c r="D425" s="2" t="n">
        <v>46302.58472222222</v>
      </c>
      <c r="E425" s="2" t="n">
        <v>46303.54305555556</v>
      </c>
      <c r="F425" t="inlineStr">
        <is>
          <t>M1</t>
        </is>
      </c>
      <c r="G425" t="inlineStr">
        <is>
          <t>C1</t>
        </is>
      </c>
      <c r="H425" s="2" t="n">
        <v>46302.63680555556</v>
      </c>
      <c r="I425" s="2" t="n">
        <v>46302.64305555556</v>
      </c>
      <c r="J425" t="inlineStr">
        <is>
          <t>Completed</t>
        </is>
      </c>
      <c r="K425" t="n">
        <v>1.39</v>
      </c>
      <c r="L425" t="n">
        <v>8</v>
      </c>
      <c r="M425" t="b">
        <v>0</v>
      </c>
      <c r="N425" t="n">
        <v>0</v>
      </c>
      <c r="O425" t="b">
        <v>1</v>
      </c>
      <c r="P425" t="b">
        <v>0</v>
      </c>
      <c r="Q425" t="b">
        <v>0</v>
      </c>
    </row>
    <row r="426">
      <c r="A426" t="inlineStr">
        <is>
          <t>REQ00425</t>
        </is>
      </c>
      <c r="B426" t="inlineStr">
        <is>
          <t>969500HZ2RPE95610Z89</t>
        </is>
      </c>
      <c r="C426" t="inlineStr">
        <is>
          <t>data_amendment</t>
        </is>
      </c>
      <c r="D426" s="2" t="n">
        <v>46302.59027777778</v>
      </c>
      <c r="E426" s="2" t="n">
        <v>46303.54861111111</v>
      </c>
      <c r="F426" t="inlineStr">
        <is>
          <t>M5</t>
        </is>
      </c>
      <c r="G426" t="inlineStr">
        <is>
          <t>C3</t>
        </is>
      </c>
      <c r="H426" s="2" t="n">
        <v>46302.63541666666</v>
      </c>
      <c r="I426" s="2" t="n">
        <v>46303.41666666666</v>
      </c>
      <c r="J426" t="inlineStr">
        <is>
          <t>Completed</t>
        </is>
      </c>
      <c r="K426" t="n">
        <v>4.83</v>
      </c>
      <c r="L426" t="n">
        <v>8</v>
      </c>
      <c r="M426" t="b">
        <v>0</v>
      </c>
      <c r="N426" t="n">
        <v>0</v>
      </c>
      <c r="O426" t="b">
        <v>1</v>
      </c>
      <c r="P426" t="b">
        <v>0</v>
      </c>
      <c r="Q426" t="b">
        <v>1</v>
      </c>
    </row>
    <row r="427">
      <c r="A427" t="inlineStr">
        <is>
          <t>REQ00426</t>
        </is>
      </c>
      <c r="B427" t="inlineStr">
        <is>
          <t>64884L9KFV7S5A640E20</t>
        </is>
      </c>
      <c r="C427" t="inlineStr">
        <is>
          <t>signatory_change</t>
        </is>
      </c>
      <c r="D427" s="2" t="n">
        <v>46302.59097222222</v>
      </c>
      <c r="E427" s="2" t="n">
        <v>46303.54930555556</v>
      </c>
      <c r="F427" t="inlineStr">
        <is>
          <t>M6</t>
        </is>
      </c>
      <c r="G427" t="inlineStr">
        <is>
          <t>C3</t>
        </is>
      </c>
      <c r="H427" s="2" t="n">
        <v>46302.64166666667</v>
      </c>
      <c r="I427" s="2" t="n">
        <v>46302.65069444444</v>
      </c>
      <c r="J427" t="inlineStr">
        <is>
          <t>Completed</t>
        </is>
      </c>
      <c r="K427" t="n">
        <v>1.43</v>
      </c>
      <c r="L427" t="n">
        <v>8</v>
      </c>
      <c r="M427" t="b">
        <v>0</v>
      </c>
      <c r="N427" t="n">
        <v>0</v>
      </c>
      <c r="O427" t="b">
        <v>1</v>
      </c>
      <c r="P427" t="b">
        <v>0</v>
      </c>
      <c r="Q427" t="b">
        <v>0</v>
      </c>
    </row>
    <row r="428">
      <c r="A428" t="inlineStr">
        <is>
          <t>REQ00427</t>
        </is>
      </c>
      <c r="B428" t="inlineStr">
        <is>
          <t>7245009ISA7BO2VUSJ39</t>
        </is>
      </c>
      <c r="C428" t="inlineStr">
        <is>
          <t>new_account</t>
        </is>
      </c>
      <c r="D428" s="2" t="n">
        <v>46302.59305555555</v>
      </c>
      <c r="E428" s="2" t="n">
        <v>46304.50972222222</v>
      </c>
      <c r="F428" t="inlineStr">
        <is>
          <t>M2</t>
        </is>
      </c>
      <c r="G428" t="inlineStr">
        <is>
          <t>C1</t>
        </is>
      </c>
      <c r="H428" s="2" t="n">
        <v>46302.66180555556</v>
      </c>
      <c r="I428" s="2" t="n">
        <v>46302.67361111111</v>
      </c>
      <c r="J428" t="inlineStr">
        <is>
          <t>Completed</t>
        </is>
      </c>
      <c r="K428" t="n">
        <v>1.94</v>
      </c>
      <c r="L428" t="n">
        <v>16</v>
      </c>
      <c r="M428" t="b">
        <v>0</v>
      </c>
      <c r="N428" t="n">
        <v>0</v>
      </c>
      <c r="O428" t="b">
        <v>1</v>
      </c>
      <c r="P428" t="b">
        <v>0</v>
      </c>
      <c r="Q428" t="b">
        <v>0</v>
      </c>
    </row>
    <row r="429">
      <c r="A429" t="inlineStr">
        <is>
          <t>REQ00428</t>
        </is>
      </c>
      <c r="B429" t="inlineStr">
        <is>
          <t>254900ZQTET8B0IVW049</t>
        </is>
      </c>
      <c r="C429" t="inlineStr">
        <is>
          <t>document_refresh</t>
        </is>
      </c>
      <c r="D429" s="2" t="n">
        <v>46302.59444444445</v>
      </c>
      <c r="E429" s="2" t="n">
        <v>46303.71944444445</v>
      </c>
      <c r="F429" t="inlineStr">
        <is>
          <t>M3</t>
        </is>
      </c>
      <c r="G429" t="inlineStr">
        <is>
          <t>C1</t>
        </is>
      </c>
      <c r="H429" s="2" t="n">
        <v>46302.64652777778</v>
      </c>
      <c r="I429" s="2" t="n">
        <v>46302.65138888889</v>
      </c>
      <c r="J429" t="inlineStr">
        <is>
          <t>Completed</t>
        </is>
      </c>
      <c r="K429" t="n">
        <v>1.36</v>
      </c>
      <c r="L429" t="n">
        <v>12</v>
      </c>
      <c r="M429" t="b">
        <v>0</v>
      </c>
      <c r="N429" t="n">
        <v>0</v>
      </c>
      <c r="O429" t="b">
        <v>1</v>
      </c>
      <c r="P429" t="b">
        <v>0</v>
      </c>
      <c r="Q429" t="b">
        <v>0</v>
      </c>
    </row>
    <row r="430">
      <c r="A430" t="inlineStr">
        <is>
          <t>REQ00429</t>
        </is>
      </c>
      <c r="B430" t="inlineStr">
        <is>
          <t>984500EA74FYA5E59N74</t>
        </is>
      </c>
      <c r="C430" t="inlineStr">
        <is>
          <t>data_amendment</t>
        </is>
      </c>
      <c r="D430" s="2" t="n">
        <v>46302.59513888889</v>
      </c>
      <c r="E430" s="2" t="n">
        <v>46303.55347222222</v>
      </c>
      <c r="F430" t="inlineStr">
        <is>
          <t>M5</t>
        </is>
      </c>
      <c r="G430" t="inlineStr">
        <is>
          <t>C3</t>
        </is>
      </c>
      <c r="H430" s="2" t="n">
        <v>46302.64791666667</v>
      </c>
      <c r="I430" s="2" t="n">
        <v>46302.65555555555</v>
      </c>
      <c r="J430" t="inlineStr">
        <is>
          <t>Completed</t>
        </is>
      </c>
      <c r="K430" t="n">
        <v>1.45</v>
      </c>
      <c r="L430" t="n">
        <v>8</v>
      </c>
      <c r="M430" t="b">
        <v>0</v>
      </c>
      <c r="N430" t="n">
        <v>0</v>
      </c>
      <c r="O430" t="b">
        <v>1</v>
      </c>
      <c r="P430" t="b">
        <v>0</v>
      </c>
      <c r="Q430" t="b">
        <v>0</v>
      </c>
    </row>
    <row r="431">
      <c r="A431" t="inlineStr">
        <is>
          <t>REQ00430</t>
        </is>
      </c>
      <c r="B431" t="inlineStr">
        <is>
          <t>5493003BNSDQ4ZC98227</t>
        </is>
      </c>
      <c r="C431" t="inlineStr">
        <is>
          <t>document_refresh</t>
        </is>
      </c>
      <c r="D431" s="2" t="n">
        <v>46302.59583333333</v>
      </c>
      <c r="E431" s="2" t="n">
        <v>46303.72083333333</v>
      </c>
      <c r="F431" t="inlineStr">
        <is>
          <t>M1</t>
        </is>
      </c>
      <c r="G431" t="inlineStr">
        <is>
          <t>C3</t>
        </is>
      </c>
      <c r="H431" s="2" t="n">
        <v>46302.65208333333</v>
      </c>
      <c r="I431" s="2" t="n">
        <v>46303.44027777778</v>
      </c>
      <c r="J431" t="inlineStr">
        <is>
          <t>Completed</t>
        </is>
      </c>
      <c r="K431" t="n">
        <v>5.27</v>
      </c>
      <c r="L431" t="n">
        <v>12</v>
      </c>
      <c r="M431" t="b">
        <v>0</v>
      </c>
      <c r="N431" t="n">
        <v>1</v>
      </c>
      <c r="O431" t="b">
        <v>0</v>
      </c>
      <c r="P431" t="b">
        <v>1</v>
      </c>
      <c r="Q431" t="b">
        <v>1</v>
      </c>
    </row>
    <row r="432">
      <c r="A432" t="inlineStr">
        <is>
          <t>REQ00431</t>
        </is>
      </c>
      <c r="B432" t="inlineStr">
        <is>
          <t>549300HAX3P8G2OZVX40</t>
        </is>
      </c>
      <c r="C432" t="inlineStr">
        <is>
          <t>new_account</t>
        </is>
      </c>
      <c r="D432" s="2" t="n">
        <v>46302.6</v>
      </c>
      <c r="E432" s="2" t="n">
        <v>46304.51666666667</v>
      </c>
      <c r="F432" t="inlineStr">
        <is>
          <t>M6</t>
        </is>
      </c>
      <c r="G432" t="inlineStr">
        <is>
          <t>C1</t>
        </is>
      </c>
      <c r="H432" s="2" t="n">
        <v>46302.67361111111</v>
      </c>
      <c r="I432" s="2" t="n">
        <v>46302.68263888889</v>
      </c>
      <c r="J432" t="inlineStr">
        <is>
          <t>Completed</t>
        </is>
      </c>
      <c r="K432" t="n">
        <v>1.99</v>
      </c>
      <c r="L432" t="n">
        <v>16</v>
      </c>
      <c r="M432" t="b">
        <v>0</v>
      </c>
      <c r="N432" t="n">
        <v>0</v>
      </c>
      <c r="O432" t="b">
        <v>1</v>
      </c>
      <c r="P432" t="b">
        <v>0</v>
      </c>
      <c r="Q432" t="b">
        <v>0</v>
      </c>
    </row>
    <row r="433">
      <c r="A433" t="inlineStr">
        <is>
          <t>REQ00432</t>
        </is>
      </c>
      <c r="B433" t="inlineStr">
        <is>
          <t>335800R4Q8QK4K1OEY68</t>
        </is>
      </c>
      <c r="C433" t="inlineStr">
        <is>
          <t>signatory_change</t>
        </is>
      </c>
      <c r="D433" s="2" t="n">
        <v>46302.60555555556</v>
      </c>
      <c r="E433" s="2" t="n">
        <v>46303.56388888889</v>
      </c>
      <c r="F433" t="inlineStr">
        <is>
          <t>M3</t>
        </is>
      </c>
      <c r="G433" t="inlineStr">
        <is>
          <t>C3</t>
        </is>
      </c>
      <c r="H433" s="2" t="n">
        <v>46302.67152777778</v>
      </c>
      <c r="I433" s="2" t="n">
        <v>46302.68263888889</v>
      </c>
      <c r="J433" t="inlineStr">
        <is>
          <t>Completed</t>
        </is>
      </c>
      <c r="K433" t="n">
        <v>1.85</v>
      </c>
      <c r="L433" t="n">
        <v>8</v>
      </c>
      <c r="M433" t="b">
        <v>0</v>
      </c>
      <c r="N433" t="n">
        <v>0</v>
      </c>
      <c r="O433" t="b">
        <v>1</v>
      </c>
      <c r="P433" t="b">
        <v>0</v>
      </c>
      <c r="Q433" t="b">
        <v>0</v>
      </c>
    </row>
    <row r="434">
      <c r="A434" t="inlineStr">
        <is>
          <t>REQ00433</t>
        </is>
      </c>
      <c r="B434" t="inlineStr">
        <is>
          <t>6354009CX2AUPTHF5S42</t>
        </is>
      </c>
      <c r="C434" t="inlineStr">
        <is>
          <t>data_amendment</t>
        </is>
      </c>
      <c r="D434" s="2" t="n">
        <v>46302.60833333333</v>
      </c>
      <c r="E434" s="2" t="n">
        <v>46303.56666666667</v>
      </c>
      <c r="F434" t="inlineStr">
        <is>
          <t>M5</t>
        </is>
      </c>
      <c r="G434" t="inlineStr">
        <is>
          <t>C3</t>
        </is>
      </c>
      <c r="H434" s="2" t="n">
        <v>46302.65972222222</v>
      </c>
      <c r="I434" s="2" t="n">
        <v>46302.66527777778</v>
      </c>
      <c r="J434" t="inlineStr">
        <is>
          <t>Completed</t>
        </is>
      </c>
      <c r="K434" t="n">
        <v>1.37</v>
      </c>
      <c r="L434" t="n">
        <v>8</v>
      </c>
      <c r="M434" t="b">
        <v>0</v>
      </c>
      <c r="N434" t="n">
        <v>0</v>
      </c>
      <c r="O434" t="b">
        <v>1</v>
      </c>
      <c r="P434" t="b">
        <v>0</v>
      </c>
      <c r="Q434" t="b">
        <v>0</v>
      </c>
    </row>
    <row r="435">
      <c r="A435" t="inlineStr">
        <is>
          <t>REQ00434</t>
        </is>
      </c>
      <c r="B435" t="inlineStr">
        <is>
          <t>549300UY2RF8UO8BC867</t>
        </is>
      </c>
      <c r="C435" t="inlineStr">
        <is>
          <t>new_account</t>
        </is>
      </c>
      <c r="D435" s="2" t="n">
        <v>46302.61805555555</v>
      </c>
      <c r="E435" s="2" t="n">
        <v>46304.53472222222</v>
      </c>
      <c r="F435" t="inlineStr">
        <is>
          <t>M1</t>
        </is>
      </c>
      <c r="G435" t="inlineStr">
        <is>
          <t>C1</t>
        </is>
      </c>
      <c r="H435" s="2" t="n">
        <v>46302.67638888889</v>
      </c>
      <c r="I435" s="2" t="n">
        <v>46303.48472222222</v>
      </c>
      <c r="J435" t="inlineStr">
        <is>
          <t>Completed</t>
        </is>
      </c>
      <c r="K435" t="n">
        <v>5.8</v>
      </c>
      <c r="L435" t="n">
        <v>16</v>
      </c>
      <c r="M435" t="b">
        <v>0</v>
      </c>
      <c r="N435" t="n">
        <v>0</v>
      </c>
      <c r="O435" t="b">
        <v>1</v>
      </c>
      <c r="P435" t="b">
        <v>0</v>
      </c>
      <c r="Q435" t="b">
        <v>1</v>
      </c>
    </row>
    <row r="436">
      <c r="A436" t="inlineStr">
        <is>
          <t>REQ00435</t>
        </is>
      </c>
      <c r="B436" t="inlineStr">
        <is>
          <t>894500FUMKMZRRDJEZ36</t>
        </is>
      </c>
      <c r="C436" t="inlineStr">
        <is>
          <t>document_refresh</t>
        </is>
      </c>
      <c r="D436" s="2" t="n">
        <v>46302.61805555555</v>
      </c>
      <c r="E436" s="2" t="n">
        <v>46303.74305555555</v>
      </c>
      <c r="F436" t="inlineStr">
        <is>
          <t>M4</t>
        </is>
      </c>
      <c r="G436" t="inlineStr">
        <is>
          <t>C2</t>
        </is>
      </c>
      <c r="H436" s="2" t="n">
        <v>46302.66944444444</v>
      </c>
      <c r="I436" s="2" t="n">
        <v>46302.675</v>
      </c>
      <c r="J436" t="inlineStr">
        <is>
          <t>Completed</t>
        </is>
      </c>
      <c r="K436" t="n">
        <v>1.36</v>
      </c>
      <c r="L436" t="n">
        <v>12</v>
      </c>
      <c r="M436" t="b">
        <v>0</v>
      </c>
      <c r="N436" t="n">
        <v>0</v>
      </c>
      <c r="O436" t="b">
        <v>1</v>
      </c>
      <c r="P436" t="b">
        <v>0</v>
      </c>
      <c r="Q436" t="b">
        <v>0</v>
      </c>
    </row>
    <row r="437">
      <c r="A437" t="inlineStr">
        <is>
          <t>REQ00436</t>
        </is>
      </c>
      <c r="B437" t="inlineStr">
        <is>
          <t>2549002MNF00X8K96S49</t>
        </is>
      </c>
      <c r="C437" t="inlineStr">
        <is>
          <t>document_refresh</t>
        </is>
      </c>
      <c r="D437" s="2" t="n">
        <v>46302.63125</v>
      </c>
      <c r="E437" s="2" t="n">
        <v>46304.38125</v>
      </c>
      <c r="F437" t="inlineStr">
        <is>
          <t>M5</t>
        </is>
      </c>
      <c r="G437" t="inlineStr">
        <is>
          <t>C3</t>
        </is>
      </c>
      <c r="H437" s="2" t="n">
        <v>46302.67638888889</v>
      </c>
      <c r="I437" s="2" t="n">
        <v>46302.68680555555</v>
      </c>
      <c r="J437" t="inlineStr">
        <is>
          <t>Completed</t>
        </is>
      </c>
      <c r="K437" t="n">
        <v>1.34</v>
      </c>
      <c r="L437" t="n">
        <v>12</v>
      </c>
      <c r="M437" t="b">
        <v>0</v>
      </c>
      <c r="N437" t="n">
        <v>0</v>
      </c>
      <c r="O437" t="b">
        <v>1</v>
      </c>
      <c r="P437" t="b">
        <v>0</v>
      </c>
      <c r="Q437" t="b">
        <v>0</v>
      </c>
    </row>
    <row r="438">
      <c r="A438" t="inlineStr">
        <is>
          <t>REQ00437</t>
        </is>
      </c>
      <c r="B438" t="inlineStr">
        <is>
          <t>529900BJTNUULHW4RU40</t>
        </is>
      </c>
      <c r="C438" t="inlineStr">
        <is>
          <t>new_account</t>
        </is>
      </c>
      <c r="D438" s="2" t="n">
        <v>46302.63333333333</v>
      </c>
      <c r="E438" s="2" t="n">
        <v>46304.55</v>
      </c>
      <c r="F438" t="inlineStr">
        <is>
          <t>M2</t>
        </is>
      </c>
      <c r="G438" t="inlineStr">
        <is>
          <t>C2</t>
        </is>
      </c>
      <c r="H438" s="2" t="n">
        <v>46302.69166666667</v>
      </c>
      <c r="I438" s="2" t="n">
        <v>46303.46041666667</v>
      </c>
      <c r="J438" t="inlineStr">
        <is>
          <t>Completed</t>
        </is>
      </c>
      <c r="K438" t="n">
        <v>4.85</v>
      </c>
      <c r="L438" t="n">
        <v>16</v>
      </c>
      <c r="M438" t="b">
        <v>0</v>
      </c>
      <c r="N438" t="n">
        <v>0</v>
      </c>
      <c r="O438" t="b">
        <v>1</v>
      </c>
      <c r="P438" t="b">
        <v>0</v>
      </c>
      <c r="Q438" t="b">
        <v>1</v>
      </c>
    </row>
    <row r="439">
      <c r="A439" t="inlineStr">
        <is>
          <t>REQ00438</t>
        </is>
      </c>
      <c r="B439" t="inlineStr">
        <is>
          <t>213800EADAUG4RPTLQ87</t>
        </is>
      </c>
      <c r="C439" t="inlineStr">
        <is>
          <t>new_account</t>
        </is>
      </c>
      <c r="D439" s="2" t="n">
        <v>46302.63472222222</v>
      </c>
      <c r="E439" s="2" t="n">
        <v>46304.55138888889</v>
      </c>
      <c r="F439" t="inlineStr">
        <is>
          <t>M4</t>
        </is>
      </c>
      <c r="G439" t="inlineStr">
        <is>
          <t>C1</t>
        </is>
      </c>
      <c r="H439" s="2" t="n">
        <v>46302.7</v>
      </c>
      <c r="I439" s="2" t="n">
        <v>46302.70833333334</v>
      </c>
      <c r="J439" t="inlineStr">
        <is>
          <t>Completed</t>
        </is>
      </c>
      <c r="K439" t="n">
        <v>1.77</v>
      </c>
      <c r="L439" t="n">
        <v>16</v>
      </c>
      <c r="M439" t="b">
        <v>0</v>
      </c>
      <c r="N439" t="n">
        <v>0</v>
      </c>
      <c r="O439" t="b">
        <v>1</v>
      </c>
      <c r="P439" t="b">
        <v>0</v>
      </c>
      <c r="Q439" t="b">
        <v>0</v>
      </c>
    </row>
    <row r="440">
      <c r="A440" t="inlineStr">
        <is>
          <t>REQ00439</t>
        </is>
      </c>
      <c r="B440" t="inlineStr">
        <is>
          <t>335800HDDIN8KCZXPP35</t>
        </is>
      </c>
      <c r="C440" t="inlineStr">
        <is>
          <t>document_refresh</t>
        </is>
      </c>
      <c r="D440" s="2" t="n">
        <v>46302.63472222222</v>
      </c>
      <c r="E440" s="2" t="n">
        <v>46304.38472222222</v>
      </c>
      <c r="F440" t="inlineStr">
        <is>
          <t>M3</t>
        </is>
      </c>
      <c r="G440" t="inlineStr">
        <is>
          <t>C2</t>
        </is>
      </c>
      <c r="H440" s="2" t="n">
        <v>46302.68611111111</v>
      </c>
      <c r="I440" s="2" t="n">
        <v>46302.69305555556</v>
      </c>
      <c r="J440" t="inlineStr">
        <is>
          <t>Completed</t>
        </is>
      </c>
      <c r="K440" t="n">
        <v>1.4</v>
      </c>
      <c r="L440" t="n">
        <v>12</v>
      </c>
      <c r="M440" t="b">
        <v>0</v>
      </c>
      <c r="N440" t="n">
        <v>0</v>
      </c>
      <c r="O440" t="b">
        <v>1</v>
      </c>
      <c r="P440" t="b">
        <v>0</v>
      </c>
      <c r="Q440" t="b">
        <v>0</v>
      </c>
    </row>
    <row r="441">
      <c r="A441" t="inlineStr">
        <is>
          <t>REQ00440</t>
        </is>
      </c>
      <c r="B441" t="inlineStr">
        <is>
          <t>213800VRK3NPTZOX3E45</t>
        </is>
      </c>
      <c r="C441" t="inlineStr">
        <is>
          <t>signatory_change</t>
        </is>
      </c>
      <c r="D441" s="2" t="n">
        <v>46302.64236111111</v>
      </c>
      <c r="E441" s="2" t="n">
        <v>46303.60069444445</v>
      </c>
      <c r="F441" t="inlineStr">
        <is>
          <t>M6</t>
        </is>
      </c>
      <c r="G441" t="inlineStr">
        <is>
          <t>C2</t>
        </is>
      </c>
      <c r="H441" s="2" t="n">
        <v>46302.69513888889</v>
      </c>
      <c r="I441" s="2" t="n">
        <v>46303.48333333333</v>
      </c>
      <c r="J441" t="inlineStr">
        <is>
          <t>Completed</t>
        </is>
      </c>
      <c r="K441" t="n">
        <v>5.18</v>
      </c>
      <c r="L441" t="n">
        <v>8</v>
      </c>
      <c r="M441" t="b">
        <v>0</v>
      </c>
      <c r="N441" t="n">
        <v>0</v>
      </c>
      <c r="O441" t="b">
        <v>1</v>
      </c>
      <c r="P441" t="b">
        <v>0</v>
      </c>
      <c r="Q441" t="b">
        <v>1</v>
      </c>
    </row>
    <row r="442">
      <c r="A442" t="inlineStr">
        <is>
          <t>REQ00441</t>
        </is>
      </c>
      <c r="B442" t="inlineStr">
        <is>
          <t>213800EPFSTL5VRP4623</t>
        </is>
      </c>
      <c r="C442" t="inlineStr">
        <is>
          <t>new_account</t>
        </is>
      </c>
      <c r="D442" s="2" t="n">
        <v>46302.64236111111</v>
      </c>
      <c r="E442" s="2" t="n">
        <v>46304.55902777778</v>
      </c>
      <c r="F442" t="inlineStr">
        <is>
          <t>M5</t>
        </is>
      </c>
      <c r="G442" t="inlineStr">
        <is>
          <t>C2</t>
        </is>
      </c>
      <c r="H442" s="2" t="n">
        <v>46302.71388888889</v>
      </c>
      <c r="I442" s="2" t="n">
        <v>46303.43541666667</v>
      </c>
      <c r="J442" t="inlineStr">
        <is>
          <t>Completed</t>
        </is>
      </c>
      <c r="K442" t="n">
        <v>4.04</v>
      </c>
      <c r="L442" t="n">
        <v>16</v>
      </c>
      <c r="M442" t="b">
        <v>0</v>
      </c>
      <c r="N442" t="n">
        <v>0</v>
      </c>
      <c r="O442" t="b">
        <v>1</v>
      </c>
      <c r="P442" t="b">
        <v>0</v>
      </c>
      <c r="Q442" t="b">
        <v>1</v>
      </c>
    </row>
    <row r="443">
      <c r="A443" t="inlineStr">
        <is>
          <t>REQ00442</t>
        </is>
      </c>
      <c r="B443" t="inlineStr">
        <is>
          <t>549300I34ZBYPXV9X953</t>
        </is>
      </c>
      <c r="C443" t="inlineStr">
        <is>
          <t>signatory_change</t>
        </is>
      </c>
      <c r="D443" s="2" t="n">
        <v>46302.64305555556</v>
      </c>
      <c r="E443" s="2" t="n">
        <v>46303.60138888889</v>
      </c>
      <c r="F443" t="inlineStr">
        <is>
          <t>M1</t>
        </is>
      </c>
      <c r="G443" t="inlineStr">
        <is>
          <t>C3</t>
        </is>
      </c>
      <c r="H443" s="2" t="n">
        <v>46302.69791666666</v>
      </c>
      <c r="I443" s="2" t="n">
        <v>46303.47638888889</v>
      </c>
      <c r="J443" t="inlineStr">
        <is>
          <t>Completed</t>
        </is>
      </c>
      <c r="K443" t="n">
        <v>5</v>
      </c>
      <c r="L443" t="n">
        <v>8</v>
      </c>
      <c r="M443" t="b">
        <v>0</v>
      </c>
      <c r="N443" t="n">
        <v>0</v>
      </c>
      <c r="O443" t="b">
        <v>1</v>
      </c>
      <c r="P443" t="b">
        <v>0</v>
      </c>
      <c r="Q443" t="b">
        <v>1</v>
      </c>
    </row>
    <row r="444">
      <c r="A444" t="inlineStr">
        <is>
          <t>REQ00443</t>
        </is>
      </c>
      <c r="B444" t="inlineStr">
        <is>
          <t>549300EWQBNNXHV6G049</t>
        </is>
      </c>
      <c r="C444" t="inlineStr">
        <is>
          <t>signatory_change</t>
        </is>
      </c>
      <c r="D444" s="2" t="n">
        <v>46302.64722222222</v>
      </c>
      <c r="E444" s="2" t="n">
        <v>46303.60555555556</v>
      </c>
      <c r="F444" t="inlineStr">
        <is>
          <t>M3</t>
        </is>
      </c>
      <c r="G444" t="inlineStr">
        <is>
          <t>C3</t>
        </is>
      </c>
      <c r="H444" s="2" t="n">
        <v>46302.71111111111</v>
      </c>
      <c r="I444" s="2" t="n">
        <v>46302.71805555555</v>
      </c>
      <c r="J444" t="inlineStr">
        <is>
          <t>Completed</t>
        </is>
      </c>
      <c r="K444" t="n">
        <v>1.69</v>
      </c>
      <c r="L444" t="n">
        <v>8</v>
      </c>
      <c r="M444" t="b">
        <v>0</v>
      </c>
      <c r="N444" t="n">
        <v>0</v>
      </c>
      <c r="O444" t="b">
        <v>1</v>
      </c>
      <c r="P444" t="b">
        <v>0</v>
      </c>
      <c r="Q444" t="b">
        <v>0</v>
      </c>
    </row>
    <row r="445">
      <c r="A445" t="inlineStr">
        <is>
          <t>REQ00444</t>
        </is>
      </c>
      <c r="B445" t="inlineStr">
        <is>
          <t>724500IOUA5X6SJ75Q06</t>
        </is>
      </c>
      <c r="C445" t="inlineStr">
        <is>
          <t>new_account</t>
        </is>
      </c>
      <c r="D445" s="2" t="n">
        <v>46302.64861111111</v>
      </c>
      <c r="E445" s="2" t="n">
        <v>46304.56527777778</v>
      </c>
      <c r="F445" t="inlineStr">
        <is>
          <t>M2</t>
        </is>
      </c>
      <c r="G445" t="inlineStr">
        <is>
          <t>C2</t>
        </is>
      </c>
      <c r="H445" s="2" t="n">
        <v>46302.71805555555</v>
      </c>
      <c r="I445" s="2" t="n">
        <v>46302.72847222222</v>
      </c>
      <c r="J445" t="inlineStr">
        <is>
          <t>Completed</t>
        </is>
      </c>
      <c r="K445" t="n">
        <v>1.91</v>
      </c>
      <c r="L445" t="n">
        <v>16</v>
      </c>
      <c r="M445" t="b">
        <v>0</v>
      </c>
      <c r="N445" t="n">
        <v>0</v>
      </c>
      <c r="O445" t="b">
        <v>1</v>
      </c>
      <c r="P445" t="b">
        <v>0</v>
      </c>
      <c r="Q445" t="b">
        <v>0</v>
      </c>
    </row>
    <row r="446">
      <c r="A446" t="inlineStr">
        <is>
          <t>REQ00445</t>
        </is>
      </c>
      <c r="B446" t="inlineStr">
        <is>
          <t>875500VVBBB3IH3KYI42</t>
        </is>
      </c>
      <c r="C446" t="inlineStr">
        <is>
          <t>document_refresh</t>
        </is>
      </c>
      <c r="D446" s="2" t="n">
        <v>46302.65208333333</v>
      </c>
      <c r="E446" s="2" t="n">
        <v>46304.40208333333</v>
      </c>
      <c r="F446" t="inlineStr">
        <is>
          <t>M6</t>
        </is>
      </c>
      <c r="G446" t="inlineStr">
        <is>
          <t>C1</t>
        </is>
      </c>
      <c r="H446" s="2" t="n">
        <v>46302.70972222222</v>
      </c>
      <c r="I446" s="2" t="n">
        <v>46302.71527777778</v>
      </c>
      <c r="J446" t="inlineStr">
        <is>
          <t>Completed</t>
        </is>
      </c>
      <c r="K446" t="n">
        <v>1.52</v>
      </c>
      <c r="L446" t="n">
        <v>12</v>
      </c>
      <c r="M446" t="b">
        <v>0</v>
      </c>
      <c r="N446" t="n">
        <v>0</v>
      </c>
      <c r="O446" t="b">
        <v>1</v>
      </c>
      <c r="P446" t="b">
        <v>0</v>
      </c>
      <c r="Q446" t="b">
        <v>0</v>
      </c>
    </row>
    <row r="447">
      <c r="A447" t="inlineStr">
        <is>
          <t>REQ00446</t>
        </is>
      </c>
      <c r="B447" t="inlineStr">
        <is>
          <t>2549005ZP0YAE1BJHD66</t>
        </is>
      </c>
      <c r="C447" t="inlineStr">
        <is>
          <t>signatory_change</t>
        </is>
      </c>
      <c r="D447" s="2" t="n">
        <v>46302.65347222222</v>
      </c>
      <c r="E447" s="2" t="n">
        <v>46303.61180555556</v>
      </c>
      <c r="F447" t="inlineStr">
        <is>
          <t>M1</t>
        </is>
      </c>
      <c r="G447" t="inlineStr">
        <is>
          <t>C1</t>
        </is>
      </c>
      <c r="H447" s="2" t="n">
        <v>46302.71319444444</v>
      </c>
      <c r="I447" s="2" t="n">
        <v>46302.72291666667</v>
      </c>
      <c r="J447" t="inlineStr">
        <is>
          <t>Completed</t>
        </is>
      </c>
      <c r="K447" t="n">
        <v>1.66</v>
      </c>
      <c r="L447" t="n">
        <v>8</v>
      </c>
      <c r="M447" t="b">
        <v>0</v>
      </c>
      <c r="N447" t="n">
        <v>0</v>
      </c>
      <c r="O447" t="b">
        <v>1</v>
      </c>
      <c r="P447" t="b">
        <v>0</v>
      </c>
      <c r="Q447" t="b">
        <v>0</v>
      </c>
    </row>
    <row r="448">
      <c r="A448" t="inlineStr">
        <is>
          <t>REQ00447</t>
        </is>
      </c>
      <c r="B448" t="inlineStr">
        <is>
          <t>5299007PWCFTBVPWW094</t>
        </is>
      </c>
      <c r="C448" t="inlineStr">
        <is>
          <t>document_refresh</t>
        </is>
      </c>
      <c r="D448" s="2" t="n">
        <v>46302.65555555555</v>
      </c>
      <c r="E448" s="2" t="n">
        <v>46304.40555555555</v>
      </c>
      <c r="F448" t="inlineStr">
        <is>
          <t>M4</t>
        </is>
      </c>
      <c r="G448" t="inlineStr">
        <is>
          <t>C1</t>
        </is>
      </c>
      <c r="H448" s="2" t="n">
        <v>46302.71388888889</v>
      </c>
      <c r="I448" s="2" t="n">
        <v>46303.5125</v>
      </c>
      <c r="J448" t="inlineStr">
        <is>
          <t>Completed</t>
        </is>
      </c>
      <c r="K448" t="n">
        <v>5.57</v>
      </c>
      <c r="L448" t="n">
        <v>12</v>
      </c>
      <c r="M448" t="b">
        <v>0</v>
      </c>
      <c r="N448" t="n">
        <v>0</v>
      </c>
      <c r="O448" t="b">
        <v>1</v>
      </c>
      <c r="P448" t="b">
        <v>0</v>
      </c>
      <c r="Q448" t="b">
        <v>1</v>
      </c>
    </row>
    <row r="449">
      <c r="A449" t="inlineStr">
        <is>
          <t>REQ00448</t>
        </is>
      </c>
      <c r="B449" t="inlineStr">
        <is>
          <t>213800GZ7INHDXUR3G12</t>
        </is>
      </c>
      <c r="C449" t="inlineStr">
        <is>
          <t>new_account</t>
        </is>
      </c>
      <c r="D449" s="2" t="n">
        <v>46302.65555555555</v>
      </c>
      <c r="E449" s="2" t="n">
        <v>46304.57222222222</v>
      </c>
      <c r="F449" t="inlineStr">
        <is>
          <t>M6</t>
        </is>
      </c>
      <c r="G449" t="inlineStr">
        <is>
          <t>C1</t>
        </is>
      </c>
      <c r="H449" s="2" t="n">
        <v>46302.74027777778</v>
      </c>
      <c r="I449" s="2" t="n">
        <v>46303.57222222222</v>
      </c>
      <c r="J449" t="inlineStr">
        <is>
          <t>Completed</t>
        </is>
      </c>
      <c r="K449" t="n">
        <v>7</v>
      </c>
      <c r="L449" t="n">
        <v>16</v>
      </c>
      <c r="M449" t="b">
        <v>0</v>
      </c>
      <c r="N449" t="n">
        <v>0</v>
      </c>
      <c r="O449" t="b">
        <v>1</v>
      </c>
      <c r="P449" t="b">
        <v>0</v>
      </c>
      <c r="Q449" t="b">
        <v>1</v>
      </c>
    </row>
    <row r="450">
      <c r="A450" t="inlineStr">
        <is>
          <t>REQ00449</t>
        </is>
      </c>
      <c r="B450" t="inlineStr">
        <is>
          <t>391200666WDJAY2G9Y36</t>
        </is>
      </c>
      <c r="C450" t="inlineStr">
        <is>
          <t>new_account</t>
        </is>
      </c>
      <c r="D450" s="2" t="n">
        <v>46302.66041666667</v>
      </c>
      <c r="E450" s="2" t="n">
        <v>46304.57708333333</v>
      </c>
      <c r="F450" t="inlineStr">
        <is>
          <t>M3</t>
        </is>
      </c>
      <c r="G450" t="inlineStr">
        <is>
          <t>C2</t>
        </is>
      </c>
      <c r="H450" s="2" t="n">
        <v>46302.74166666667</v>
      </c>
      <c r="I450" s="2" t="n">
        <v>46303.37847222222</v>
      </c>
      <c r="J450" t="inlineStr">
        <is>
          <t>Completed</t>
        </is>
      </c>
      <c r="K450" t="n">
        <v>2.23</v>
      </c>
      <c r="L450" t="n">
        <v>16</v>
      </c>
      <c r="M450" t="b">
        <v>0</v>
      </c>
      <c r="N450" t="n">
        <v>0</v>
      </c>
      <c r="O450" t="b">
        <v>1</v>
      </c>
      <c r="P450" t="b">
        <v>0</v>
      </c>
      <c r="Q450" t="b">
        <v>0</v>
      </c>
    </row>
    <row r="451">
      <c r="A451" t="inlineStr">
        <is>
          <t>REQ00450</t>
        </is>
      </c>
      <c r="B451" t="inlineStr">
        <is>
          <t>7245002EWOU3PN1WAP55</t>
        </is>
      </c>
      <c r="C451" t="inlineStr">
        <is>
          <t>document_refresh</t>
        </is>
      </c>
      <c r="D451" s="2" t="n">
        <v>46302.66458333333</v>
      </c>
      <c r="E451" s="2" t="n">
        <v>46304.41458333333</v>
      </c>
      <c r="F451" t="inlineStr">
        <is>
          <t>M1</t>
        </is>
      </c>
      <c r="G451" t="inlineStr">
        <is>
          <t>C3</t>
        </is>
      </c>
      <c r="H451" s="2" t="n">
        <v>46302.725</v>
      </c>
      <c r="I451" s="2" t="n">
        <v>46303.55277777778</v>
      </c>
      <c r="J451" t="inlineStr">
        <is>
          <t>Completed</t>
        </is>
      </c>
      <c r="K451" t="n">
        <v>6.32</v>
      </c>
      <c r="L451" t="n">
        <v>12</v>
      </c>
      <c r="M451" t="b">
        <v>0</v>
      </c>
      <c r="N451" t="n">
        <v>0</v>
      </c>
      <c r="O451" t="b">
        <v>1</v>
      </c>
      <c r="P451" t="b">
        <v>0</v>
      </c>
      <c r="Q451" t="b">
        <v>1</v>
      </c>
    </row>
    <row r="452">
      <c r="A452" t="inlineStr">
        <is>
          <t>REQ00451</t>
        </is>
      </c>
      <c r="B452" t="inlineStr">
        <is>
          <t>96950093QAF9HDOG1V89</t>
        </is>
      </c>
      <c r="C452" t="inlineStr">
        <is>
          <t>new_account</t>
        </is>
      </c>
      <c r="D452" s="2" t="n">
        <v>46302.66527777778</v>
      </c>
      <c r="E452" s="2" t="n">
        <v>46304.58194444444</v>
      </c>
      <c r="F452" t="inlineStr">
        <is>
          <t>M4</t>
        </is>
      </c>
      <c r="G452" t="inlineStr">
        <is>
          <t>C1</t>
        </is>
      </c>
      <c r="H452" s="2" t="n">
        <v>46302.74027777778</v>
      </c>
      <c r="I452" s="2" t="n">
        <v>46303.50208333333</v>
      </c>
      <c r="J452" t="inlineStr">
        <is>
          <t>Completed</t>
        </is>
      </c>
      <c r="K452" t="n">
        <v>5.08</v>
      </c>
      <c r="L452" t="n">
        <v>16</v>
      </c>
      <c r="M452" t="b">
        <v>0</v>
      </c>
      <c r="N452" t="n">
        <v>0</v>
      </c>
      <c r="O452" t="b">
        <v>1</v>
      </c>
      <c r="P452" t="b">
        <v>0</v>
      </c>
      <c r="Q452" t="b">
        <v>1</v>
      </c>
    </row>
    <row r="453">
      <c r="A453" t="inlineStr">
        <is>
          <t>REQ00452</t>
        </is>
      </c>
      <c r="B453" t="inlineStr">
        <is>
          <t>549300017K2B85HI6S03</t>
        </is>
      </c>
      <c r="C453" t="inlineStr">
        <is>
          <t>document_refresh</t>
        </is>
      </c>
      <c r="D453" s="2" t="n">
        <v>46302.67430555556</v>
      </c>
      <c r="E453" s="2" t="n">
        <v>46304.42430555556</v>
      </c>
      <c r="F453" t="inlineStr">
        <is>
          <t>M5</t>
        </is>
      </c>
      <c r="G453" t="inlineStr">
        <is>
          <t>C3</t>
        </is>
      </c>
      <c r="H453" s="2" t="n">
        <v>46302.72430555556</v>
      </c>
      <c r="I453" s="2" t="n">
        <v>46302.74166666667</v>
      </c>
      <c r="J453" t="inlineStr">
        <is>
          <t>Completed</t>
        </is>
      </c>
      <c r="K453" t="n">
        <v>1.61</v>
      </c>
      <c r="L453" t="n">
        <v>12</v>
      </c>
      <c r="M453" t="b">
        <v>0</v>
      </c>
      <c r="N453" t="n">
        <v>1</v>
      </c>
      <c r="O453" t="b">
        <v>0</v>
      </c>
      <c r="P453" t="b">
        <v>1</v>
      </c>
      <c r="Q453" t="b">
        <v>0</v>
      </c>
    </row>
    <row r="454">
      <c r="A454" t="inlineStr">
        <is>
          <t>REQ00453</t>
        </is>
      </c>
      <c r="B454" t="inlineStr">
        <is>
          <t>25490091A9YSHJF1UW49</t>
        </is>
      </c>
      <c r="C454" t="inlineStr">
        <is>
          <t>data_amendment</t>
        </is>
      </c>
      <c r="D454" s="2" t="n">
        <v>46302.675</v>
      </c>
      <c r="E454" s="2" t="n">
        <v>46303.63333333333</v>
      </c>
      <c r="F454" t="inlineStr">
        <is>
          <t>M2</t>
        </is>
      </c>
      <c r="G454" t="inlineStr">
        <is>
          <t>C3</t>
        </is>
      </c>
      <c r="H454" s="2" t="n">
        <v>46302.72777777778</v>
      </c>
      <c r="I454" s="2" t="n">
        <v>46302.73611111111</v>
      </c>
      <c r="J454" t="inlineStr">
        <is>
          <t>Completed</t>
        </is>
      </c>
      <c r="K454" t="n">
        <v>1.46</v>
      </c>
      <c r="L454" t="n">
        <v>8</v>
      </c>
      <c r="M454" t="b">
        <v>0</v>
      </c>
      <c r="N454" t="n">
        <v>0</v>
      </c>
      <c r="O454" t="b">
        <v>1</v>
      </c>
      <c r="P454" t="b">
        <v>0</v>
      </c>
      <c r="Q454" t="b">
        <v>0</v>
      </c>
    </row>
    <row r="455">
      <c r="A455" t="inlineStr">
        <is>
          <t>REQ00454</t>
        </is>
      </c>
      <c r="B455" t="inlineStr">
        <is>
          <t>7245008T94URB33UOM91</t>
        </is>
      </c>
      <c r="C455" t="inlineStr">
        <is>
          <t>data_amendment</t>
        </is>
      </c>
      <c r="D455" s="2" t="n">
        <v>46302.67638888889</v>
      </c>
      <c r="E455" s="2" t="n">
        <v>46303.63472222222</v>
      </c>
      <c r="F455" t="inlineStr">
        <is>
          <t>M5</t>
        </is>
      </c>
      <c r="G455" t="inlineStr">
        <is>
          <t>C2</t>
        </is>
      </c>
      <c r="H455" s="2" t="n">
        <v>46302.73819444444</v>
      </c>
      <c r="I455" s="2" t="n">
        <v>46303.49236111111</v>
      </c>
      <c r="J455" t="inlineStr">
        <is>
          <t>Completed</t>
        </is>
      </c>
      <c r="K455" t="n">
        <v>4.59</v>
      </c>
      <c r="L455" t="n">
        <v>8</v>
      </c>
      <c r="M455" t="b">
        <v>0</v>
      </c>
      <c r="N455" t="n">
        <v>0</v>
      </c>
      <c r="O455" t="b">
        <v>1</v>
      </c>
      <c r="P455" t="b">
        <v>0</v>
      </c>
      <c r="Q455" t="b">
        <v>1</v>
      </c>
    </row>
    <row r="456">
      <c r="A456" t="inlineStr">
        <is>
          <t>REQ00455</t>
        </is>
      </c>
      <c r="B456" t="inlineStr">
        <is>
          <t>2549000SXN3SNKGAT533</t>
        </is>
      </c>
      <c r="C456" t="inlineStr">
        <is>
          <t>signatory_change</t>
        </is>
      </c>
      <c r="D456" s="2" t="n">
        <v>46302.67847222222</v>
      </c>
      <c r="E456" s="2" t="n">
        <v>46303.63680555556</v>
      </c>
      <c r="F456" t="inlineStr">
        <is>
          <t>M1</t>
        </is>
      </c>
      <c r="G456" t="inlineStr">
        <is>
          <t>C1</t>
        </is>
      </c>
      <c r="H456" s="2" t="n">
        <v>46302.74375</v>
      </c>
      <c r="I456" s="2" t="n">
        <v>46303.50763888889</v>
      </c>
      <c r="J456" t="inlineStr">
        <is>
          <t>Completed</t>
        </is>
      </c>
      <c r="K456" t="n">
        <v>4.9</v>
      </c>
      <c r="L456" t="n">
        <v>8</v>
      </c>
      <c r="M456" t="b">
        <v>0</v>
      </c>
      <c r="N456" t="n">
        <v>0</v>
      </c>
      <c r="O456" t="b">
        <v>1</v>
      </c>
      <c r="P456" t="b">
        <v>0</v>
      </c>
      <c r="Q456" t="b">
        <v>1</v>
      </c>
    </row>
    <row r="457">
      <c r="A457" t="inlineStr">
        <is>
          <t>REQ00456</t>
        </is>
      </c>
      <c r="B457" t="inlineStr">
        <is>
          <t>335800U8WC6PROIH8R35</t>
        </is>
      </c>
      <c r="C457" t="inlineStr">
        <is>
          <t>signatory_change</t>
        </is>
      </c>
      <c r="D457" s="2" t="n">
        <v>46302.68055555555</v>
      </c>
      <c r="E457" s="2" t="n">
        <v>46303.63888888889</v>
      </c>
      <c r="F457" t="inlineStr">
        <is>
          <t>M2</t>
        </is>
      </c>
      <c r="G457" t="inlineStr">
        <is>
          <t>C1</t>
        </is>
      </c>
      <c r="H457" s="2" t="n">
        <v>46303.37847222222</v>
      </c>
      <c r="I457" s="2" t="n">
        <v>46303.63194444445</v>
      </c>
      <c r="J457" t="inlineStr">
        <is>
          <t>Completed</t>
        </is>
      </c>
      <c r="K457" t="n">
        <v>7.83</v>
      </c>
      <c r="L457" t="n">
        <v>8</v>
      </c>
      <c r="M457" t="b">
        <v>0</v>
      </c>
      <c r="N457" t="n">
        <v>0</v>
      </c>
      <c r="O457" t="b">
        <v>1</v>
      </c>
      <c r="P457" t="b">
        <v>0</v>
      </c>
      <c r="Q457" t="b">
        <v>1</v>
      </c>
    </row>
    <row r="458">
      <c r="A458" t="inlineStr">
        <is>
          <t>REQ00457</t>
        </is>
      </c>
      <c r="B458" t="inlineStr">
        <is>
          <t>213800Y2TVC9KJP3O253</t>
        </is>
      </c>
      <c r="C458" t="inlineStr">
        <is>
          <t>signatory_change</t>
        </is>
      </c>
      <c r="D458" s="2" t="n">
        <v>46302.68541666667</v>
      </c>
      <c r="E458" s="2" t="n">
        <v>46303.64375</v>
      </c>
      <c r="F458" t="inlineStr">
        <is>
          <t>M5</t>
        </is>
      </c>
      <c r="G458" t="inlineStr">
        <is>
          <t>C3</t>
        </is>
      </c>
      <c r="H458" s="2" t="n">
        <v>46303.37847222222</v>
      </c>
      <c r="I458" s="2" t="n">
        <v>46303.38402777778</v>
      </c>
      <c r="J458" t="inlineStr">
        <is>
          <t>Completed</t>
        </is>
      </c>
      <c r="K458" t="n">
        <v>1.76</v>
      </c>
      <c r="L458" t="n">
        <v>8</v>
      </c>
      <c r="M458" t="b">
        <v>0</v>
      </c>
      <c r="N458" t="n">
        <v>0</v>
      </c>
      <c r="O458" t="b">
        <v>1</v>
      </c>
      <c r="P458" t="b">
        <v>0</v>
      </c>
      <c r="Q458" t="b">
        <v>0</v>
      </c>
    </row>
    <row r="459">
      <c r="A459" t="inlineStr">
        <is>
          <t>REQ00458</t>
        </is>
      </c>
      <c r="B459" t="inlineStr">
        <is>
          <t>335800DEZV8VBTBIE789</t>
        </is>
      </c>
      <c r="C459" t="inlineStr">
        <is>
          <t>document_refresh</t>
        </is>
      </c>
      <c r="D459" s="2" t="n">
        <v>46302.68611111111</v>
      </c>
      <c r="E459" s="2" t="n">
        <v>46304.43611111111</v>
      </c>
      <c r="F459" t="inlineStr">
        <is>
          <t>M6</t>
        </is>
      </c>
      <c r="G459" t="inlineStr">
        <is>
          <t>C1</t>
        </is>
      </c>
      <c r="H459" s="2" t="n">
        <v>46303.37569444445</v>
      </c>
      <c r="I459" s="2" t="n">
        <v>46303.38055555556</v>
      </c>
      <c r="J459" t="inlineStr">
        <is>
          <t>Completed</t>
        </is>
      </c>
      <c r="K459" t="n">
        <v>1.67</v>
      </c>
      <c r="L459" t="n">
        <v>12</v>
      </c>
      <c r="M459" t="b">
        <v>0</v>
      </c>
      <c r="N459" t="n">
        <v>0</v>
      </c>
      <c r="O459" t="b">
        <v>1</v>
      </c>
      <c r="P459" t="b">
        <v>0</v>
      </c>
      <c r="Q459" t="b">
        <v>0</v>
      </c>
    </row>
    <row r="460">
      <c r="A460" t="inlineStr">
        <is>
          <t>REQ00459</t>
        </is>
      </c>
      <c r="B460" t="inlineStr">
        <is>
          <t>5493001L6MCVK05STX73</t>
        </is>
      </c>
      <c r="C460" t="inlineStr">
        <is>
          <t>document_refresh</t>
        </is>
      </c>
      <c r="D460" s="2" t="n">
        <v>46302.69027777778</v>
      </c>
      <c r="E460" s="2" t="n">
        <v>46304.44027777778</v>
      </c>
      <c r="F460" t="inlineStr">
        <is>
          <t>M4</t>
        </is>
      </c>
      <c r="G460" t="inlineStr">
        <is>
          <t>C2</t>
        </is>
      </c>
      <c r="H460" s="2" t="n">
        <v>46303.38055555556</v>
      </c>
      <c r="I460" s="2" t="n">
        <v>46303.49930555555</v>
      </c>
      <c r="J460" t="inlineStr">
        <is>
          <t>Completed</t>
        </is>
      </c>
      <c r="K460" t="n">
        <v>4.42</v>
      </c>
      <c r="L460" t="n">
        <v>12</v>
      </c>
      <c r="M460" t="b">
        <v>0</v>
      </c>
      <c r="N460" t="n">
        <v>0</v>
      </c>
      <c r="O460" t="b">
        <v>1</v>
      </c>
      <c r="P460" t="b">
        <v>0</v>
      </c>
      <c r="Q460" t="b">
        <v>1</v>
      </c>
    </row>
    <row r="461">
      <c r="A461" t="inlineStr">
        <is>
          <t>REQ00460</t>
        </is>
      </c>
      <c r="B461" t="inlineStr">
        <is>
          <t>335800OSTU5KZHFFFI43</t>
        </is>
      </c>
      <c r="C461" t="inlineStr">
        <is>
          <t>signatory_change</t>
        </is>
      </c>
      <c r="D461" s="2" t="n">
        <v>46302.69166666667</v>
      </c>
      <c r="E461" s="2" t="n">
        <v>46303.65</v>
      </c>
      <c r="F461" t="inlineStr">
        <is>
          <t>M3</t>
        </is>
      </c>
      <c r="G461" t="inlineStr">
        <is>
          <t>C3</t>
        </is>
      </c>
      <c r="H461" s="2" t="n">
        <v>46303.38958333333</v>
      </c>
      <c r="I461" s="2" t="n">
        <v>46303.39791666667</v>
      </c>
      <c r="J461" t="inlineStr">
        <is>
          <t>Completed</t>
        </is>
      </c>
      <c r="K461" t="n">
        <v>1.95</v>
      </c>
      <c r="L461" t="n">
        <v>8</v>
      </c>
      <c r="M461" t="b">
        <v>0</v>
      </c>
      <c r="N461" t="n">
        <v>0</v>
      </c>
      <c r="O461" t="b">
        <v>1</v>
      </c>
      <c r="P461" t="b">
        <v>0</v>
      </c>
      <c r="Q461" t="b">
        <v>0</v>
      </c>
    </row>
    <row r="462">
      <c r="A462" t="inlineStr">
        <is>
          <t>REQ00461</t>
        </is>
      </c>
      <c r="B462" t="inlineStr">
        <is>
          <t>894500M6NACGG2KWVN44</t>
        </is>
      </c>
      <c r="C462" t="inlineStr">
        <is>
          <t>document_refresh</t>
        </is>
      </c>
      <c r="D462" s="2" t="n">
        <v>46302.69236111111</v>
      </c>
      <c r="E462" s="2" t="n">
        <v>46304.44236111111</v>
      </c>
      <c r="F462" t="inlineStr">
        <is>
          <t>M1</t>
        </is>
      </c>
      <c r="G462" t="inlineStr">
        <is>
          <t>C2</t>
        </is>
      </c>
      <c r="H462" s="2" t="n">
        <v>46303.38333333333</v>
      </c>
      <c r="I462" s="2" t="n">
        <v>46303.62083333333</v>
      </c>
      <c r="J462" t="inlineStr">
        <is>
          <t>Completed</t>
        </is>
      </c>
      <c r="K462" t="n">
        <v>7.29</v>
      </c>
      <c r="L462" t="n">
        <v>12</v>
      </c>
      <c r="M462" t="b">
        <v>0</v>
      </c>
      <c r="N462" t="n">
        <v>0</v>
      </c>
      <c r="O462" t="b">
        <v>1</v>
      </c>
      <c r="P462" t="b">
        <v>0</v>
      </c>
      <c r="Q462" t="b">
        <v>1</v>
      </c>
    </row>
    <row r="463">
      <c r="A463" t="inlineStr">
        <is>
          <t>REQ00462</t>
        </is>
      </c>
      <c r="B463" t="inlineStr">
        <is>
          <t>254900LZWHV8N633RC92</t>
        </is>
      </c>
      <c r="C463" t="inlineStr">
        <is>
          <t>new_account</t>
        </is>
      </c>
      <c r="D463" s="2" t="n">
        <v>46302.69375</v>
      </c>
      <c r="E463" s="2" t="n">
        <v>46304.61041666667</v>
      </c>
      <c r="F463" t="inlineStr">
        <is>
          <t>M6</t>
        </is>
      </c>
      <c r="G463" t="inlineStr">
        <is>
          <t>C2</t>
        </is>
      </c>
      <c r="H463" s="2" t="n">
        <v>46303.4</v>
      </c>
      <c r="I463" s="2" t="n">
        <v>46303.65763888889</v>
      </c>
      <c r="J463" t="inlineStr">
        <is>
          <t>Completed</t>
        </is>
      </c>
      <c r="K463" t="n">
        <v>8.140000000000001</v>
      </c>
      <c r="L463" t="n">
        <v>16</v>
      </c>
      <c r="M463" t="b">
        <v>0</v>
      </c>
      <c r="N463" t="n">
        <v>0</v>
      </c>
      <c r="O463" t="b">
        <v>1</v>
      </c>
      <c r="P463" t="b">
        <v>0</v>
      </c>
      <c r="Q463" t="b">
        <v>1</v>
      </c>
    </row>
    <row r="464">
      <c r="A464" t="inlineStr">
        <is>
          <t>REQ00463</t>
        </is>
      </c>
      <c r="B464" t="inlineStr">
        <is>
          <t>98450094AB4088S08432</t>
        </is>
      </c>
      <c r="C464" t="inlineStr">
        <is>
          <t>data_amendment</t>
        </is>
      </c>
      <c r="D464" s="2" t="n">
        <v>46302.69444444445</v>
      </c>
      <c r="E464" s="2" t="n">
        <v>46303.65277777778</v>
      </c>
      <c r="F464" t="inlineStr">
        <is>
          <t>M5</t>
        </is>
      </c>
      <c r="G464" t="inlineStr">
        <is>
          <t>C1</t>
        </is>
      </c>
      <c r="H464" s="2" t="n">
        <v>46303.38888888889</v>
      </c>
      <c r="I464" s="2" t="n">
        <v>46303.39375</v>
      </c>
      <c r="J464" t="inlineStr">
        <is>
          <t>Completed</t>
        </is>
      </c>
      <c r="K464" t="n">
        <v>1.79</v>
      </c>
      <c r="L464" t="n">
        <v>8</v>
      </c>
      <c r="M464" t="b">
        <v>0</v>
      </c>
      <c r="N464" t="n">
        <v>0</v>
      </c>
      <c r="O464" t="b">
        <v>1</v>
      </c>
      <c r="P464" t="b">
        <v>0</v>
      </c>
      <c r="Q464" t="b">
        <v>0</v>
      </c>
    </row>
    <row r="465">
      <c r="A465" t="inlineStr">
        <is>
          <t>REQ00464</t>
        </is>
      </c>
      <c r="B465" t="inlineStr">
        <is>
          <t>984500C761F978656758</t>
        </is>
      </c>
      <c r="C465" t="inlineStr">
        <is>
          <t>signatory_change</t>
        </is>
      </c>
      <c r="D465" s="2" t="n">
        <v>46302.69583333333</v>
      </c>
      <c r="E465" s="2" t="n">
        <v>46303.65416666667</v>
      </c>
      <c r="F465" t="inlineStr">
        <is>
          <t>M2</t>
        </is>
      </c>
      <c r="G465" t="inlineStr">
        <is>
          <t>C3</t>
        </is>
      </c>
      <c r="H465" s="2" t="n">
        <v>46303.39791666667</v>
      </c>
      <c r="I465" s="2" t="n">
        <v>46303.41041666667</v>
      </c>
      <c r="J465" t="inlineStr">
        <is>
          <t>Completed</t>
        </is>
      </c>
      <c r="K465" t="n">
        <v>2.15</v>
      </c>
      <c r="L465" t="n">
        <v>8</v>
      </c>
      <c r="M465" t="b">
        <v>0</v>
      </c>
      <c r="N465" t="n">
        <v>0</v>
      </c>
      <c r="O465" t="b">
        <v>1</v>
      </c>
      <c r="P465" t="b">
        <v>0</v>
      </c>
      <c r="Q465" t="b">
        <v>0</v>
      </c>
    </row>
    <row r="466">
      <c r="A466" t="inlineStr">
        <is>
          <t>REQ00465</t>
        </is>
      </c>
      <c r="B466" t="inlineStr">
        <is>
          <t>7245007BSZ7LFANNY890</t>
        </is>
      </c>
      <c r="C466" t="inlineStr">
        <is>
          <t>document_refresh</t>
        </is>
      </c>
      <c r="D466" s="2" t="n">
        <v>46302.69791666666</v>
      </c>
      <c r="E466" s="2" t="n">
        <v>46304.44791666666</v>
      </c>
      <c r="F466" t="inlineStr">
        <is>
          <t>M4</t>
        </is>
      </c>
      <c r="G466" t="inlineStr">
        <is>
          <t>C2</t>
        </is>
      </c>
      <c r="H466" s="2" t="n">
        <v>46303.39444444444</v>
      </c>
      <c r="I466" s="2" t="n">
        <v>46303.40069444444</v>
      </c>
      <c r="J466" t="inlineStr">
        <is>
          <t>Completed</t>
        </is>
      </c>
      <c r="K466" t="n">
        <v>1.87</v>
      </c>
      <c r="L466" t="n">
        <v>12</v>
      </c>
      <c r="M466" t="b">
        <v>0</v>
      </c>
      <c r="N466" t="n">
        <v>0</v>
      </c>
      <c r="O466" t="b">
        <v>1</v>
      </c>
      <c r="P466" t="b">
        <v>0</v>
      </c>
      <c r="Q466" t="b">
        <v>0</v>
      </c>
    </row>
    <row r="467">
      <c r="A467" t="inlineStr">
        <is>
          <t>REQ00466</t>
        </is>
      </c>
      <c r="B467" t="inlineStr">
        <is>
          <t>529900HYB4ETRWC8AY67</t>
        </is>
      </c>
      <c r="C467" t="inlineStr">
        <is>
          <t>document_refresh</t>
        </is>
      </c>
      <c r="D467" s="2" t="n">
        <v>46302.70069444444</v>
      </c>
      <c r="E467" s="2" t="n">
        <v>46304.45069444444</v>
      </c>
      <c r="F467" t="inlineStr">
        <is>
          <t>M1</t>
        </is>
      </c>
      <c r="G467" t="inlineStr">
        <is>
          <t>C3</t>
        </is>
      </c>
      <c r="H467" s="2" t="n">
        <v>46303.39513888889</v>
      </c>
      <c r="I467" s="2" t="n">
        <v>46303.40486111111</v>
      </c>
      <c r="J467" t="inlineStr">
        <is>
          <t>Completed</t>
        </is>
      </c>
      <c r="K467" t="n">
        <v>1.9</v>
      </c>
      <c r="L467" t="n">
        <v>12</v>
      </c>
      <c r="M467" t="b">
        <v>0</v>
      </c>
      <c r="N467" t="n">
        <v>0</v>
      </c>
      <c r="O467" t="b">
        <v>1</v>
      </c>
      <c r="P467" t="b">
        <v>0</v>
      </c>
      <c r="Q467" t="b">
        <v>0</v>
      </c>
    </row>
    <row r="468">
      <c r="A468" t="inlineStr">
        <is>
          <t>REQ00467</t>
        </is>
      </c>
      <c r="B468" t="inlineStr">
        <is>
          <t>529900WQGF6HOBIPVE86</t>
        </is>
      </c>
      <c r="C468" t="inlineStr">
        <is>
          <t>document_refresh</t>
        </is>
      </c>
      <c r="D468" s="2" t="n">
        <v>46302.70416666667</v>
      </c>
      <c r="E468" s="2" t="n">
        <v>46304.45416666667</v>
      </c>
      <c r="F468" t="inlineStr">
        <is>
          <t>M5</t>
        </is>
      </c>
      <c r="G468" t="inlineStr">
        <is>
          <t>C1</t>
        </is>
      </c>
      <c r="H468" s="2" t="n">
        <v>46303.40625</v>
      </c>
      <c r="I468" s="2" t="n">
        <v>46303.41458333333</v>
      </c>
      <c r="J468" t="inlineStr">
        <is>
          <t>Completed</t>
        </is>
      </c>
      <c r="K468" t="n">
        <v>2.05</v>
      </c>
      <c r="L468" t="n">
        <v>12</v>
      </c>
      <c r="M468" t="b">
        <v>0</v>
      </c>
      <c r="N468" t="n">
        <v>0</v>
      </c>
      <c r="O468" t="b">
        <v>1</v>
      </c>
      <c r="P468" t="b">
        <v>0</v>
      </c>
      <c r="Q468" t="b">
        <v>0</v>
      </c>
    </row>
    <row r="469">
      <c r="A469" t="inlineStr">
        <is>
          <t>REQ00468</t>
        </is>
      </c>
      <c r="B469" t="inlineStr">
        <is>
          <t>969500KPF8N5QUFW9324</t>
        </is>
      </c>
      <c r="C469" t="inlineStr">
        <is>
          <t>data_amendment</t>
        </is>
      </c>
      <c r="D469" s="2" t="n">
        <v>46302.71458333333</v>
      </c>
      <c r="E469" s="2" t="n">
        <v>46303.67291666667</v>
      </c>
      <c r="F469" t="inlineStr">
        <is>
          <t>M3</t>
        </is>
      </c>
      <c r="G469" t="inlineStr">
        <is>
          <t>C3</t>
        </is>
      </c>
      <c r="H469" s="2" t="n">
        <v>46303.39930555555</v>
      </c>
      <c r="I469" s="2" t="n">
        <v>46303.57083333333</v>
      </c>
      <c r="J469" t="inlineStr">
        <is>
          <t>Completed</t>
        </is>
      </c>
      <c r="K469" t="n">
        <v>5.55</v>
      </c>
      <c r="L469" t="n">
        <v>8</v>
      </c>
      <c r="M469" t="b">
        <v>0</v>
      </c>
      <c r="N469" t="n">
        <v>0</v>
      </c>
      <c r="O469" t="b">
        <v>1</v>
      </c>
      <c r="P469" t="b">
        <v>0</v>
      </c>
      <c r="Q469" t="b">
        <v>1</v>
      </c>
    </row>
    <row r="470">
      <c r="A470" t="inlineStr">
        <is>
          <t>REQ00469</t>
        </is>
      </c>
      <c r="B470" t="inlineStr">
        <is>
          <t>969500PWUWFL697V1J15</t>
        </is>
      </c>
      <c r="C470" t="inlineStr">
        <is>
          <t>new_account</t>
        </is>
      </c>
      <c r="D470" s="2" t="n">
        <v>46302.71527777778</v>
      </c>
      <c r="E470" s="2" t="n">
        <v>46304.63194444445</v>
      </c>
      <c r="F470" t="inlineStr">
        <is>
          <t>M4</t>
        </is>
      </c>
      <c r="G470" t="inlineStr">
        <is>
          <t>C3</t>
        </is>
      </c>
      <c r="H470" s="2" t="n">
        <v>46303.43333333333</v>
      </c>
      <c r="I470" s="2" t="n">
        <v>46303.66458333333</v>
      </c>
      <c r="J470" t="inlineStr">
        <is>
          <t>Completed</t>
        </is>
      </c>
      <c r="K470" t="n">
        <v>7.78</v>
      </c>
      <c r="L470" t="n">
        <v>16</v>
      </c>
      <c r="M470" t="b">
        <v>0</v>
      </c>
      <c r="N470" t="n">
        <v>0</v>
      </c>
      <c r="O470" t="b">
        <v>1</v>
      </c>
      <c r="P470" t="b">
        <v>0</v>
      </c>
      <c r="Q470" t="b">
        <v>1</v>
      </c>
    </row>
    <row r="471">
      <c r="A471" t="inlineStr">
        <is>
          <t>REQ00470</t>
        </is>
      </c>
      <c r="B471" t="inlineStr">
        <is>
          <t>984500D6B37893E77238</t>
        </is>
      </c>
      <c r="C471" t="inlineStr">
        <is>
          <t>data_amendment</t>
        </is>
      </c>
      <c r="D471" s="2" t="n">
        <v>46302.71597222222</v>
      </c>
      <c r="E471" s="2" t="n">
        <v>46303.67430555556</v>
      </c>
      <c r="F471" t="inlineStr">
        <is>
          <t>M1</t>
        </is>
      </c>
      <c r="G471" t="inlineStr">
        <is>
          <t>C2</t>
        </is>
      </c>
      <c r="H471" s="2" t="n">
        <v>46303.40416666667</v>
      </c>
      <c r="I471" s="2" t="n">
        <v>46303.4125</v>
      </c>
      <c r="J471" t="inlineStr">
        <is>
          <t>Completed</t>
        </is>
      </c>
      <c r="K471" t="n">
        <v>1.72</v>
      </c>
      <c r="L471" t="n">
        <v>8</v>
      </c>
      <c r="M471" t="b">
        <v>0</v>
      </c>
      <c r="N471" t="n">
        <v>0</v>
      </c>
      <c r="O471" t="b">
        <v>1</v>
      </c>
      <c r="P471" t="b">
        <v>0</v>
      </c>
      <c r="Q471" t="b">
        <v>0</v>
      </c>
    </row>
    <row r="472">
      <c r="A472" t="inlineStr">
        <is>
          <t>REQ00471</t>
        </is>
      </c>
      <c r="B472" t="inlineStr">
        <is>
          <t>549300OLPHCJ2151YK93</t>
        </is>
      </c>
      <c r="C472" t="inlineStr">
        <is>
          <t>new_account</t>
        </is>
      </c>
      <c r="D472" s="2" t="n">
        <v>46302.73263888889</v>
      </c>
      <c r="E472" s="2" t="n">
        <v>46304.64930555555</v>
      </c>
      <c r="F472" t="inlineStr">
        <is>
          <t>M2</t>
        </is>
      </c>
      <c r="G472" t="inlineStr">
        <is>
          <t>C3</t>
        </is>
      </c>
      <c r="H472" s="2" t="n">
        <v>46303.42638888889</v>
      </c>
      <c r="I472" s="2" t="n">
        <v>46303.68055555555</v>
      </c>
      <c r="J472" t="inlineStr">
        <is>
          <t>Completed</t>
        </is>
      </c>
      <c r="K472" t="n">
        <v>7.75</v>
      </c>
      <c r="L472" t="n">
        <v>16</v>
      </c>
      <c r="M472" t="b">
        <v>0</v>
      </c>
      <c r="N472" t="n">
        <v>0</v>
      </c>
      <c r="O472" t="b">
        <v>1</v>
      </c>
      <c r="P472" t="b">
        <v>0</v>
      </c>
      <c r="Q472" t="b">
        <v>1</v>
      </c>
    </row>
    <row r="473">
      <c r="A473" t="inlineStr">
        <is>
          <t>REQ00472</t>
        </is>
      </c>
      <c r="B473" t="inlineStr">
        <is>
          <t>549300FB47J1X4QNFM95</t>
        </is>
      </c>
      <c r="C473" t="inlineStr">
        <is>
          <t>document_refresh</t>
        </is>
      </c>
      <c r="D473" s="2" t="n">
        <v>46302.73680555556</v>
      </c>
      <c r="E473" s="2" t="n">
        <v>46304.48680555556</v>
      </c>
      <c r="F473" t="inlineStr">
        <is>
          <t>M3</t>
        </is>
      </c>
      <c r="G473" t="inlineStr">
        <is>
          <t>C2</t>
        </is>
      </c>
      <c r="H473" s="2" t="n">
        <v>46303.41597222222</v>
      </c>
      <c r="I473" s="2" t="n">
        <v>46303.58055555556</v>
      </c>
      <c r="J473" t="inlineStr">
        <is>
          <t>Completed</t>
        </is>
      </c>
      <c r="K473" t="n">
        <v>5.24</v>
      </c>
      <c r="L473" t="n">
        <v>12</v>
      </c>
      <c r="M473" t="b">
        <v>0</v>
      </c>
      <c r="N473" t="n">
        <v>0</v>
      </c>
      <c r="O473" t="b">
        <v>1</v>
      </c>
      <c r="P473" t="b">
        <v>0</v>
      </c>
      <c r="Q473" t="b">
        <v>1</v>
      </c>
    </row>
    <row r="474">
      <c r="A474" t="inlineStr">
        <is>
          <t>REQ00473</t>
        </is>
      </c>
      <c r="B474" t="inlineStr">
        <is>
          <t>549300UYGWVB4ELAC863</t>
        </is>
      </c>
      <c r="C474" t="inlineStr">
        <is>
          <t>new_account</t>
        </is>
      </c>
      <c r="D474" s="2" t="n">
        <v>46302.73888888889</v>
      </c>
      <c r="E474" s="2" t="n">
        <v>46304.65555555555</v>
      </c>
      <c r="F474" t="inlineStr">
        <is>
          <t>M6</t>
        </is>
      </c>
      <c r="G474" t="inlineStr">
        <is>
          <t>C2</t>
        </is>
      </c>
      <c r="H474" s="2" t="n">
        <v>46303.42847222222</v>
      </c>
      <c r="I474" s="2" t="n">
        <v>46303.56319444445</v>
      </c>
      <c r="J474" t="inlineStr">
        <is>
          <t>Completed</t>
        </is>
      </c>
      <c r="K474" t="n">
        <v>4.78</v>
      </c>
      <c r="L474" t="n">
        <v>16</v>
      </c>
      <c r="M474" t="b">
        <v>0</v>
      </c>
      <c r="N474" t="n">
        <v>0</v>
      </c>
      <c r="O474" t="b">
        <v>1</v>
      </c>
      <c r="P474" t="b">
        <v>0</v>
      </c>
      <c r="Q474" t="b">
        <v>1</v>
      </c>
    </row>
    <row r="475">
      <c r="A475" t="inlineStr">
        <is>
          <t>REQ00474</t>
        </is>
      </c>
      <c r="B475" t="inlineStr">
        <is>
          <t>549300ABQY94SENB1K38</t>
        </is>
      </c>
      <c r="C475" t="inlineStr">
        <is>
          <t>document_refresh</t>
        </is>
      </c>
      <c r="D475" s="2" t="n">
        <v>46302.74444444444</v>
      </c>
      <c r="E475" s="2" t="n">
        <v>46304.49444444444</v>
      </c>
      <c r="F475" t="inlineStr">
        <is>
          <t>M1</t>
        </is>
      </c>
      <c r="G475" t="inlineStr">
        <is>
          <t>C3</t>
        </is>
      </c>
      <c r="H475" s="2" t="n">
        <v>46303.41527777778</v>
      </c>
      <c r="I475" s="2" t="n">
        <v>46303.50902777778</v>
      </c>
      <c r="J475" t="inlineStr">
        <is>
          <t>Completed</t>
        </is>
      </c>
      <c r="K475" t="n">
        <v>3.35</v>
      </c>
      <c r="L475" t="n">
        <v>12</v>
      </c>
      <c r="M475" t="b">
        <v>0</v>
      </c>
      <c r="N475" t="n">
        <v>0</v>
      </c>
      <c r="O475" t="b">
        <v>1</v>
      </c>
      <c r="P475" t="b">
        <v>0</v>
      </c>
      <c r="Q475" t="b">
        <v>1</v>
      </c>
    </row>
    <row r="476">
      <c r="A476" t="inlineStr">
        <is>
          <t>REQ00475</t>
        </is>
      </c>
      <c r="B476" t="inlineStr">
        <is>
          <t>9695002AE685CROPDD85</t>
        </is>
      </c>
      <c r="C476" t="inlineStr">
        <is>
          <t>new_account</t>
        </is>
      </c>
      <c r="D476" s="2" t="n">
        <v>46302.74513888889</v>
      </c>
      <c r="E476" s="2" t="n">
        <v>46304.66180555556</v>
      </c>
      <c r="F476" t="inlineStr">
        <is>
          <t>M5</t>
        </is>
      </c>
      <c r="G476" t="inlineStr">
        <is>
          <t>C1</t>
        </is>
      </c>
      <c r="H476" s="2" t="n">
        <v>46303.43125</v>
      </c>
      <c r="I476" s="2" t="n">
        <v>46303.58472222222</v>
      </c>
      <c r="J476" t="inlineStr">
        <is>
          <t>Completed</t>
        </is>
      </c>
      <c r="K476" t="n">
        <v>5.16</v>
      </c>
      <c r="L476" t="n">
        <v>16</v>
      </c>
      <c r="M476" t="b">
        <v>0</v>
      </c>
      <c r="N476" t="n">
        <v>0</v>
      </c>
      <c r="O476" t="b">
        <v>1</v>
      </c>
      <c r="P476" t="b">
        <v>0</v>
      </c>
      <c r="Q476" t="b">
        <v>1</v>
      </c>
    </row>
    <row r="477">
      <c r="A477" t="inlineStr">
        <is>
          <t>REQ00476</t>
        </is>
      </c>
      <c r="B477" t="inlineStr">
        <is>
          <t>549300CW5NX6EMYI2236</t>
        </is>
      </c>
      <c r="C477" t="inlineStr">
        <is>
          <t>data_amendment</t>
        </is>
      </c>
      <c r="D477" s="2" t="n">
        <v>46302.74930555555</v>
      </c>
      <c r="E477" s="2" t="n">
        <v>46303.70763888889</v>
      </c>
      <c r="F477" t="inlineStr">
        <is>
          <t>M1</t>
        </is>
      </c>
      <c r="G477" t="inlineStr">
        <is>
          <t>C3</t>
        </is>
      </c>
      <c r="H477" s="2" t="n">
        <v>46303.42291666667</v>
      </c>
      <c r="I477" s="2" t="n">
        <v>46303.64930555555</v>
      </c>
      <c r="J477" t="inlineStr">
        <is>
          <t>Completed</t>
        </is>
      </c>
      <c r="K477" t="n">
        <v>6.6</v>
      </c>
      <c r="L477" t="n">
        <v>8</v>
      </c>
      <c r="M477" t="b">
        <v>0</v>
      </c>
      <c r="N477" t="n">
        <v>1</v>
      </c>
      <c r="O477" t="b">
        <v>0</v>
      </c>
      <c r="P477" t="b">
        <v>1</v>
      </c>
      <c r="Q477" t="b">
        <v>1</v>
      </c>
    </row>
    <row r="478">
      <c r="A478" t="inlineStr">
        <is>
          <t>REQ00477</t>
        </is>
      </c>
      <c r="B478" t="inlineStr">
        <is>
          <t>529900HWP6SOY6SY9G41</t>
        </is>
      </c>
      <c r="C478" t="inlineStr">
        <is>
          <t>data_amendment</t>
        </is>
      </c>
      <c r="D478" s="2" t="n">
        <v>46303.37569444445</v>
      </c>
      <c r="E478" s="2" t="n">
        <v>46303.70902777778</v>
      </c>
      <c r="F478" t="inlineStr">
        <is>
          <t>M3</t>
        </is>
      </c>
      <c r="G478" t="inlineStr">
        <is>
          <t>C1</t>
        </is>
      </c>
      <c r="H478" s="2" t="n">
        <v>46303.425</v>
      </c>
      <c r="I478" s="2" t="n">
        <v>46303.42847222222</v>
      </c>
      <c r="J478" t="inlineStr">
        <is>
          <t>Completed</t>
        </is>
      </c>
      <c r="K478" t="n">
        <v>1.26</v>
      </c>
      <c r="L478" t="n">
        <v>8</v>
      </c>
      <c r="M478" t="b">
        <v>0</v>
      </c>
      <c r="N478" t="n">
        <v>0</v>
      </c>
      <c r="O478" t="b">
        <v>1</v>
      </c>
      <c r="P478" t="b">
        <v>0</v>
      </c>
      <c r="Q478" t="b">
        <v>0</v>
      </c>
    </row>
    <row r="479">
      <c r="A479" t="inlineStr">
        <is>
          <t>REQ00478</t>
        </is>
      </c>
      <c r="B479" t="inlineStr">
        <is>
          <t>984500KE1386E9709639</t>
        </is>
      </c>
      <c r="C479" t="inlineStr">
        <is>
          <t>new_account</t>
        </is>
      </c>
      <c r="D479" s="2" t="n">
        <v>46303.37708333333</v>
      </c>
      <c r="E479" s="2" t="n">
        <v>46304.66875</v>
      </c>
      <c r="F479" t="inlineStr">
        <is>
          <t>M1</t>
        </is>
      </c>
      <c r="G479" t="inlineStr">
        <is>
          <t>C3</t>
        </is>
      </c>
      <c r="H479" s="2" t="n">
        <v>46303.45555555556</v>
      </c>
      <c r="I479" s="2" t="n">
        <v>46303.46875</v>
      </c>
      <c r="J479" t="inlineStr">
        <is>
          <t>Completed</t>
        </is>
      </c>
      <c r="K479" t="n">
        <v>2.2</v>
      </c>
      <c r="L479" t="n">
        <v>16</v>
      </c>
      <c r="M479" t="b">
        <v>0</v>
      </c>
      <c r="N479" t="n">
        <v>0</v>
      </c>
      <c r="O479" t="b">
        <v>1</v>
      </c>
      <c r="P479" t="b">
        <v>0</v>
      </c>
      <c r="Q479" t="b">
        <v>0</v>
      </c>
    </row>
    <row r="480">
      <c r="A480" t="inlineStr">
        <is>
          <t>REQ00479</t>
        </is>
      </c>
      <c r="B480" t="inlineStr">
        <is>
          <t>213800O5C9E8OTA4O147</t>
        </is>
      </c>
      <c r="C480" t="inlineStr">
        <is>
          <t>new_account</t>
        </is>
      </c>
      <c r="D480" s="2" t="n">
        <v>46303.39166666667</v>
      </c>
      <c r="E480" s="2" t="n">
        <v>46304.68333333333</v>
      </c>
      <c r="F480" t="inlineStr">
        <is>
          <t>M3</t>
        </is>
      </c>
      <c r="G480" t="inlineStr">
        <is>
          <t>C2</t>
        </is>
      </c>
      <c r="H480" s="2" t="n">
        <v>46303.46527777778</v>
      </c>
      <c r="I480" s="2" t="n">
        <v>46303.47430555556</v>
      </c>
      <c r="J480" t="inlineStr">
        <is>
          <t>Completed</t>
        </is>
      </c>
      <c r="K480" t="n">
        <v>1.99</v>
      </c>
      <c r="L480" t="n">
        <v>16</v>
      </c>
      <c r="M480" t="b">
        <v>0</v>
      </c>
      <c r="N480" t="n">
        <v>0</v>
      </c>
      <c r="O480" t="b">
        <v>1</v>
      </c>
      <c r="P480" t="b">
        <v>0</v>
      </c>
      <c r="Q480" t="b">
        <v>0</v>
      </c>
    </row>
    <row r="481">
      <c r="A481" t="inlineStr">
        <is>
          <t>REQ00480</t>
        </is>
      </c>
      <c r="B481" t="inlineStr">
        <is>
          <t>DHL3CDKB4R0SGZ230I15</t>
        </is>
      </c>
      <c r="C481" t="inlineStr">
        <is>
          <t>document_refresh</t>
        </is>
      </c>
      <c r="D481" s="2" t="n">
        <v>46303.39513888889</v>
      </c>
      <c r="E481" s="2" t="n">
        <v>46304.52013888889</v>
      </c>
      <c r="F481" t="inlineStr">
        <is>
          <t>M2</t>
        </is>
      </c>
      <c r="G481" t="inlineStr">
        <is>
          <t>C3</t>
        </is>
      </c>
      <c r="H481" s="2" t="n">
        <v>46303.44166666667</v>
      </c>
      <c r="I481" s="2" t="n">
        <v>46303.58541666667</v>
      </c>
      <c r="J481" t="inlineStr">
        <is>
          <t>Completed</t>
        </is>
      </c>
      <c r="K481" t="n">
        <v>4.57</v>
      </c>
      <c r="L481" t="n">
        <v>12</v>
      </c>
      <c r="M481" t="b">
        <v>0</v>
      </c>
      <c r="N481" t="n">
        <v>0</v>
      </c>
      <c r="O481" t="b">
        <v>1</v>
      </c>
      <c r="P481" t="b">
        <v>0</v>
      </c>
      <c r="Q481" t="b">
        <v>1</v>
      </c>
    </row>
    <row r="482">
      <c r="A482" t="inlineStr">
        <is>
          <t>REQ00481</t>
        </is>
      </c>
      <c r="B482" t="inlineStr">
        <is>
          <t>213800FDXB8KOGFCQ989</t>
        </is>
      </c>
      <c r="C482" t="inlineStr">
        <is>
          <t>document_refresh</t>
        </is>
      </c>
      <c r="D482" s="2" t="n">
        <v>46303.39930555555</v>
      </c>
      <c r="E482" s="2" t="n">
        <v>46304.52430555555</v>
      </c>
      <c r="F482" t="inlineStr">
        <is>
          <t>M6</t>
        </is>
      </c>
      <c r="G482" t="inlineStr">
        <is>
          <t>C3</t>
        </is>
      </c>
      <c r="H482" s="2" t="n">
        <v>46303.44513888889</v>
      </c>
      <c r="I482" s="2" t="n">
        <v>46303.45069444444</v>
      </c>
      <c r="J482" t="inlineStr">
        <is>
          <t>Completed</t>
        </is>
      </c>
      <c r="K482" t="n">
        <v>1.23</v>
      </c>
      <c r="L482" t="n">
        <v>12</v>
      </c>
      <c r="M482" t="b">
        <v>0</v>
      </c>
      <c r="N482" t="n">
        <v>0</v>
      </c>
      <c r="O482" t="b">
        <v>1</v>
      </c>
      <c r="P482" t="b">
        <v>0</v>
      </c>
      <c r="Q482" t="b">
        <v>0</v>
      </c>
    </row>
    <row r="483">
      <c r="A483" t="inlineStr">
        <is>
          <t>REQ00482</t>
        </is>
      </c>
      <c r="B483" t="inlineStr">
        <is>
          <t>724500TBK3EAKZFJA243</t>
        </is>
      </c>
      <c r="C483" t="inlineStr">
        <is>
          <t>data_amendment</t>
        </is>
      </c>
      <c r="D483" s="2" t="n">
        <v>46303.40694444445</v>
      </c>
      <c r="E483" s="2" t="n">
        <v>46303.74027777778</v>
      </c>
      <c r="F483" t="inlineStr">
        <is>
          <t>M5</t>
        </is>
      </c>
      <c r="G483" t="inlineStr">
        <is>
          <t>C1</t>
        </is>
      </c>
      <c r="H483" s="2" t="n">
        <v>46303.44097222222</v>
      </c>
      <c r="I483" s="2" t="n">
        <v>46303.44583333333</v>
      </c>
      <c r="J483" t="inlineStr">
        <is>
          <t>Completed</t>
        </is>
      </c>
      <c r="K483" t="n">
        <v>0.93</v>
      </c>
      <c r="L483" t="n">
        <v>8</v>
      </c>
      <c r="M483" t="b">
        <v>0</v>
      </c>
      <c r="N483" t="n">
        <v>0</v>
      </c>
      <c r="O483" t="b">
        <v>1</v>
      </c>
      <c r="P483" t="b">
        <v>0</v>
      </c>
      <c r="Q483" t="b">
        <v>0</v>
      </c>
    </row>
    <row r="484">
      <c r="A484" t="inlineStr">
        <is>
          <t>REQ00483</t>
        </is>
      </c>
      <c r="B484" t="inlineStr">
        <is>
          <t>7245006SX60DNJYLE783</t>
        </is>
      </c>
      <c r="C484" t="inlineStr">
        <is>
          <t>document_refresh</t>
        </is>
      </c>
      <c r="D484" s="2" t="n">
        <v>46303.41180555556</v>
      </c>
      <c r="E484" s="2" t="n">
        <v>46304.53680555556</v>
      </c>
      <c r="F484" t="inlineStr">
        <is>
          <t>M4</t>
        </is>
      </c>
      <c r="G484" t="inlineStr">
        <is>
          <t>C1</t>
        </is>
      </c>
      <c r="H484" s="2" t="n">
        <v>46303.44513888889</v>
      </c>
      <c r="I484" s="2" t="n">
        <v>46303.58958333333</v>
      </c>
      <c r="J484" t="inlineStr">
        <is>
          <t>Completed</t>
        </is>
      </c>
      <c r="K484" t="n">
        <v>4.27</v>
      </c>
      <c r="L484" t="n">
        <v>12</v>
      </c>
      <c r="M484" t="b">
        <v>0</v>
      </c>
      <c r="N484" t="n">
        <v>0</v>
      </c>
      <c r="O484" t="b">
        <v>1</v>
      </c>
      <c r="P484" t="b">
        <v>0</v>
      </c>
      <c r="Q484" t="b">
        <v>1</v>
      </c>
    </row>
    <row r="485">
      <c r="A485" t="inlineStr">
        <is>
          <t>REQ00484</t>
        </is>
      </c>
      <c r="B485" t="inlineStr">
        <is>
          <t>549300QS9S9UM5901305</t>
        </is>
      </c>
      <c r="C485" t="inlineStr">
        <is>
          <t>signatory_change</t>
        </is>
      </c>
      <c r="D485" s="2" t="n">
        <v>46303.41319444445</v>
      </c>
      <c r="E485" s="2" t="n">
        <v>46303.74652777778</v>
      </c>
      <c r="F485" t="inlineStr">
        <is>
          <t>M5</t>
        </is>
      </c>
      <c r="G485" t="inlineStr">
        <is>
          <t>C1</t>
        </is>
      </c>
      <c r="H485" s="2" t="n">
        <v>46303.46597222222</v>
      </c>
      <c r="I485" s="2" t="n">
        <v>46303.66041666667</v>
      </c>
      <c r="J485" t="inlineStr">
        <is>
          <t>Completed</t>
        </is>
      </c>
      <c r="K485" t="n">
        <v>5.93</v>
      </c>
      <c r="L485" t="n">
        <v>8</v>
      </c>
      <c r="M485" t="b">
        <v>0</v>
      </c>
      <c r="N485" t="n">
        <v>0</v>
      </c>
      <c r="O485" t="b">
        <v>1</v>
      </c>
      <c r="P485" t="b">
        <v>0</v>
      </c>
      <c r="Q485" t="b">
        <v>1</v>
      </c>
    </row>
    <row r="486">
      <c r="A486" t="inlineStr">
        <is>
          <t>REQ00485</t>
        </is>
      </c>
      <c r="B486" t="inlineStr">
        <is>
          <t>254900MROMERA09JGN67</t>
        </is>
      </c>
      <c r="C486" t="inlineStr">
        <is>
          <t>signatory_change</t>
        </is>
      </c>
      <c r="D486" s="2" t="n">
        <v>46303.41527777778</v>
      </c>
      <c r="E486" s="2" t="n">
        <v>46303.74861111111</v>
      </c>
      <c r="F486" t="inlineStr">
        <is>
          <t>M2</t>
        </is>
      </c>
      <c r="G486" t="inlineStr">
        <is>
          <t>C1</t>
        </is>
      </c>
      <c r="H486" s="2" t="n">
        <v>46303.45833333334</v>
      </c>
      <c r="I486" s="2" t="n">
        <v>46303.46458333333</v>
      </c>
      <c r="J486" t="inlineStr">
        <is>
          <t>Completed</t>
        </is>
      </c>
      <c r="K486" t="n">
        <v>1.18</v>
      </c>
      <c r="L486" t="n">
        <v>8</v>
      </c>
      <c r="M486" t="b">
        <v>0</v>
      </c>
      <c r="N486" t="n">
        <v>0</v>
      </c>
      <c r="O486" t="b">
        <v>1</v>
      </c>
      <c r="P486" t="b">
        <v>0</v>
      </c>
      <c r="Q486" t="b">
        <v>0</v>
      </c>
    </row>
    <row r="487">
      <c r="A487" t="inlineStr">
        <is>
          <t>REQ00486</t>
        </is>
      </c>
      <c r="B487" t="inlineStr">
        <is>
          <t>254900F668HRS170GT83</t>
        </is>
      </c>
      <c r="C487" t="inlineStr">
        <is>
          <t>data_amendment</t>
        </is>
      </c>
      <c r="D487" s="2" t="n">
        <v>46303.41736111111</v>
      </c>
      <c r="E487" s="2" t="n">
        <v>46304.37569444445</v>
      </c>
      <c r="F487" t="inlineStr">
        <is>
          <t>M4</t>
        </is>
      </c>
      <c r="G487" t="inlineStr">
        <is>
          <t>C1</t>
        </is>
      </c>
      <c r="H487" s="2" t="n">
        <v>46303.45416666667</v>
      </c>
      <c r="I487" s="2" t="n">
        <v>46303.45833333334</v>
      </c>
      <c r="J487" t="inlineStr">
        <is>
          <t>Completed</t>
        </is>
      </c>
      <c r="K487" t="n">
        <v>0.98</v>
      </c>
      <c r="L487" t="n">
        <v>8</v>
      </c>
      <c r="M487" t="b">
        <v>0</v>
      </c>
      <c r="N487" t="n">
        <v>0</v>
      </c>
      <c r="O487" t="b">
        <v>1</v>
      </c>
      <c r="P487" t="b">
        <v>0</v>
      </c>
      <c r="Q487" t="b">
        <v>0</v>
      </c>
    </row>
    <row r="488">
      <c r="A488" t="inlineStr">
        <is>
          <t>REQ00487</t>
        </is>
      </c>
      <c r="B488" t="inlineStr">
        <is>
          <t>549300BZZJD027NRFZ07</t>
        </is>
      </c>
      <c r="C488" t="inlineStr">
        <is>
          <t>data_amendment</t>
        </is>
      </c>
      <c r="D488" s="2" t="n">
        <v>46303.42569444444</v>
      </c>
      <c r="E488" s="2" t="n">
        <v>46304.38402777778</v>
      </c>
      <c r="F488" t="inlineStr">
        <is>
          <t>M6</t>
        </is>
      </c>
      <c r="G488" t="inlineStr">
        <is>
          <t>C2</t>
        </is>
      </c>
      <c r="H488" s="2" t="n">
        <v>46303.45486111111</v>
      </c>
      <c r="I488" s="2" t="n">
        <v>46303.58541666667</v>
      </c>
      <c r="J488" t="inlineStr">
        <is>
          <t>Completed</t>
        </is>
      </c>
      <c r="K488" t="n">
        <v>3.83</v>
      </c>
      <c r="L488" t="n">
        <v>8</v>
      </c>
      <c r="M488" t="b">
        <v>0</v>
      </c>
      <c r="N488" t="n">
        <v>0</v>
      </c>
      <c r="O488" t="b">
        <v>1</v>
      </c>
      <c r="P488" t="b">
        <v>0</v>
      </c>
      <c r="Q488" t="b">
        <v>1</v>
      </c>
    </row>
    <row r="489">
      <c r="A489" t="inlineStr">
        <is>
          <t>REQ00488</t>
        </is>
      </c>
      <c r="B489" t="inlineStr">
        <is>
          <t>213800WVMN4PDX5TOF36</t>
        </is>
      </c>
      <c r="C489" t="inlineStr">
        <is>
          <t>document_refresh</t>
        </is>
      </c>
      <c r="D489" s="2" t="n">
        <v>46303.45</v>
      </c>
      <c r="E489" s="2" t="n">
        <v>46304.575</v>
      </c>
      <c r="F489" t="inlineStr">
        <is>
          <t>M4</t>
        </is>
      </c>
      <c r="G489" t="inlineStr">
        <is>
          <t>C2</t>
        </is>
      </c>
      <c r="H489" s="2" t="n">
        <v>46303.46944444445</v>
      </c>
      <c r="I489" s="2" t="n">
        <v>46303.66736111111</v>
      </c>
      <c r="J489" t="inlineStr">
        <is>
          <t>Completed</t>
        </is>
      </c>
      <c r="K489" t="n">
        <v>5.22</v>
      </c>
      <c r="L489" t="n">
        <v>12</v>
      </c>
      <c r="M489" t="b">
        <v>0</v>
      </c>
      <c r="N489" t="n">
        <v>0</v>
      </c>
      <c r="O489" t="b">
        <v>1</v>
      </c>
      <c r="P489" t="b">
        <v>0</v>
      </c>
      <c r="Q489" t="b">
        <v>1</v>
      </c>
    </row>
    <row r="490">
      <c r="A490" t="inlineStr">
        <is>
          <t>REQ00489</t>
        </is>
      </c>
      <c r="B490" t="inlineStr">
        <is>
          <t>391200HU6RQK1LMOD793</t>
        </is>
      </c>
      <c r="C490" t="inlineStr">
        <is>
          <t>document_refresh</t>
        </is>
      </c>
      <c r="D490" s="2" t="n">
        <v>46303.45208333333</v>
      </c>
      <c r="E490" s="2" t="n">
        <v>46304.57708333333</v>
      </c>
      <c r="F490" t="inlineStr">
        <is>
          <t>M6</t>
        </is>
      </c>
      <c r="G490" t="inlineStr">
        <is>
          <t>C2</t>
        </is>
      </c>
      <c r="H490" s="2" t="n">
        <v>46303.46736111111</v>
      </c>
      <c r="I490" s="2" t="n">
        <v>46303.69791666666</v>
      </c>
      <c r="J490" t="inlineStr">
        <is>
          <t>Completed</t>
        </is>
      </c>
      <c r="K490" t="n">
        <v>5.9</v>
      </c>
      <c r="L490" t="n">
        <v>12</v>
      </c>
      <c r="M490" t="b">
        <v>0</v>
      </c>
      <c r="N490" t="n">
        <v>0</v>
      </c>
      <c r="O490" t="b">
        <v>1</v>
      </c>
      <c r="P490" t="b">
        <v>0</v>
      </c>
      <c r="Q490" t="b">
        <v>1</v>
      </c>
    </row>
    <row r="491">
      <c r="A491" t="inlineStr">
        <is>
          <t>REQ00490</t>
        </is>
      </c>
      <c r="B491" t="inlineStr">
        <is>
          <t>894500895Y3Y3CE4C316</t>
        </is>
      </c>
      <c r="C491" t="inlineStr">
        <is>
          <t>signatory_change</t>
        </is>
      </c>
      <c r="D491" s="2" t="n">
        <v>46303.45763888889</v>
      </c>
      <c r="E491" s="2" t="n">
        <v>46304.41597222222</v>
      </c>
      <c r="F491" t="inlineStr">
        <is>
          <t>M1</t>
        </is>
      </c>
      <c r="G491" t="inlineStr">
        <is>
          <t>C2</t>
        </is>
      </c>
      <c r="H491" s="2" t="n">
        <v>46303.475</v>
      </c>
      <c r="I491" s="2" t="n">
        <v>46303.59166666667</v>
      </c>
      <c r="J491" t="inlineStr">
        <is>
          <t>Completed</t>
        </is>
      </c>
      <c r="K491" t="n">
        <v>3.22</v>
      </c>
      <c r="L491" t="n">
        <v>8</v>
      </c>
      <c r="M491" t="b">
        <v>0</v>
      </c>
      <c r="N491" t="n">
        <v>0</v>
      </c>
      <c r="O491" t="b">
        <v>1</v>
      </c>
      <c r="P491" t="b">
        <v>0</v>
      </c>
      <c r="Q491" t="b">
        <v>1</v>
      </c>
    </row>
    <row r="492">
      <c r="A492" t="inlineStr">
        <is>
          <t>REQ00491</t>
        </is>
      </c>
      <c r="B492" t="inlineStr">
        <is>
          <t>724500PHIAVEIFGK6V10</t>
        </is>
      </c>
      <c r="C492" t="inlineStr">
        <is>
          <t>signatory_change</t>
        </is>
      </c>
      <c r="D492" s="2" t="n">
        <v>46303.46111111111</v>
      </c>
      <c r="E492" s="2" t="n">
        <v>46304.41944444444</v>
      </c>
      <c r="F492" t="inlineStr">
        <is>
          <t>M2</t>
        </is>
      </c>
      <c r="G492" t="inlineStr">
        <is>
          <t>C3</t>
        </is>
      </c>
      <c r="H492" s="2" t="n">
        <v>46303.47916666666</v>
      </c>
      <c r="I492" s="2" t="n">
        <v>46303.48819444444</v>
      </c>
      <c r="J492" t="inlineStr">
        <is>
          <t>Completed</t>
        </is>
      </c>
      <c r="K492" t="n">
        <v>0.65</v>
      </c>
      <c r="L492" t="n">
        <v>8</v>
      </c>
      <c r="M492" t="b">
        <v>0</v>
      </c>
      <c r="N492" t="n">
        <v>0</v>
      </c>
      <c r="O492" t="b">
        <v>1</v>
      </c>
      <c r="P492" t="b">
        <v>0</v>
      </c>
      <c r="Q492" t="b">
        <v>0</v>
      </c>
    </row>
    <row r="493">
      <c r="A493" t="inlineStr">
        <is>
          <t>REQ00492</t>
        </is>
      </c>
      <c r="B493" t="inlineStr">
        <is>
          <t>969500PFIZ0OUG3SRV35</t>
        </is>
      </c>
      <c r="C493" t="inlineStr">
        <is>
          <t>data_amendment</t>
        </is>
      </c>
      <c r="D493" s="2" t="n">
        <v>46303.46875</v>
      </c>
      <c r="E493" s="2" t="n">
        <v>46304.42708333334</v>
      </c>
      <c r="F493" t="inlineStr">
        <is>
          <t>M3</t>
        </is>
      </c>
      <c r="G493" t="inlineStr">
        <is>
          <t>C1</t>
        </is>
      </c>
      <c r="H493" s="2" t="n">
        <v>46303.47777777778</v>
      </c>
      <c r="I493" s="2" t="n">
        <v>46303.68472222222</v>
      </c>
      <c r="J493" t="inlineStr">
        <is>
          <t>Completed</t>
        </is>
      </c>
      <c r="K493" t="n">
        <v>5.18</v>
      </c>
      <c r="L493" t="n">
        <v>8</v>
      </c>
      <c r="M493" t="b">
        <v>0</v>
      </c>
      <c r="N493" t="n">
        <v>0</v>
      </c>
      <c r="O493" t="b">
        <v>1</v>
      </c>
      <c r="P493" t="b">
        <v>0</v>
      </c>
      <c r="Q493" t="b">
        <v>1</v>
      </c>
    </row>
    <row r="494">
      <c r="A494" t="inlineStr">
        <is>
          <t>REQ00493</t>
        </is>
      </c>
      <c r="B494" t="inlineStr">
        <is>
          <t>54930042BKGLIIZ8C853</t>
        </is>
      </c>
      <c r="C494" t="inlineStr">
        <is>
          <t>signatory_change</t>
        </is>
      </c>
      <c r="D494" s="2" t="n">
        <v>46303.47291666667</v>
      </c>
      <c r="E494" s="2" t="n">
        <v>46304.43125</v>
      </c>
      <c r="F494" t="inlineStr">
        <is>
          <t>M5</t>
        </is>
      </c>
      <c r="G494" t="inlineStr">
        <is>
          <t>C2</t>
        </is>
      </c>
      <c r="H494" s="2" t="n">
        <v>46303.49236111111</v>
      </c>
      <c r="I494" s="2" t="n">
        <v>46303.63263888889</v>
      </c>
      <c r="J494" t="inlineStr">
        <is>
          <t>Completed</t>
        </is>
      </c>
      <c r="K494" t="n">
        <v>3.83</v>
      </c>
      <c r="L494" t="n">
        <v>8</v>
      </c>
      <c r="M494" t="b">
        <v>0</v>
      </c>
      <c r="N494" t="n">
        <v>0</v>
      </c>
      <c r="O494" t="b">
        <v>1</v>
      </c>
      <c r="P494" t="b">
        <v>0</v>
      </c>
      <c r="Q494" t="b">
        <v>1</v>
      </c>
    </row>
    <row r="495">
      <c r="A495" t="inlineStr">
        <is>
          <t>REQ00494</t>
        </is>
      </c>
      <c r="B495" t="inlineStr">
        <is>
          <t>335800XR1WEL3BS7F281</t>
        </is>
      </c>
      <c r="C495" t="inlineStr">
        <is>
          <t>signatory_change</t>
        </is>
      </c>
      <c r="D495" s="2" t="n">
        <v>46303.48541666667</v>
      </c>
      <c r="E495" s="2" t="n">
        <v>46304.44375</v>
      </c>
      <c r="F495" t="inlineStr">
        <is>
          <t>M6</t>
        </is>
      </c>
      <c r="G495" t="inlineStr">
        <is>
          <t>C3</t>
        </is>
      </c>
      <c r="H495" s="2" t="n">
        <v>46303.50625</v>
      </c>
      <c r="I495" s="2" t="n">
        <v>46303.51736111111</v>
      </c>
      <c r="J495" t="inlineStr">
        <is>
          <t>Completed</t>
        </is>
      </c>
      <c r="K495" t="n">
        <v>0.77</v>
      </c>
      <c r="L495" t="n">
        <v>8</v>
      </c>
      <c r="M495" t="b">
        <v>0</v>
      </c>
      <c r="N495" t="n">
        <v>0</v>
      </c>
      <c r="O495" t="b">
        <v>1</v>
      </c>
      <c r="P495" t="b">
        <v>0</v>
      </c>
      <c r="Q495" t="b">
        <v>0</v>
      </c>
    </row>
    <row r="496">
      <c r="A496" t="inlineStr">
        <is>
          <t>REQ00495</t>
        </is>
      </c>
      <c r="B496" t="inlineStr">
        <is>
          <t>254900FW2KC6CZHVQW30</t>
        </is>
      </c>
      <c r="C496" t="inlineStr">
        <is>
          <t>document_refresh</t>
        </is>
      </c>
      <c r="D496" s="2" t="n">
        <v>46303.48958333334</v>
      </c>
      <c r="E496" s="2" t="n">
        <v>46304.61458333334</v>
      </c>
      <c r="F496" t="inlineStr">
        <is>
          <t>M4</t>
        </is>
      </c>
      <c r="G496" t="inlineStr">
        <is>
          <t>C2</t>
        </is>
      </c>
      <c r="H496" s="2" t="n">
        <v>46303.50625</v>
      </c>
      <c r="I496" s="2" t="n">
        <v>46303.51527777778</v>
      </c>
      <c r="J496" t="inlineStr">
        <is>
          <t>Completed</t>
        </is>
      </c>
      <c r="K496" t="n">
        <v>0.62</v>
      </c>
      <c r="L496" t="n">
        <v>12</v>
      </c>
      <c r="M496" t="b">
        <v>0</v>
      </c>
      <c r="N496" t="n">
        <v>0</v>
      </c>
      <c r="O496" t="b">
        <v>1</v>
      </c>
      <c r="P496" t="b">
        <v>0</v>
      </c>
      <c r="Q496" t="b">
        <v>0</v>
      </c>
    </row>
    <row r="497">
      <c r="A497" t="inlineStr">
        <is>
          <t>REQ00496</t>
        </is>
      </c>
      <c r="B497" t="inlineStr">
        <is>
          <t>894500HIILX361SRXY27</t>
        </is>
      </c>
      <c r="C497" t="inlineStr">
        <is>
          <t>data_amendment</t>
        </is>
      </c>
      <c r="D497" s="2" t="n">
        <v>46303.49097222222</v>
      </c>
      <c r="E497" s="2" t="n">
        <v>46304.44930555556</v>
      </c>
      <c r="F497" t="inlineStr">
        <is>
          <t>M1</t>
        </is>
      </c>
      <c r="G497" t="inlineStr">
        <is>
          <t>C3</t>
        </is>
      </c>
      <c r="H497" s="2" t="n">
        <v>46303.5</v>
      </c>
      <c r="I497" s="2" t="n">
        <v>46303.50555555556</v>
      </c>
      <c r="J497" t="inlineStr">
        <is>
          <t>Completed</t>
        </is>
      </c>
      <c r="K497" t="n">
        <v>0.34</v>
      </c>
      <c r="L497" t="n">
        <v>8</v>
      </c>
      <c r="M497" t="b">
        <v>0</v>
      </c>
      <c r="N497" t="n">
        <v>0</v>
      </c>
      <c r="O497" t="b">
        <v>1</v>
      </c>
      <c r="P497" t="b">
        <v>0</v>
      </c>
      <c r="Q497" t="b">
        <v>0</v>
      </c>
    </row>
    <row r="498">
      <c r="A498" t="inlineStr">
        <is>
          <t>REQ00497</t>
        </is>
      </c>
      <c r="B498" t="inlineStr">
        <is>
          <t>529900V6PABMWON9QX53</t>
        </is>
      </c>
      <c r="C498" t="inlineStr">
        <is>
          <t>document_refresh</t>
        </is>
      </c>
      <c r="D498" s="2" t="n">
        <v>46303.49375</v>
      </c>
      <c r="E498" s="2" t="n">
        <v>46304.61875</v>
      </c>
      <c r="F498" t="inlineStr">
        <is>
          <t>M3</t>
        </is>
      </c>
      <c r="G498" t="inlineStr">
        <is>
          <t>C1</t>
        </is>
      </c>
      <c r="H498" s="2" t="n">
        <v>46303.50833333333</v>
      </c>
      <c r="I498" s="2" t="n">
        <v>46303.51944444444</v>
      </c>
      <c r="J498" t="inlineStr">
        <is>
          <t>Completed</t>
        </is>
      </c>
      <c r="K498" t="n">
        <v>0.62</v>
      </c>
      <c r="L498" t="n">
        <v>12</v>
      </c>
      <c r="M498" t="b">
        <v>0</v>
      </c>
      <c r="N498" t="n">
        <v>0</v>
      </c>
      <c r="O498" t="b">
        <v>1</v>
      </c>
      <c r="P498" t="b">
        <v>0</v>
      </c>
      <c r="Q498" t="b">
        <v>0</v>
      </c>
    </row>
    <row r="499">
      <c r="A499" t="inlineStr">
        <is>
          <t>REQ00498</t>
        </is>
      </c>
      <c r="B499" t="inlineStr">
        <is>
          <t>6488SAGF8088YD2H3542</t>
        </is>
      </c>
      <c r="C499" t="inlineStr">
        <is>
          <t>document_refresh</t>
        </is>
      </c>
      <c r="D499" s="2" t="n">
        <v>46303.50138888889</v>
      </c>
      <c r="E499" s="2" t="n">
        <v>46304.62638888889</v>
      </c>
      <c r="F499" t="inlineStr">
        <is>
          <t>M2</t>
        </is>
      </c>
      <c r="G499" t="inlineStr">
        <is>
          <t>C1</t>
        </is>
      </c>
      <c r="H499" s="2" t="n">
        <v>46303.51944444444</v>
      </c>
      <c r="I499" s="2" t="n">
        <v>46303.74236111111</v>
      </c>
      <c r="J499" t="inlineStr">
        <is>
          <t>Completed</t>
        </is>
      </c>
      <c r="K499" t="n">
        <v>5.78</v>
      </c>
      <c r="L499" t="n">
        <v>12</v>
      </c>
      <c r="M499" t="b">
        <v>0</v>
      </c>
      <c r="N499" t="n">
        <v>1</v>
      </c>
      <c r="O499" t="b">
        <v>0</v>
      </c>
      <c r="P499" t="b">
        <v>1</v>
      </c>
      <c r="Q499" t="b">
        <v>1</v>
      </c>
    </row>
    <row r="500">
      <c r="A500" t="inlineStr">
        <is>
          <t>REQ00499</t>
        </is>
      </c>
      <c r="B500" t="inlineStr">
        <is>
          <t>6488002HIZXW5CWQDO74</t>
        </is>
      </c>
      <c r="C500" t="inlineStr">
        <is>
          <t>data_amendment</t>
        </is>
      </c>
      <c r="D500" s="2" t="n">
        <v>46303.50138888889</v>
      </c>
      <c r="E500" s="2" t="n">
        <v>46304.45972222222</v>
      </c>
      <c r="F500" t="inlineStr">
        <is>
          <t>M5</t>
        </is>
      </c>
      <c r="G500" t="inlineStr">
        <is>
          <t>C2</t>
        </is>
      </c>
      <c r="H500" s="2" t="n">
        <v>46303.51388888889</v>
      </c>
      <c r="I500" s="2" t="n">
        <v>46303.52847222222</v>
      </c>
      <c r="J500" t="inlineStr">
        <is>
          <t>Completed</t>
        </is>
      </c>
      <c r="K500" t="n">
        <v>0.64</v>
      </c>
      <c r="L500" t="n">
        <v>8</v>
      </c>
      <c r="M500" t="b">
        <v>0</v>
      </c>
      <c r="N500" t="n">
        <v>1</v>
      </c>
      <c r="O500" t="b">
        <v>0</v>
      </c>
      <c r="P500" t="b">
        <v>1</v>
      </c>
      <c r="Q500" t="b">
        <v>0</v>
      </c>
    </row>
    <row r="501">
      <c r="A501" t="inlineStr">
        <is>
          <t>REQ00500</t>
        </is>
      </c>
      <c r="B501" t="inlineStr">
        <is>
          <t>724500AHH2PXVY9ZGP11</t>
        </is>
      </c>
      <c r="C501" t="inlineStr">
        <is>
          <t>document_refresh</t>
        </is>
      </c>
      <c r="D501" s="2" t="n">
        <v>46303.50138888889</v>
      </c>
      <c r="E501" s="2" t="n">
        <v>46304.62638888889</v>
      </c>
      <c r="F501" t="inlineStr">
        <is>
          <t>M1</t>
        </is>
      </c>
      <c r="G501" t="inlineStr">
        <is>
          <t>C3</t>
        </is>
      </c>
      <c r="H501" s="2" t="n">
        <v>46303.51388888889</v>
      </c>
      <c r="I501" s="2" t="n">
        <v>46303.68541666667</v>
      </c>
      <c r="J501" t="inlineStr">
        <is>
          <t>Completed</t>
        </is>
      </c>
      <c r="K501" t="n">
        <v>4.41</v>
      </c>
      <c r="L501" t="n">
        <v>12</v>
      </c>
      <c r="M501" t="b">
        <v>0</v>
      </c>
      <c r="N501" t="n">
        <v>0</v>
      </c>
      <c r="O501" t="b">
        <v>1</v>
      </c>
      <c r="P501" t="b">
        <v>0</v>
      </c>
      <c r="Q501" t="b">
        <v>1</v>
      </c>
    </row>
    <row r="502">
      <c r="A502" t="inlineStr">
        <is>
          <t>REQ00501</t>
        </is>
      </c>
      <c r="B502" t="inlineStr">
        <is>
          <t>335800YDBRR9CSQ9BK82</t>
        </is>
      </c>
      <c r="C502" t="inlineStr">
        <is>
          <t>document_refresh</t>
        </is>
      </c>
      <c r="D502" s="2" t="n">
        <v>46303.50277777778</v>
      </c>
      <c r="E502" s="2" t="n">
        <v>46304.62777777778</v>
      </c>
      <c r="F502" t="inlineStr">
        <is>
          <t>M6</t>
        </is>
      </c>
      <c r="G502" t="inlineStr">
        <is>
          <t>C1</t>
        </is>
      </c>
      <c r="H502" s="2" t="n">
        <v>46303.51805555556</v>
      </c>
      <c r="I502" s="2" t="n">
        <v>46304.38541666666</v>
      </c>
      <c r="J502" t="inlineStr">
        <is>
          <t>Completed</t>
        </is>
      </c>
      <c r="K502" t="n">
        <v>6.19</v>
      </c>
      <c r="L502" t="n">
        <v>12</v>
      </c>
      <c r="M502" t="b">
        <v>0</v>
      </c>
      <c r="N502" t="n">
        <v>0</v>
      </c>
      <c r="O502" t="b">
        <v>1</v>
      </c>
      <c r="P502" t="b">
        <v>0</v>
      </c>
      <c r="Q502" t="b">
        <v>1</v>
      </c>
    </row>
    <row r="503">
      <c r="A503" t="inlineStr">
        <is>
          <t>REQ00502</t>
        </is>
      </c>
      <c r="B503" t="inlineStr">
        <is>
          <t>213800IZ5X2N8IFBVA32</t>
        </is>
      </c>
      <c r="C503" t="inlineStr">
        <is>
          <t>new_account</t>
        </is>
      </c>
      <c r="D503" s="2" t="n">
        <v>46303.52013888889</v>
      </c>
      <c r="E503" s="2" t="n">
        <v>46307.43680555555</v>
      </c>
      <c r="F503" t="inlineStr">
        <is>
          <t>M4</t>
        </is>
      </c>
      <c r="G503" t="inlineStr">
        <is>
          <t>C2</t>
        </is>
      </c>
      <c r="H503" s="2" t="n">
        <v>46303.54722222222</v>
      </c>
      <c r="I503" s="2" t="n">
        <v>46303.74236111111</v>
      </c>
      <c r="J503" t="inlineStr">
        <is>
          <t>Completed</t>
        </is>
      </c>
      <c r="K503" t="n">
        <v>5.33</v>
      </c>
      <c r="L503" t="n">
        <v>16</v>
      </c>
      <c r="M503" t="b">
        <v>0</v>
      </c>
      <c r="N503" t="n">
        <v>0</v>
      </c>
      <c r="O503" t="b">
        <v>1</v>
      </c>
      <c r="P503" t="b">
        <v>0</v>
      </c>
      <c r="Q503" t="b">
        <v>1</v>
      </c>
    </row>
    <row r="504">
      <c r="A504" t="inlineStr">
        <is>
          <t>REQ00503</t>
        </is>
      </c>
      <c r="B504" t="inlineStr">
        <is>
          <t>2549006INMC71H4WJC73</t>
        </is>
      </c>
      <c r="C504" t="inlineStr">
        <is>
          <t>signatory_change</t>
        </is>
      </c>
      <c r="D504" s="2" t="n">
        <v>46303.52013888889</v>
      </c>
      <c r="E504" s="2" t="n">
        <v>46304.47847222222</v>
      </c>
      <c r="F504" t="inlineStr">
        <is>
          <t>M3</t>
        </is>
      </c>
      <c r="G504" t="inlineStr">
        <is>
          <t>C2</t>
        </is>
      </c>
      <c r="H504" s="2" t="n">
        <v>46303.54305555556</v>
      </c>
      <c r="I504" s="2" t="n">
        <v>46303.6875</v>
      </c>
      <c r="J504" t="inlineStr">
        <is>
          <t>Completed</t>
        </is>
      </c>
      <c r="K504" t="n">
        <v>4.01</v>
      </c>
      <c r="L504" t="n">
        <v>8</v>
      </c>
      <c r="M504" t="b">
        <v>0</v>
      </c>
      <c r="N504" t="n">
        <v>0</v>
      </c>
      <c r="O504" t="b">
        <v>1</v>
      </c>
      <c r="P504" t="b">
        <v>0</v>
      </c>
      <c r="Q504" t="b">
        <v>1</v>
      </c>
    </row>
    <row r="505">
      <c r="A505" t="inlineStr">
        <is>
          <t>REQ00504</t>
        </is>
      </c>
      <c r="B505" t="inlineStr">
        <is>
          <t>5493001NH23M7XVQWD76</t>
        </is>
      </c>
      <c r="C505" t="inlineStr">
        <is>
          <t>signatory_change</t>
        </is>
      </c>
      <c r="D505" s="2" t="n">
        <v>46303.52847222222</v>
      </c>
      <c r="E505" s="2" t="n">
        <v>46304.48680555556</v>
      </c>
      <c r="F505" t="inlineStr">
        <is>
          <t>M1</t>
        </is>
      </c>
      <c r="G505" t="inlineStr">
        <is>
          <t>C3</t>
        </is>
      </c>
      <c r="H505" s="2" t="n">
        <v>46303.55208333334</v>
      </c>
      <c r="I505" s="2" t="n">
        <v>46303.72777777778</v>
      </c>
      <c r="J505" t="inlineStr">
        <is>
          <t>Completed</t>
        </is>
      </c>
      <c r="K505" t="n">
        <v>4.78</v>
      </c>
      <c r="L505" t="n">
        <v>8</v>
      </c>
      <c r="M505" t="b">
        <v>0</v>
      </c>
      <c r="N505" t="n">
        <v>0</v>
      </c>
      <c r="O505" t="b">
        <v>1</v>
      </c>
      <c r="P505" t="b">
        <v>0</v>
      </c>
      <c r="Q505" t="b">
        <v>1</v>
      </c>
    </row>
    <row r="506">
      <c r="A506" t="inlineStr">
        <is>
          <t>REQ00505</t>
        </is>
      </c>
      <c r="B506" t="inlineStr">
        <is>
          <t>969500AZGAKDK3ULA364</t>
        </is>
      </c>
      <c r="C506" t="inlineStr">
        <is>
          <t>signatory_change</t>
        </is>
      </c>
      <c r="D506" s="2" t="n">
        <v>46303.5375</v>
      </c>
      <c r="E506" s="2" t="n">
        <v>46304.49583333333</v>
      </c>
      <c r="F506" t="inlineStr">
        <is>
          <t>M5</t>
        </is>
      </c>
      <c r="G506" t="inlineStr">
        <is>
          <t>C2</t>
        </is>
      </c>
      <c r="H506" s="2" t="n">
        <v>46303.56111111111</v>
      </c>
      <c r="I506" s="2" t="n">
        <v>46303.57152777778</v>
      </c>
      <c r="J506" t="inlineStr">
        <is>
          <t>Completed</t>
        </is>
      </c>
      <c r="K506" t="n">
        <v>0.8100000000000001</v>
      </c>
      <c r="L506" t="n">
        <v>8</v>
      </c>
      <c r="M506" t="b">
        <v>0</v>
      </c>
      <c r="N506" t="n">
        <v>0</v>
      </c>
      <c r="O506" t="b">
        <v>1</v>
      </c>
      <c r="P506" t="b">
        <v>0</v>
      </c>
      <c r="Q506" t="b">
        <v>0</v>
      </c>
    </row>
    <row r="507">
      <c r="A507" t="inlineStr">
        <is>
          <t>REQ00506</t>
        </is>
      </c>
      <c r="B507" t="inlineStr">
        <is>
          <t>21380052VUKO2AU5ET16</t>
        </is>
      </c>
      <c r="C507" t="inlineStr">
        <is>
          <t>new_account</t>
        </is>
      </c>
      <c r="D507" s="2" t="n">
        <v>46303.53958333333</v>
      </c>
      <c r="E507" s="2" t="n">
        <v>46307.45625</v>
      </c>
      <c r="F507" t="inlineStr">
        <is>
          <t>M6</t>
        </is>
      </c>
      <c r="G507" t="inlineStr">
        <is>
          <t>C3</t>
        </is>
      </c>
      <c r="H507" s="2" t="n">
        <v>46303.57152777778</v>
      </c>
      <c r="I507" s="2" t="n">
        <v>46304.44097222222</v>
      </c>
      <c r="J507" t="inlineStr">
        <is>
          <t>Completed</t>
        </is>
      </c>
      <c r="K507" t="n">
        <v>6.64</v>
      </c>
      <c r="L507" t="n">
        <v>16</v>
      </c>
      <c r="M507" t="b">
        <v>0</v>
      </c>
      <c r="N507" t="n">
        <v>0</v>
      </c>
      <c r="O507" t="b">
        <v>1</v>
      </c>
      <c r="P507" t="b">
        <v>0</v>
      </c>
      <c r="Q507" t="b">
        <v>1</v>
      </c>
    </row>
    <row r="508">
      <c r="A508" t="inlineStr">
        <is>
          <t>REQ00507</t>
        </is>
      </c>
      <c r="B508" t="inlineStr">
        <is>
          <t>2549003NUQ3793MGYE21</t>
        </is>
      </c>
      <c r="C508" t="inlineStr">
        <is>
          <t>data_amendment</t>
        </is>
      </c>
      <c r="D508" s="2" t="n">
        <v>46303.54652777778</v>
      </c>
      <c r="E508" s="2" t="n">
        <v>46304.50486111111</v>
      </c>
      <c r="F508" t="inlineStr">
        <is>
          <t>M2</t>
        </is>
      </c>
      <c r="G508" t="inlineStr">
        <is>
          <t>C1</t>
        </is>
      </c>
      <c r="H508" s="2" t="n">
        <v>46303.55694444444</v>
      </c>
      <c r="I508" s="2" t="n">
        <v>46303.56041666667</v>
      </c>
      <c r="J508" t="inlineStr">
        <is>
          <t>Completed</t>
        </is>
      </c>
      <c r="K508" t="n">
        <v>0.33</v>
      </c>
      <c r="L508" t="n">
        <v>8</v>
      </c>
      <c r="M508" t="b">
        <v>0</v>
      </c>
      <c r="N508" t="n">
        <v>0</v>
      </c>
      <c r="O508" t="b">
        <v>1</v>
      </c>
      <c r="P508" t="b">
        <v>0</v>
      </c>
      <c r="Q508" t="b">
        <v>0</v>
      </c>
    </row>
    <row r="509">
      <c r="A509" t="inlineStr">
        <is>
          <t>REQ00508</t>
        </is>
      </c>
      <c r="B509" t="inlineStr">
        <is>
          <t>391200M47Z463VVQZS46</t>
        </is>
      </c>
      <c r="C509" t="inlineStr">
        <is>
          <t>document_refresh</t>
        </is>
      </c>
      <c r="D509" s="2" t="n">
        <v>46303.55</v>
      </c>
      <c r="E509" s="2" t="n">
        <v>46304.675</v>
      </c>
      <c r="F509" t="inlineStr">
        <is>
          <t>M3</t>
        </is>
      </c>
      <c r="G509" t="inlineStr">
        <is>
          <t>C3</t>
        </is>
      </c>
      <c r="H509" s="2" t="n">
        <v>46303.56041666667</v>
      </c>
      <c r="I509" s="2" t="n">
        <v>46303.56736111111</v>
      </c>
      <c r="J509" t="inlineStr">
        <is>
          <t>Completed</t>
        </is>
      </c>
      <c r="K509" t="n">
        <v>0.42</v>
      </c>
      <c r="L509" t="n">
        <v>12</v>
      </c>
      <c r="M509" t="b">
        <v>0</v>
      </c>
      <c r="N509" t="n">
        <v>0</v>
      </c>
      <c r="O509" t="b">
        <v>1</v>
      </c>
      <c r="P509" t="b">
        <v>0</v>
      </c>
      <c r="Q509" t="b">
        <v>0</v>
      </c>
    </row>
    <row r="510">
      <c r="A510" t="inlineStr">
        <is>
          <t>REQ00509</t>
        </is>
      </c>
      <c r="B510" t="inlineStr">
        <is>
          <t>213800HN8RAUSV9YU939</t>
        </is>
      </c>
      <c r="C510" t="inlineStr">
        <is>
          <t>new_account</t>
        </is>
      </c>
      <c r="D510" s="2" t="n">
        <v>46303.55486111111</v>
      </c>
      <c r="E510" s="2" t="n">
        <v>46307.47152777778</v>
      </c>
      <c r="F510" t="inlineStr">
        <is>
          <t>M4</t>
        </is>
      </c>
      <c r="G510" t="inlineStr">
        <is>
          <t>C3</t>
        </is>
      </c>
      <c r="H510" s="2" t="n">
        <v>46303.59513888889</v>
      </c>
      <c r="I510" s="2" t="n">
        <v>46303.60694444444</v>
      </c>
      <c r="J510" t="inlineStr">
        <is>
          <t>Completed</t>
        </is>
      </c>
      <c r="K510" t="n">
        <v>1.25</v>
      </c>
      <c r="L510" t="n">
        <v>16</v>
      </c>
      <c r="M510" t="b">
        <v>0</v>
      </c>
      <c r="N510" t="n">
        <v>0</v>
      </c>
      <c r="O510" t="b">
        <v>1</v>
      </c>
      <c r="P510" t="b">
        <v>0</v>
      </c>
      <c r="Q510" t="b">
        <v>0</v>
      </c>
    </row>
    <row r="511">
      <c r="A511" t="inlineStr">
        <is>
          <t>REQ00510</t>
        </is>
      </c>
      <c r="B511" t="inlineStr">
        <is>
          <t>391200O1XNFHFWASPV48</t>
        </is>
      </c>
      <c r="C511" t="inlineStr">
        <is>
          <t>document_refresh</t>
        </is>
      </c>
      <c r="D511" s="2" t="n">
        <v>46303.56180555555</v>
      </c>
      <c r="E511" s="2" t="n">
        <v>46304.68680555555</v>
      </c>
      <c r="F511" t="inlineStr">
        <is>
          <t>M1</t>
        </is>
      </c>
      <c r="G511" t="inlineStr">
        <is>
          <t>C3</t>
        </is>
      </c>
      <c r="H511" s="2" t="n">
        <v>46303.57152777778</v>
      </c>
      <c r="I511" s="2" t="n">
        <v>46303.57847222222</v>
      </c>
      <c r="J511" t="inlineStr">
        <is>
          <t>Completed</t>
        </is>
      </c>
      <c r="K511" t="n">
        <v>0.4</v>
      </c>
      <c r="L511" t="n">
        <v>12</v>
      </c>
      <c r="M511" t="b">
        <v>0</v>
      </c>
      <c r="N511" t="n">
        <v>0</v>
      </c>
      <c r="O511" t="b">
        <v>1</v>
      </c>
      <c r="P511" t="b">
        <v>0</v>
      </c>
      <c r="Q511" t="b">
        <v>0</v>
      </c>
    </row>
    <row r="512">
      <c r="A512" t="inlineStr">
        <is>
          <t>REQ00511</t>
        </is>
      </c>
      <c r="B512" t="inlineStr">
        <is>
          <t>54930066STOTZKKBHG64</t>
        </is>
      </c>
      <c r="C512" t="inlineStr">
        <is>
          <t>new_account</t>
        </is>
      </c>
      <c r="D512" s="2" t="n">
        <v>46303.57083333333</v>
      </c>
      <c r="E512" s="2" t="n">
        <v>46307.4875</v>
      </c>
      <c r="F512" t="inlineStr">
        <is>
          <t>M2</t>
        </is>
      </c>
      <c r="G512" t="inlineStr">
        <is>
          <t>C1</t>
        </is>
      </c>
      <c r="H512" s="2" t="n">
        <v>46303.60833333333</v>
      </c>
      <c r="I512" s="2" t="n">
        <v>46304.41111111111</v>
      </c>
      <c r="J512" t="inlineStr">
        <is>
          <t>Completed</t>
        </is>
      </c>
      <c r="K512" t="n">
        <v>5.16</v>
      </c>
      <c r="L512" t="n">
        <v>16</v>
      </c>
      <c r="M512" t="b">
        <v>0</v>
      </c>
      <c r="N512" t="n">
        <v>0</v>
      </c>
      <c r="O512" t="b">
        <v>1</v>
      </c>
      <c r="P512" t="b">
        <v>0</v>
      </c>
      <c r="Q512" t="b">
        <v>1</v>
      </c>
    </row>
    <row r="513">
      <c r="A513" t="inlineStr">
        <is>
          <t>REQ00512</t>
        </is>
      </c>
      <c r="B513" t="inlineStr">
        <is>
          <t>635400FRQHJAS4IVZL93</t>
        </is>
      </c>
      <c r="C513" t="inlineStr">
        <is>
          <t>new_account</t>
        </is>
      </c>
      <c r="D513" s="2" t="n">
        <v>46303.57916666667</v>
      </c>
      <c r="E513" s="2" t="n">
        <v>46307.49583333333</v>
      </c>
      <c r="F513" t="inlineStr">
        <is>
          <t>M3</t>
        </is>
      </c>
      <c r="G513" t="inlineStr">
        <is>
          <t>C3</t>
        </is>
      </c>
      <c r="H513" s="2" t="n">
        <v>46303.60416666666</v>
      </c>
      <c r="I513" s="2" t="n">
        <v>46304.41944444444</v>
      </c>
      <c r="J513" t="inlineStr">
        <is>
          <t>Completed</t>
        </is>
      </c>
      <c r="K513" t="n">
        <v>5.16</v>
      </c>
      <c r="L513" t="n">
        <v>16</v>
      </c>
      <c r="M513" t="b">
        <v>0</v>
      </c>
      <c r="N513" t="n">
        <v>0</v>
      </c>
      <c r="O513" t="b">
        <v>1</v>
      </c>
      <c r="P513" t="b">
        <v>0</v>
      </c>
      <c r="Q513" t="b">
        <v>1</v>
      </c>
    </row>
    <row r="514">
      <c r="A514" t="inlineStr">
        <is>
          <t>REQ00513</t>
        </is>
      </c>
      <c r="B514" t="inlineStr">
        <is>
          <t>549300MIP02YPLIGCD98</t>
        </is>
      </c>
      <c r="C514" t="inlineStr">
        <is>
          <t>data_amendment</t>
        </is>
      </c>
      <c r="D514" s="2" t="n">
        <v>46303.58263888889</v>
      </c>
      <c r="E514" s="2" t="n">
        <v>46304.54097222222</v>
      </c>
      <c r="F514" t="inlineStr">
        <is>
          <t>M5</t>
        </is>
      </c>
      <c r="G514" t="inlineStr">
        <is>
          <t>C1</t>
        </is>
      </c>
      <c r="H514" s="2" t="n">
        <v>46303.59375</v>
      </c>
      <c r="I514" s="2" t="n">
        <v>46304.45486111111</v>
      </c>
      <c r="J514" t="inlineStr">
        <is>
          <t>Completed</t>
        </is>
      </c>
      <c r="K514" t="n">
        <v>5.93</v>
      </c>
      <c r="L514" t="n">
        <v>8</v>
      </c>
      <c r="M514" t="b">
        <v>0</v>
      </c>
      <c r="N514" t="n">
        <v>0</v>
      </c>
      <c r="O514" t="b">
        <v>1</v>
      </c>
      <c r="P514" t="b">
        <v>0</v>
      </c>
      <c r="Q514" t="b">
        <v>1</v>
      </c>
    </row>
    <row r="515">
      <c r="A515" t="inlineStr">
        <is>
          <t>REQ00514</t>
        </is>
      </c>
      <c r="B515" t="inlineStr">
        <is>
          <t>64880S75JCZ7AYZ20831</t>
        </is>
      </c>
      <c r="C515" t="inlineStr">
        <is>
          <t>signatory_change</t>
        </is>
      </c>
      <c r="D515" s="2" t="n">
        <v>46303.58472222222</v>
      </c>
      <c r="E515" s="2" t="n">
        <v>46304.54305555556</v>
      </c>
      <c r="F515" t="inlineStr">
        <is>
          <t>M6</t>
        </is>
      </c>
      <c r="G515" t="inlineStr">
        <is>
          <t>C1</t>
        </is>
      </c>
      <c r="H515" s="2" t="n">
        <v>46303.60694444444</v>
      </c>
      <c r="I515" s="2" t="n">
        <v>46303.61458333334</v>
      </c>
      <c r="J515" t="inlineStr">
        <is>
          <t>Completed</t>
        </is>
      </c>
      <c r="K515" t="n">
        <v>0.72</v>
      </c>
      <c r="L515" t="n">
        <v>8</v>
      </c>
      <c r="M515" t="b">
        <v>0</v>
      </c>
      <c r="N515" t="n">
        <v>0</v>
      </c>
      <c r="O515" t="b">
        <v>1</v>
      </c>
      <c r="P515" t="b">
        <v>0</v>
      </c>
      <c r="Q515" t="b">
        <v>0</v>
      </c>
    </row>
    <row r="516">
      <c r="A516" t="inlineStr">
        <is>
          <t>REQ00515</t>
        </is>
      </c>
      <c r="B516" t="inlineStr">
        <is>
          <t>894500G8Y2PE512B9M08</t>
        </is>
      </c>
      <c r="C516" t="inlineStr">
        <is>
          <t>data_amendment</t>
        </is>
      </c>
      <c r="D516" s="2" t="n">
        <v>46303.58611111111</v>
      </c>
      <c r="E516" s="2" t="n">
        <v>46304.54444444444</v>
      </c>
      <c r="F516" t="inlineStr">
        <is>
          <t>M1</t>
        </is>
      </c>
      <c r="G516" t="inlineStr">
        <is>
          <t>C1</t>
        </is>
      </c>
      <c r="H516" s="2" t="n">
        <v>46303.59791666667</v>
      </c>
      <c r="I516" s="2" t="n">
        <v>46303.61041666667</v>
      </c>
      <c r="J516" t="inlineStr">
        <is>
          <t>Completed</t>
        </is>
      </c>
      <c r="K516" t="n">
        <v>0.58</v>
      </c>
      <c r="L516" t="n">
        <v>8</v>
      </c>
      <c r="M516" t="b">
        <v>0</v>
      </c>
      <c r="N516" t="n">
        <v>1</v>
      </c>
      <c r="O516" t="b">
        <v>0</v>
      </c>
      <c r="P516" t="b">
        <v>1</v>
      </c>
      <c r="Q516" t="b">
        <v>0</v>
      </c>
    </row>
    <row r="517">
      <c r="A517" t="inlineStr">
        <is>
          <t>REQ00516</t>
        </is>
      </c>
      <c r="B517" t="inlineStr">
        <is>
          <t>648800BLXCUBJ0M4QR66</t>
        </is>
      </c>
      <c r="C517" t="inlineStr">
        <is>
          <t>document_refresh</t>
        </is>
      </c>
      <c r="D517" s="2" t="n">
        <v>46303.59097222222</v>
      </c>
      <c r="E517" s="2" t="n">
        <v>46304.71597222222</v>
      </c>
      <c r="F517" t="inlineStr">
        <is>
          <t>M5</t>
        </is>
      </c>
      <c r="G517" t="inlineStr">
        <is>
          <t>C2</t>
        </is>
      </c>
      <c r="H517" s="2" t="n">
        <v>46303.60416666666</v>
      </c>
      <c r="I517" s="2" t="n">
        <v>46303.60763888889</v>
      </c>
      <c r="J517" t="inlineStr">
        <is>
          <t>Completed</t>
        </is>
      </c>
      <c r="K517" t="n">
        <v>0.41</v>
      </c>
      <c r="L517" t="n">
        <v>12</v>
      </c>
      <c r="M517" t="b">
        <v>0</v>
      </c>
      <c r="N517" t="n">
        <v>0</v>
      </c>
      <c r="O517" t="b">
        <v>1</v>
      </c>
      <c r="P517" t="b">
        <v>0</v>
      </c>
      <c r="Q517" t="b">
        <v>0</v>
      </c>
    </row>
    <row r="518">
      <c r="A518" t="inlineStr">
        <is>
          <t>REQ00517</t>
        </is>
      </c>
      <c r="B518" t="inlineStr">
        <is>
          <t>984500D71395BF92A132</t>
        </is>
      </c>
      <c r="C518" t="inlineStr">
        <is>
          <t>signatory_change</t>
        </is>
      </c>
      <c r="D518" s="2" t="n">
        <v>46303.60555555556</v>
      </c>
      <c r="E518" s="2" t="n">
        <v>46304.56388888889</v>
      </c>
      <c r="F518" t="inlineStr">
        <is>
          <t>M4</t>
        </is>
      </c>
      <c r="G518" t="inlineStr">
        <is>
          <t>C3</t>
        </is>
      </c>
      <c r="H518" s="2" t="n">
        <v>46303.62638888889</v>
      </c>
      <c r="I518" s="2" t="n">
        <v>46303.64652777778</v>
      </c>
      <c r="J518" t="inlineStr">
        <is>
          <t>Completed</t>
        </is>
      </c>
      <c r="K518" t="n">
        <v>0.98</v>
      </c>
      <c r="L518" t="n">
        <v>8</v>
      </c>
      <c r="M518" t="b">
        <v>0</v>
      </c>
      <c r="N518" t="n">
        <v>1</v>
      </c>
      <c r="O518" t="b">
        <v>0</v>
      </c>
      <c r="P518" t="b">
        <v>1</v>
      </c>
      <c r="Q518" t="b">
        <v>0</v>
      </c>
    </row>
    <row r="519">
      <c r="A519" t="inlineStr">
        <is>
          <t>REQ00518</t>
        </is>
      </c>
      <c r="B519" t="inlineStr">
        <is>
          <t>969500CPA7O8M0AKBU23</t>
        </is>
      </c>
      <c r="C519" t="inlineStr">
        <is>
          <t>document_refresh</t>
        </is>
      </c>
      <c r="D519" s="2" t="n">
        <v>46303.60625</v>
      </c>
      <c r="E519" s="2" t="n">
        <v>46304.73125</v>
      </c>
      <c r="F519" t="inlineStr">
        <is>
          <t>M1</t>
        </is>
      </c>
      <c r="G519" t="inlineStr">
        <is>
          <t>C3</t>
        </is>
      </c>
      <c r="H519" s="2" t="n">
        <v>46303.61597222222</v>
      </c>
      <c r="I519" s="2" t="n">
        <v>46303.62222222222</v>
      </c>
      <c r="J519" t="inlineStr">
        <is>
          <t>Completed</t>
        </is>
      </c>
      <c r="K519" t="n">
        <v>0.39</v>
      </c>
      <c r="L519" t="n">
        <v>12</v>
      </c>
      <c r="M519" t="b">
        <v>0</v>
      </c>
      <c r="N519" t="n">
        <v>0</v>
      </c>
      <c r="O519" t="b">
        <v>1</v>
      </c>
      <c r="P519" t="b">
        <v>0</v>
      </c>
      <c r="Q519" t="b">
        <v>0</v>
      </c>
    </row>
    <row r="520">
      <c r="A520" t="inlineStr">
        <is>
          <t>REQ00519</t>
        </is>
      </c>
      <c r="B520" t="inlineStr">
        <is>
          <t>5493009MX3I7MJOM4R27</t>
        </is>
      </c>
      <c r="C520" t="inlineStr">
        <is>
          <t>document_refresh</t>
        </is>
      </c>
      <c r="D520" s="2" t="n">
        <v>46303.60763888889</v>
      </c>
      <c r="E520" s="2" t="n">
        <v>46304.73263888889</v>
      </c>
      <c r="F520" t="inlineStr">
        <is>
          <t>M5</t>
        </is>
      </c>
      <c r="G520" t="inlineStr">
        <is>
          <t>C1</t>
        </is>
      </c>
      <c r="H520" s="2" t="n">
        <v>46303.62430555555</v>
      </c>
      <c r="I520" s="2" t="n">
        <v>46304.44166666667</v>
      </c>
      <c r="J520" t="inlineStr">
        <is>
          <t>Completed</t>
        </is>
      </c>
      <c r="K520" t="n">
        <v>5.02</v>
      </c>
      <c r="L520" t="n">
        <v>12</v>
      </c>
      <c r="M520" t="b">
        <v>0</v>
      </c>
      <c r="N520" t="n">
        <v>0</v>
      </c>
      <c r="O520" t="b">
        <v>1</v>
      </c>
      <c r="P520" t="b">
        <v>0</v>
      </c>
      <c r="Q520" t="b">
        <v>1</v>
      </c>
    </row>
    <row r="521">
      <c r="A521" t="inlineStr">
        <is>
          <t>REQ00520</t>
        </is>
      </c>
      <c r="B521" t="inlineStr">
        <is>
          <t>222100QZH25U58V9WY07</t>
        </is>
      </c>
      <c r="C521" t="inlineStr">
        <is>
          <t>document_refresh</t>
        </is>
      </c>
      <c r="D521" s="2" t="n">
        <v>46303.61805555555</v>
      </c>
      <c r="E521" s="2" t="n">
        <v>46304.74305555555</v>
      </c>
      <c r="F521" t="inlineStr">
        <is>
          <t>M3</t>
        </is>
      </c>
      <c r="G521" t="inlineStr">
        <is>
          <t>C1</t>
        </is>
      </c>
      <c r="H521" s="2" t="n">
        <v>46303.63263888889</v>
      </c>
      <c r="I521" s="2" t="n">
        <v>46303.64791666667</v>
      </c>
      <c r="J521" t="inlineStr">
        <is>
          <t>Completed</t>
        </is>
      </c>
      <c r="K521" t="n">
        <v>0.72</v>
      </c>
      <c r="L521" t="n">
        <v>12</v>
      </c>
      <c r="M521" t="b">
        <v>0</v>
      </c>
      <c r="N521" t="n">
        <v>1</v>
      </c>
      <c r="O521" t="b">
        <v>0</v>
      </c>
      <c r="P521" t="b">
        <v>1</v>
      </c>
      <c r="Q521" t="b">
        <v>0</v>
      </c>
    </row>
    <row r="522">
      <c r="A522" t="inlineStr">
        <is>
          <t>REQ00521</t>
        </is>
      </c>
      <c r="B522" t="inlineStr">
        <is>
          <t>5299008B6AIQQRW3G607</t>
        </is>
      </c>
      <c r="C522" t="inlineStr">
        <is>
          <t>document_refresh</t>
        </is>
      </c>
      <c r="D522" s="2" t="n">
        <v>46303.62361111111</v>
      </c>
      <c r="E522" s="2" t="n">
        <v>46304.74861111111</v>
      </c>
      <c r="F522" t="inlineStr">
        <is>
          <t>M6</t>
        </is>
      </c>
      <c r="G522" t="inlineStr">
        <is>
          <t>C2</t>
        </is>
      </c>
      <c r="H522" s="2" t="n">
        <v>46303.63958333333</v>
      </c>
      <c r="I522" s="2" t="n">
        <v>46304.46041666667</v>
      </c>
      <c r="J522" t="inlineStr">
        <is>
          <t>Completed</t>
        </is>
      </c>
      <c r="K522" t="n">
        <v>5.09</v>
      </c>
      <c r="L522" t="n">
        <v>12</v>
      </c>
      <c r="M522" t="b">
        <v>0</v>
      </c>
      <c r="N522" t="n">
        <v>0</v>
      </c>
      <c r="O522" t="b">
        <v>1</v>
      </c>
      <c r="P522" t="b">
        <v>0</v>
      </c>
      <c r="Q522" t="b">
        <v>1</v>
      </c>
    </row>
    <row r="523">
      <c r="A523" t="inlineStr">
        <is>
          <t>REQ00522</t>
        </is>
      </c>
      <c r="B523" t="inlineStr">
        <is>
          <t>984500JFAE8EG5511451</t>
        </is>
      </c>
      <c r="C523" t="inlineStr">
        <is>
          <t>signatory_change</t>
        </is>
      </c>
      <c r="D523" s="2" t="n">
        <v>46303.62569444445</v>
      </c>
      <c r="E523" s="2" t="n">
        <v>46304.58402777778</v>
      </c>
      <c r="F523" t="inlineStr">
        <is>
          <t>M2</t>
        </is>
      </c>
      <c r="G523" t="inlineStr">
        <is>
          <t>C3</t>
        </is>
      </c>
      <c r="H523" s="2" t="n">
        <v>46303.64097222222</v>
      </c>
      <c r="I523" s="2" t="n">
        <v>46304.47708333333</v>
      </c>
      <c r="J523" t="inlineStr">
        <is>
          <t>Completed</t>
        </is>
      </c>
      <c r="K523" t="n">
        <v>5.43</v>
      </c>
      <c r="L523" t="n">
        <v>8</v>
      </c>
      <c r="M523" t="b">
        <v>0</v>
      </c>
      <c r="N523" t="n">
        <v>0</v>
      </c>
      <c r="O523" t="b">
        <v>1</v>
      </c>
      <c r="P523" t="b">
        <v>0</v>
      </c>
      <c r="Q523" t="b">
        <v>1</v>
      </c>
    </row>
    <row r="524">
      <c r="A524" t="inlineStr">
        <is>
          <t>REQ00523</t>
        </is>
      </c>
      <c r="B524" t="inlineStr">
        <is>
          <t>254900OD0XKUTYUVC987</t>
        </is>
      </c>
      <c r="C524" t="inlineStr">
        <is>
          <t>signatory_change</t>
        </is>
      </c>
      <c r="D524" s="2" t="n">
        <v>46303.62777777778</v>
      </c>
      <c r="E524" s="2" t="n">
        <v>46304.58611111111</v>
      </c>
      <c r="F524" t="inlineStr">
        <is>
          <t>M1</t>
        </is>
      </c>
      <c r="G524" t="inlineStr">
        <is>
          <t>C3</t>
        </is>
      </c>
      <c r="H524" s="2" t="n">
        <v>46303.64791666667</v>
      </c>
      <c r="I524" s="2" t="n">
        <v>46303.65277777778</v>
      </c>
      <c r="J524" t="inlineStr">
        <is>
          <t>Completed</t>
        </is>
      </c>
      <c r="K524" t="n">
        <v>0.6</v>
      </c>
      <c r="L524" t="n">
        <v>8</v>
      </c>
      <c r="M524" t="b">
        <v>0</v>
      </c>
      <c r="N524" t="n">
        <v>0</v>
      </c>
      <c r="O524" t="b">
        <v>1</v>
      </c>
      <c r="P524" t="b">
        <v>0</v>
      </c>
      <c r="Q524" t="b">
        <v>0</v>
      </c>
    </row>
    <row r="525">
      <c r="A525" t="inlineStr">
        <is>
          <t>REQ00524</t>
        </is>
      </c>
      <c r="B525" t="inlineStr">
        <is>
          <t>724500VGIJLFPEIRFM49</t>
        </is>
      </c>
      <c r="C525" t="inlineStr">
        <is>
          <t>document_refresh</t>
        </is>
      </c>
      <c r="D525" s="2" t="n">
        <v>46303.62777777778</v>
      </c>
      <c r="E525" s="2" t="n">
        <v>46307.37777777778</v>
      </c>
      <c r="F525" t="inlineStr">
        <is>
          <t>M5</t>
        </is>
      </c>
      <c r="G525" t="inlineStr">
        <is>
          <t>C2</t>
        </is>
      </c>
      <c r="H525" s="2" t="n">
        <v>46303.64305555556</v>
      </c>
      <c r="I525" s="2" t="n">
        <v>46304.41041666667</v>
      </c>
      <c r="J525" t="inlineStr">
        <is>
          <t>Completed</t>
        </is>
      </c>
      <c r="K525" t="n">
        <v>3.78</v>
      </c>
      <c r="L525" t="n">
        <v>12</v>
      </c>
      <c r="M525" t="b">
        <v>0</v>
      </c>
      <c r="N525" t="n">
        <v>0</v>
      </c>
      <c r="O525" t="b">
        <v>1</v>
      </c>
      <c r="P525" t="b">
        <v>0</v>
      </c>
      <c r="Q525" t="b">
        <v>1</v>
      </c>
    </row>
    <row r="526">
      <c r="A526" t="inlineStr">
        <is>
          <t>REQ00525</t>
        </is>
      </c>
      <c r="B526" t="inlineStr">
        <is>
          <t>96950010NG899Y1HJP31</t>
        </is>
      </c>
      <c r="C526" t="inlineStr">
        <is>
          <t>document_refresh</t>
        </is>
      </c>
      <c r="D526" s="2" t="n">
        <v>46303.62986111111</v>
      </c>
      <c r="E526" s="2" t="n">
        <v>46307.37986111111</v>
      </c>
      <c r="F526" t="inlineStr">
        <is>
          <t>M4</t>
        </is>
      </c>
      <c r="G526" t="inlineStr">
        <is>
          <t>C1</t>
        </is>
      </c>
      <c r="H526" s="2" t="n">
        <v>46303.64583333334</v>
      </c>
      <c r="I526" s="2" t="n">
        <v>46303.65208333333</v>
      </c>
      <c r="J526" t="inlineStr">
        <is>
          <t>Completed</t>
        </is>
      </c>
      <c r="K526" t="n">
        <v>0.53</v>
      </c>
      <c r="L526" t="n">
        <v>12</v>
      </c>
      <c r="M526" t="b">
        <v>0</v>
      </c>
      <c r="N526" t="n">
        <v>0</v>
      </c>
      <c r="O526" t="b">
        <v>1</v>
      </c>
      <c r="P526" t="b">
        <v>0</v>
      </c>
      <c r="Q526" t="b">
        <v>0</v>
      </c>
    </row>
    <row r="527">
      <c r="A527" t="inlineStr">
        <is>
          <t>REQ00526</t>
        </is>
      </c>
      <c r="B527" t="inlineStr">
        <is>
          <t>549300LUSTI23WOJ3S85</t>
        </is>
      </c>
      <c r="C527" t="inlineStr">
        <is>
          <t>document_refresh</t>
        </is>
      </c>
      <c r="D527" s="2" t="n">
        <v>46303.64097222222</v>
      </c>
      <c r="E527" s="2" t="n">
        <v>46307.39097222222</v>
      </c>
      <c r="F527" t="inlineStr">
        <is>
          <t>M3</t>
        </is>
      </c>
      <c r="G527" t="inlineStr">
        <is>
          <t>C1</t>
        </is>
      </c>
      <c r="H527" s="2" t="n">
        <v>46303.65902777778</v>
      </c>
      <c r="I527" s="2" t="n">
        <v>46304.51388888889</v>
      </c>
      <c r="J527" t="inlineStr">
        <is>
          <t>Completed</t>
        </is>
      </c>
      <c r="K527" t="n">
        <v>5.94</v>
      </c>
      <c r="L527" t="n">
        <v>12</v>
      </c>
      <c r="M527" t="b">
        <v>0</v>
      </c>
      <c r="N527" t="n">
        <v>0</v>
      </c>
      <c r="O527" t="b">
        <v>1</v>
      </c>
      <c r="P527" t="b">
        <v>0</v>
      </c>
      <c r="Q527" t="b">
        <v>1</v>
      </c>
    </row>
    <row r="528">
      <c r="A528" t="inlineStr">
        <is>
          <t>REQ00527</t>
        </is>
      </c>
      <c r="B528" t="inlineStr">
        <is>
          <t>724500FAQCBCKTIV8W93</t>
        </is>
      </c>
      <c r="C528" t="inlineStr">
        <is>
          <t>data_amendment</t>
        </is>
      </c>
      <c r="D528" s="2" t="n">
        <v>46303.64097222222</v>
      </c>
      <c r="E528" s="2" t="n">
        <v>46304.59930555556</v>
      </c>
      <c r="F528" t="inlineStr">
        <is>
          <t>M6</t>
        </is>
      </c>
      <c r="G528" t="inlineStr">
        <is>
          <t>C3</t>
        </is>
      </c>
      <c r="H528" s="2" t="n">
        <v>46303.65208333333</v>
      </c>
      <c r="I528" s="2" t="n">
        <v>46303.65694444445</v>
      </c>
      <c r="J528" t="inlineStr">
        <is>
          <t>Completed</t>
        </is>
      </c>
      <c r="K528" t="n">
        <v>0.38</v>
      </c>
      <c r="L528" t="n">
        <v>8</v>
      </c>
      <c r="M528" t="b">
        <v>0</v>
      </c>
      <c r="N528" t="n">
        <v>0</v>
      </c>
      <c r="O528" t="b">
        <v>1</v>
      </c>
      <c r="P528" t="b">
        <v>0</v>
      </c>
      <c r="Q528" t="b">
        <v>0</v>
      </c>
    </row>
    <row r="529">
      <c r="A529" t="inlineStr">
        <is>
          <t>REQ00528</t>
        </is>
      </c>
      <c r="B529" t="inlineStr">
        <is>
          <t>529900CC3T544J7HSH80</t>
        </is>
      </c>
      <c r="C529" t="inlineStr">
        <is>
          <t>document_refresh</t>
        </is>
      </c>
      <c r="D529" s="2" t="n">
        <v>46303.64583333334</v>
      </c>
      <c r="E529" s="2" t="n">
        <v>46307.39583333334</v>
      </c>
      <c r="F529" t="inlineStr">
        <is>
          <t>M2</t>
        </is>
      </c>
      <c r="G529" t="inlineStr">
        <is>
          <t>C1</t>
        </is>
      </c>
      <c r="H529" s="2" t="n">
        <v>46303.65763888889</v>
      </c>
      <c r="I529" s="2" t="n">
        <v>46304.43263888889</v>
      </c>
      <c r="J529" t="inlineStr">
        <is>
          <t>Completed</t>
        </is>
      </c>
      <c r="K529" t="n">
        <v>3.88</v>
      </c>
      <c r="L529" t="n">
        <v>12</v>
      </c>
      <c r="M529" t="b">
        <v>0</v>
      </c>
      <c r="N529" t="n">
        <v>0</v>
      </c>
      <c r="O529" t="b">
        <v>1</v>
      </c>
      <c r="P529" t="b">
        <v>0</v>
      </c>
      <c r="Q529" t="b">
        <v>1</v>
      </c>
    </row>
    <row r="530">
      <c r="A530" t="inlineStr">
        <is>
          <t>REQ00529</t>
        </is>
      </c>
      <c r="B530" t="inlineStr">
        <is>
          <t>98450063DO9752BC1314</t>
        </is>
      </c>
      <c r="C530" t="inlineStr">
        <is>
          <t>data_amendment</t>
        </is>
      </c>
      <c r="D530" s="2" t="n">
        <v>46303.65138888889</v>
      </c>
      <c r="E530" s="2" t="n">
        <v>46304.60972222222</v>
      </c>
      <c r="F530" t="inlineStr">
        <is>
          <t>M5</t>
        </is>
      </c>
      <c r="G530" t="inlineStr">
        <is>
          <t>C1</t>
        </is>
      </c>
      <c r="H530" s="2" t="n">
        <v>46303.66458333333</v>
      </c>
      <c r="I530" s="2" t="n">
        <v>46303.66805555556</v>
      </c>
      <c r="J530" t="inlineStr">
        <is>
          <t>Completed</t>
        </is>
      </c>
      <c r="K530" t="n">
        <v>0.4</v>
      </c>
      <c r="L530" t="n">
        <v>8</v>
      </c>
      <c r="M530" t="b">
        <v>0</v>
      </c>
      <c r="N530" t="n">
        <v>0</v>
      </c>
      <c r="O530" t="b">
        <v>1</v>
      </c>
      <c r="P530" t="b">
        <v>0</v>
      </c>
      <c r="Q530" t="b">
        <v>0</v>
      </c>
    </row>
    <row r="531">
      <c r="A531" t="inlineStr">
        <is>
          <t>REQ00530</t>
        </is>
      </c>
      <c r="B531" t="inlineStr">
        <is>
          <t>213800BTII44MNBLG850</t>
        </is>
      </c>
      <c r="C531" t="inlineStr">
        <is>
          <t>new_account</t>
        </is>
      </c>
      <c r="D531" s="2" t="n">
        <v>46303.65277777778</v>
      </c>
      <c r="E531" s="2" t="n">
        <v>46307.56944444445</v>
      </c>
      <c r="F531" t="inlineStr">
        <is>
          <t>M4</t>
        </is>
      </c>
      <c r="G531" t="inlineStr">
        <is>
          <t>C2</t>
        </is>
      </c>
      <c r="H531" s="2" t="n">
        <v>46303.67638888889</v>
      </c>
      <c r="I531" s="2" t="n">
        <v>46304.54305555556</v>
      </c>
      <c r="J531" t="inlineStr">
        <is>
          <t>Completed</t>
        </is>
      </c>
      <c r="K531" t="n">
        <v>6.36</v>
      </c>
      <c r="L531" t="n">
        <v>16</v>
      </c>
      <c r="M531" t="b">
        <v>0</v>
      </c>
      <c r="N531" t="n">
        <v>0</v>
      </c>
      <c r="O531" t="b">
        <v>1</v>
      </c>
      <c r="P531" t="b">
        <v>0</v>
      </c>
      <c r="Q531" t="b">
        <v>1</v>
      </c>
    </row>
    <row r="532">
      <c r="A532" t="inlineStr">
        <is>
          <t>REQ00531</t>
        </is>
      </c>
      <c r="B532" t="inlineStr">
        <is>
          <t>9845001ABC07563DZ265</t>
        </is>
      </c>
      <c r="C532" t="inlineStr">
        <is>
          <t>document_refresh</t>
        </is>
      </c>
      <c r="D532" s="2" t="n">
        <v>46303.65972222222</v>
      </c>
      <c r="E532" s="2" t="n">
        <v>46307.40972222222</v>
      </c>
      <c r="F532" t="inlineStr">
        <is>
          <t>M1</t>
        </is>
      </c>
      <c r="G532" t="inlineStr">
        <is>
          <t>C2</t>
        </is>
      </c>
      <c r="H532" s="2" t="n">
        <v>46303.675</v>
      </c>
      <c r="I532" s="2" t="n">
        <v>46303.67847222222</v>
      </c>
      <c r="J532" t="inlineStr">
        <is>
          <t>Completed</t>
        </is>
      </c>
      <c r="K532" t="n">
        <v>0.46</v>
      </c>
      <c r="L532" t="n">
        <v>12</v>
      </c>
      <c r="M532" t="b">
        <v>0</v>
      </c>
      <c r="N532" t="n">
        <v>0</v>
      </c>
      <c r="O532" t="b">
        <v>1</v>
      </c>
      <c r="P532" t="b">
        <v>0</v>
      </c>
      <c r="Q532" t="b">
        <v>0</v>
      </c>
    </row>
    <row r="533">
      <c r="A533" t="inlineStr">
        <is>
          <t>REQ00532</t>
        </is>
      </c>
      <c r="B533" t="inlineStr">
        <is>
          <t>549300L87DKOI44GB838</t>
        </is>
      </c>
      <c r="C533" t="inlineStr">
        <is>
          <t>new_account</t>
        </is>
      </c>
      <c r="D533" s="2" t="n">
        <v>46303.65972222222</v>
      </c>
      <c r="E533" s="2" t="n">
        <v>46307.57638888889</v>
      </c>
      <c r="F533" t="inlineStr">
        <is>
          <t>M6</t>
        </is>
      </c>
      <c r="G533" t="inlineStr">
        <is>
          <t>C1</t>
        </is>
      </c>
      <c r="H533" s="2" t="n">
        <v>46303.68194444444</v>
      </c>
      <c r="I533" s="2" t="n">
        <v>46303.69722222222</v>
      </c>
      <c r="J533" t="inlineStr">
        <is>
          <t>Completed</t>
        </is>
      </c>
      <c r="K533" t="n">
        <v>0.89</v>
      </c>
      <c r="L533" t="n">
        <v>16</v>
      </c>
      <c r="M533" t="b">
        <v>0</v>
      </c>
      <c r="N533" t="n">
        <v>0</v>
      </c>
      <c r="O533" t="b">
        <v>1</v>
      </c>
      <c r="P533" t="b">
        <v>0</v>
      </c>
      <c r="Q533" t="b">
        <v>0</v>
      </c>
    </row>
    <row r="534">
      <c r="A534" t="inlineStr">
        <is>
          <t>REQ00533</t>
        </is>
      </c>
      <c r="B534" t="inlineStr">
        <is>
          <t>335800XRTOR7DLG5N235</t>
        </is>
      </c>
      <c r="C534" t="inlineStr">
        <is>
          <t>document_refresh</t>
        </is>
      </c>
      <c r="D534" s="2" t="n">
        <v>46303.67777777778</v>
      </c>
      <c r="E534" s="2" t="n">
        <v>46307.42777777778</v>
      </c>
      <c r="F534" t="inlineStr">
        <is>
          <t>M2</t>
        </is>
      </c>
      <c r="G534" t="inlineStr">
        <is>
          <t>C3</t>
        </is>
      </c>
      <c r="H534" s="2" t="n">
        <v>46303.69027777778</v>
      </c>
      <c r="I534" s="2" t="n">
        <v>46303.69513888889</v>
      </c>
      <c r="J534" t="inlineStr">
        <is>
          <t>Completed</t>
        </is>
      </c>
      <c r="K534" t="n">
        <v>0.41</v>
      </c>
      <c r="L534" t="n">
        <v>12</v>
      </c>
      <c r="M534" t="b">
        <v>0</v>
      </c>
      <c r="N534" t="n">
        <v>0</v>
      </c>
      <c r="O534" t="b">
        <v>1</v>
      </c>
      <c r="P534" t="b">
        <v>0</v>
      </c>
      <c r="Q534" t="b">
        <v>0</v>
      </c>
    </row>
    <row r="535">
      <c r="A535" t="inlineStr">
        <is>
          <t>REQ00534</t>
        </is>
      </c>
      <c r="B535" t="inlineStr">
        <is>
          <t>5493007UBE4ZGUTLCW04</t>
        </is>
      </c>
      <c r="C535" t="inlineStr">
        <is>
          <t>new_account</t>
        </is>
      </c>
      <c r="D535" s="2" t="n">
        <v>46303.67847222222</v>
      </c>
      <c r="E535" s="2" t="n">
        <v>46307.59513888889</v>
      </c>
      <c r="F535" t="inlineStr">
        <is>
          <t>M3</t>
        </is>
      </c>
      <c r="G535" t="inlineStr">
        <is>
          <t>C2</t>
        </is>
      </c>
      <c r="H535" s="2" t="n">
        <v>46303.71388888889</v>
      </c>
      <c r="I535" s="2" t="n">
        <v>46304.44375</v>
      </c>
      <c r="J535" t="inlineStr">
        <is>
          <t>Completed</t>
        </is>
      </c>
      <c r="K535" t="n">
        <v>3.37</v>
      </c>
      <c r="L535" t="n">
        <v>16</v>
      </c>
      <c r="M535" t="b">
        <v>0</v>
      </c>
      <c r="N535" t="n">
        <v>0</v>
      </c>
      <c r="O535" t="b">
        <v>1</v>
      </c>
      <c r="P535" t="b">
        <v>0</v>
      </c>
      <c r="Q535" t="b">
        <v>1</v>
      </c>
    </row>
    <row r="536">
      <c r="A536" t="inlineStr">
        <is>
          <t>REQ00535</t>
        </is>
      </c>
      <c r="B536" t="inlineStr">
        <is>
          <t>7245008T94URB33UOM91</t>
        </is>
      </c>
      <c r="C536" t="inlineStr">
        <is>
          <t>document_refresh</t>
        </is>
      </c>
      <c r="D536" s="2" t="n">
        <v>46303.67986111111</v>
      </c>
      <c r="E536" s="2" t="n">
        <v>46307.42986111111</v>
      </c>
      <c r="F536" t="inlineStr">
        <is>
          <t>M5</t>
        </is>
      </c>
      <c r="G536" t="inlineStr">
        <is>
          <t>C3</t>
        </is>
      </c>
      <c r="H536" s="2" t="n">
        <v>46303.69236111111</v>
      </c>
      <c r="I536" s="2" t="n">
        <v>46304.45902777778</v>
      </c>
      <c r="J536" t="inlineStr">
        <is>
          <t>Completed</t>
        </is>
      </c>
      <c r="K536" t="n">
        <v>3.7</v>
      </c>
      <c r="L536" t="n">
        <v>12</v>
      </c>
      <c r="M536" t="b">
        <v>0</v>
      </c>
      <c r="N536" t="n">
        <v>0</v>
      </c>
      <c r="O536" t="b">
        <v>1</v>
      </c>
      <c r="P536" t="b">
        <v>0</v>
      </c>
      <c r="Q536" t="b">
        <v>1</v>
      </c>
    </row>
    <row r="537">
      <c r="A537" t="inlineStr">
        <is>
          <t>REQ00536</t>
        </is>
      </c>
      <c r="B537" t="inlineStr">
        <is>
          <t>549300ZSJV46CLXAT585</t>
        </is>
      </c>
      <c r="C537" t="inlineStr">
        <is>
          <t>signatory_change</t>
        </is>
      </c>
      <c r="D537" s="2" t="n">
        <v>46303.69097222222</v>
      </c>
      <c r="E537" s="2" t="n">
        <v>46304.64930555555</v>
      </c>
      <c r="F537" t="inlineStr">
        <is>
          <t>M1</t>
        </is>
      </c>
      <c r="G537" t="inlineStr">
        <is>
          <t>C1</t>
        </is>
      </c>
      <c r="H537" s="2" t="n">
        <v>46303.71458333333</v>
      </c>
      <c r="I537" s="2" t="n">
        <v>46304.4875</v>
      </c>
      <c r="J537" t="inlineStr">
        <is>
          <t>Completed</t>
        </is>
      </c>
      <c r="K537" t="n">
        <v>4.12</v>
      </c>
      <c r="L537" t="n">
        <v>8</v>
      </c>
      <c r="M537" t="b">
        <v>0</v>
      </c>
      <c r="N537" t="n">
        <v>0</v>
      </c>
      <c r="O537" t="b">
        <v>1</v>
      </c>
      <c r="P537" t="b">
        <v>0</v>
      </c>
      <c r="Q537" t="b">
        <v>1</v>
      </c>
    </row>
    <row r="538">
      <c r="A538" t="inlineStr">
        <is>
          <t>REQ00537</t>
        </is>
      </c>
      <c r="B538" t="inlineStr">
        <is>
          <t>9676000PI3SPBWA98I31</t>
        </is>
      </c>
      <c r="C538" t="inlineStr">
        <is>
          <t>new_account</t>
        </is>
      </c>
      <c r="D538" s="2" t="n">
        <v>46303.69583333333</v>
      </c>
      <c r="E538" s="2" t="n">
        <v>46307.6125</v>
      </c>
      <c r="F538" t="inlineStr">
        <is>
          <t>M4</t>
        </is>
      </c>
      <c r="G538" t="inlineStr">
        <is>
          <t>C1</t>
        </is>
      </c>
      <c r="H538" s="2" t="n">
        <v>46303.73263888889</v>
      </c>
      <c r="I538" s="2" t="n">
        <v>46304.58888888889</v>
      </c>
      <c r="J538" t="inlineStr">
        <is>
          <t>Completed</t>
        </is>
      </c>
      <c r="K538" t="n">
        <v>6.43</v>
      </c>
      <c r="L538" t="n">
        <v>16</v>
      </c>
      <c r="M538" t="b">
        <v>0</v>
      </c>
      <c r="N538" t="n">
        <v>0</v>
      </c>
      <c r="O538" t="b">
        <v>1</v>
      </c>
      <c r="P538" t="b">
        <v>0</v>
      </c>
      <c r="Q538" t="b">
        <v>1</v>
      </c>
    </row>
    <row r="539">
      <c r="A539" t="inlineStr">
        <is>
          <t>REQ00538</t>
        </is>
      </c>
      <c r="B539" t="inlineStr">
        <is>
          <t>969500HSX6ALQTRTQ585</t>
        </is>
      </c>
      <c r="C539" t="inlineStr">
        <is>
          <t>signatory_change</t>
        </is>
      </c>
      <c r="D539" s="2" t="n">
        <v>46303.69652777778</v>
      </c>
      <c r="E539" s="2" t="n">
        <v>46304.65486111111</v>
      </c>
      <c r="F539" t="inlineStr">
        <is>
          <t>M6</t>
        </is>
      </c>
      <c r="G539" t="inlineStr">
        <is>
          <t>C3</t>
        </is>
      </c>
      <c r="H539" s="2" t="n">
        <v>46303.71736111111</v>
      </c>
      <c r="I539" s="2" t="n">
        <v>46304.44722222222</v>
      </c>
      <c r="J539" t="inlineStr">
        <is>
          <t>Completed</t>
        </is>
      </c>
      <c r="K539" t="n">
        <v>3.01</v>
      </c>
      <c r="L539" t="n">
        <v>8</v>
      </c>
      <c r="M539" t="b">
        <v>0</v>
      </c>
      <c r="N539" t="n">
        <v>0</v>
      </c>
      <c r="O539" t="b">
        <v>1</v>
      </c>
      <c r="P539" t="b">
        <v>0</v>
      </c>
      <c r="Q539" t="b">
        <v>1</v>
      </c>
    </row>
    <row r="540">
      <c r="A540" t="inlineStr">
        <is>
          <t>REQ00539</t>
        </is>
      </c>
      <c r="B540" t="inlineStr">
        <is>
          <t>549300VZ9XW7DX4JO456</t>
        </is>
      </c>
      <c r="C540" t="inlineStr">
        <is>
          <t>data_amendment</t>
        </is>
      </c>
      <c r="D540" s="2" t="n">
        <v>46303.69930555556</v>
      </c>
      <c r="E540" s="2" t="n">
        <v>46304.65763888889</v>
      </c>
      <c r="F540" t="inlineStr">
        <is>
          <t>M2</t>
        </is>
      </c>
      <c r="G540" t="inlineStr">
        <is>
          <t>C1</t>
        </is>
      </c>
      <c r="H540" s="2" t="n">
        <v>46303.70902777778</v>
      </c>
      <c r="I540" s="2" t="n">
        <v>46304.52638888889</v>
      </c>
      <c r="J540" t="inlineStr">
        <is>
          <t>Completed</t>
        </is>
      </c>
      <c r="K540" t="n">
        <v>4.85</v>
      </c>
      <c r="L540" t="n">
        <v>8</v>
      </c>
      <c r="M540" t="b">
        <v>0</v>
      </c>
      <c r="N540" t="n">
        <v>0</v>
      </c>
      <c r="O540" t="b">
        <v>1</v>
      </c>
      <c r="P540" t="b">
        <v>0</v>
      </c>
      <c r="Q540" t="b">
        <v>1</v>
      </c>
    </row>
    <row r="541">
      <c r="A541" t="inlineStr">
        <is>
          <t>REQ00540</t>
        </is>
      </c>
      <c r="B541" t="inlineStr">
        <is>
          <t>9695003YXM8V5CGXWA97</t>
        </is>
      </c>
      <c r="C541" t="inlineStr">
        <is>
          <t>signatory_change</t>
        </is>
      </c>
      <c r="D541" s="2" t="n">
        <v>46303.70138888889</v>
      </c>
      <c r="E541" s="2" t="n">
        <v>46304.65972222222</v>
      </c>
      <c r="F541" t="inlineStr">
        <is>
          <t>M5</t>
        </is>
      </c>
      <c r="G541" t="inlineStr">
        <is>
          <t>C2</t>
        </is>
      </c>
      <c r="H541" s="2" t="n">
        <v>46303.725</v>
      </c>
      <c r="I541" s="2" t="n">
        <v>46304.56180555555</v>
      </c>
      <c r="J541" t="inlineStr">
        <is>
          <t>Completed</t>
        </is>
      </c>
      <c r="K541" t="n">
        <v>5.65</v>
      </c>
      <c r="L541" t="n">
        <v>8</v>
      </c>
      <c r="M541" t="b">
        <v>0</v>
      </c>
      <c r="N541" t="n">
        <v>0</v>
      </c>
      <c r="O541" t="b">
        <v>1</v>
      </c>
      <c r="P541" t="b">
        <v>0</v>
      </c>
      <c r="Q541" t="b">
        <v>1</v>
      </c>
    </row>
    <row r="542">
      <c r="A542" t="inlineStr">
        <is>
          <t>REQ00541</t>
        </is>
      </c>
      <c r="B542" t="inlineStr">
        <is>
          <t>213800THXBIA75725K84</t>
        </is>
      </c>
      <c r="C542" t="inlineStr">
        <is>
          <t>signatory_change</t>
        </is>
      </c>
      <c r="D542" s="2" t="n">
        <v>46303.70555555556</v>
      </c>
      <c r="E542" s="2" t="n">
        <v>46304.66388888889</v>
      </c>
      <c r="F542" t="inlineStr">
        <is>
          <t>M2</t>
        </is>
      </c>
      <c r="G542" t="inlineStr">
        <is>
          <t>C1</t>
        </is>
      </c>
      <c r="H542" s="2" t="n">
        <v>46303.725</v>
      </c>
      <c r="I542" s="2" t="n">
        <v>46304.45</v>
      </c>
      <c r="J542" t="inlineStr">
        <is>
          <t>Completed</t>
        </is>
      </c>
      <c r="K542" t="n">
        <v>2.87</v>
      </c>
      <c r="L542" t="n">
        <v>8</v>
      </c>
      <c r="M542" t="b">
        <v>0</v>
      </c>
      <c r="N542" t="n">
        <v>0</v>
      </c>
      <c r="O542" t="b">
        <v>1</v>
      </c>
      <c r="P542" t="b">
        <v>0</v>
      </c>
      <c r="Q542" t="b">
        <v>1</v>
      </c>
    </row>
    <row r="543">
      <c r="A543" t="inlineStr">
        <is>
          <t>REQ00542</t>
        </is>
      </c>
      <c r="B543" t="inlineStr">
        <is>
          <t>213800JC2R9IRWDK2548</t>
        </is>
      </c>
      <c r="C543" t="inlineStr">
        <is>
          <t>document_refresh</t>
        </is>
      </c>
      <c r="D543" s="2" t="n">
        <v>46303.70694444444</v>
      </c>
      <c r="E543" s="2" t="n">
        <v>46307.45694444444</v>
      </c>
      <c r="F543" t="inlineStr">
        <is>
          <t>M3</t>
        </is>
      </c>
      <c r="G543" t="inlineStr">
        <is>
          <t>C1</t>
        </is>
      </c>
      <c r="H543" s="2" t="n">
        <v>46303.72638888889</v>
      </c>
      <c r="I543" s="2" t="n">
        <v>46304.47152777778</v>
      </c>
      <c r="J543" t="inlineStr">
        <is>
          <t>Completed</t>
        </is>
      </c>
      <c r="K543" t="n">
        <v>3.35</v>
      </c>
      <c r="L543" t="n">
        <v>12</v>
      </c>
      <c r="M543" t="b">
        <v>0</v>
      </c>
      <c r="N543" t="n">
        <v>0</v>
      </c>
      <c r="O543" t="b">
        <v>1</v>
      </c>
      <c r="P543" t="b">
        <v>0</v>
      </c>
      <c r="Q543" t="b">
        <v>1</v>
      </c>
    </row>
    <row r="544">
      <c r="A544" t="inlineStr">
        <is>
          <t>REQ00543</t>
        </is>
      </c>
      <c r="B544" t="inlineStr">
        <is>
          <t>7245003IJS7BDK8MQJ86</t>
        </is>
      </c>
      <c r="C544" t="inlineStr">
        <is>
          <t>signatory_change</t>
        </is>
      </c>
      <c r="D544" s="2" t="n">
        <v>46303.70763888889</v>
      </c>
      <c r="E544" s="2" t="n">
        <v>46304.66597222222</v>
      </c>
      <c r="F544" t="inlineStr">
        <is>
          <t>M1</t>
        </is>
      </c>
      <c r="G544" t="inlineStr">
        <is>
          <t>C3</t>
        </is>
      </c>
      <c r="H544" s="2" t="n">
        <v>46303.73402777778</v>
      </c>
      <c r="I544" s="2" t="n">
        <v>46304.55277777778</v>
      </c>
      <c r="J544" t="inlineStr">
        <is>
          <t>Completed</t>
        </is>
      </c>
      <c r="K544" t="n">
        <v>5.28</v>
      </c>
      <c r="L544" t="n">
        <v>8</v>
      </c>
      <c r="M544" t="b">
        <v>0</v>
      </c>
      <c r="N544" t="n">
        <v>0</v>
      </c>
      <c r="O544" t="b">
        <v>1</v>
      </c>
      <c r="P544" t="b">
        <v>0</v>
      </c>
      <c r="Q544" t="b">
        <v>1</v>
      </c>
    </row>
    <row r="545">
      <c r="A545" t="inlineStr">
        <is>
          <t>REQ00544</t>
        </is>
      </c>
      <c r="B545" t="inlineStr">
        <is>
          <t>9845003761468B6BB203</t>
        </is>
      </c>
      <c r="C545" t="inlineStr">
        <is>
          <t>signatory_change</t>
        </is>
      </c>
      <c r="D545" s="2" t="n">
        <v>46303.7125</v>
      </c>
      <c r="E545" s="2" t="n">
        <v>46304.67083333333</v>
      </c>
      <c r="F545" t="inlineStr">
        <is>
          <t>M6</t>
        </is>
      </c>
      <c r="G545" t="inlineStr">
        <is>
          <t>C3</t>
        </is>
      </c>
      <c r="H545" s="2" t="n">
        <v>46303.73888888889</v>
      </c>
      <c r="I545" s="2" t="n">
        <v>46304.38888888889</v>
      </c>
      <c r="J545" t="inlineStr">
        <is>
          <t>Completed</t>
        </is>
      </c>
      <c r="K545" t="n">
        <v>1.24</v>
      </c>
      <c r="L545" t="n">
        <v>8</v>
      </c>
      <c r="M545" t="b">
        <v>0</v>
      </c>
      <c r="N545" t="n">
        <v>1</v>
      </c>
      <c r="O545" t="b">
        <v>0</v>
      </c>
      <c r="P545" t="b">
        <v>1</v>
      </c>
      <c r="Q545" t="b">
        <v>0</v>
      </c>
    </row>
    <row r="546">
      <c r="A546" t="inlineStr">
        <is>
          <t>REQ00545</t>
        </is>
      </c>
      <c r="B546" t="inlineStr">
        <is>
          <t>213800J93OCELLUOTW64</t>
        </is>
      </c>
      <c r="C546" t="inlineStr">
        <is>
          <t>document_refresh</t>
        </is>
      </c>
      <c r="D546" s="2" t="n">
        <v>46303.71666666667</v>
      </c>
      <c r="E546" s="2" t="n">
        <v>46307.46666666667</v>
      </c>
      <c r="F546" t="inlineStr">
        <is>
          <t>M5</t>
        </is>
      </c>
      <c r="G546" t="inlineStr">
        <is>
          <t>C1</t>
        </is>
      </c>
      <c r="H546" s="2" t="n">
        <v>46303.73680555556</v>
      </c>
      <c r="I546" s="2" t="n">
        <v>46304.50138888889</v>
      </c>
      <c r="J546" t="inlineStr">
        <is>
          <t>Completed</t>
        </is>
      </c>
      <c r="K546" t="n">
        <v>3.83</v>
      </c>
      <c r="L546" t="n">
        <v>12</v>
      </c>
      <c r="M546" t="b">
        <v>0</v>
      </c>
      <c r="N546" t="n">
        <v>0</v>
      </c>
      <c r="O546" t="b">
        <v>1</v>
      </c>
      <c r="P546" t="b">
        <v>0</v>
      </c>
      <c r="Q546" t="b">
        <v>1</v>
      </c>
    </row>
    <row r="547">
      <c r="A547" t="inlineStr">
        <is>
          <t>REQ00546</t>
        </is>
      </c>
      <c r="B547" t="inlineStr">
        <is>
          <t>5493002IBZIEYT95C882</t>
        </is>
      </c>
      <c r="C547" t="inlineStr">
        <is>
          <t>document_refresh</t>
        </is>
      </c>
      <c r="D547" s="2" t="n">
        <v>46303.72986111111</v>
      </c>
      <c r="E547" s="2" t="n">
        <v>46307.47986111111</v>
      </c>
      <c r="F547" t="inlineStr">
        <is>
          <t>M2</t>
        </is>
      </c>
      <c r="G547" t="inlineStr">
        <is>
          <t>C3</t>
        </is>
      </c>
      <c r="H547" s="2" t="n">
        <v>46303.74652777778</v>
      </c>
      <c r="I547" s="2" t="n">
        <v>46304.54375</v>
      </c>
      <c r="J547" t="inlineStr">
        <is>
          <t>Completed</t>
        </is>
      </c>
      <c r="K547" t="n">
        <v>4.53</v>
      </c>
      <c r="L547" t="n">
        <v>12</v>
      </c>
      <c r="M547" t="b">
        <v>0</v>
      </c>
      <c r="N547" t="n">
        <v>0</v>
      </c>
      <c r="O547" t="b">
        <v>1</v>
      </c>
      <c r="P547" t="b">
        <v>0</v>
      </c>
      <c r="Q547" t="b">
        <v>1</v>
      </c>
    </row>
    <row r="548">
      <c r="A548" t="inlineStr">
        <is>
          <t>REQ00547</t>
        </is>
      </c>
      <c r="B548" t="inlineStr">
        <is>
          <t>549300CCMDS6R6KCV460</t>
        </is>
      </c>
      <c r="C548" t="inlineStr">
        <is>
          <t>signatory_change</t>
        </is>
      </c>
      <c r="D548" s="2" t="n">
        <v>46303.73611111111</v>
      </c>
      <c r="E548" s="2" t="n">
        <v>46304.69444444445</v>
      </c>
      <c r="F548" t="inlineStr">
        <is>
          <t>M3</t>
        </is>
      </c>
      <c r="G548" t="inlineStr">
        <is>
          <t>C2</t>
        </is>
      </c>
      <c r="H548" s="2" t="n">
        <v>46304.38472222222</v>
      </c>
      <c r="I548" s="2" t="n">
        <v>46304.57916666667</v>
      </c>
      <c r="J548" t="inlineStr">
        <is>
          <t>Completed</t>
        </is>
      </c>
      <c r="K548" t="n">
        <v>5.23</v>
      </c>
      <c r="L548" t="n">
        <v>8</v>
      </c>
      <c r="M548" t="b">
        <v>0</v>
      </c>
      <c r="N548" t="n">
        <v>0</v>
      </c>
      <c r="O548" t="b">
        <v>1</v>
      </c>
      <c r="P548" t="b">
        <v>0</v>
      </c>
      <c r="Q548" t="b">
        <v>1</v>
      </c>
    </row>
    <row r="549">
      <c r="A549" t="inlineStr">
        <is>
          <t>REQ00548</t>
        </is>
      </c>
      <c r="B549" t="inlineStr">
        <is>
          <t>213800XWNJ5GH5LOLQ71</t>
        </is>
      </c>
      <c r="C549" t="inlineStr">
        <is>
          <t>document_refresh</t>
        </is>
      </c>
      <c r="D549" s="2" t="n">
        <v>46303.73819444444</v>
      </c>
      <c r="E549" s="2" t="n">
        <v>46307.48819444444</v>
      </c>
      <c r="F549" t="inlineStr">
        <is>
          <t>M4</t>
        </is>
      </c>
      <c r="G549" t="inlineStr">
        <is>
          <t>C3</t>
        </is>
      </c>
      <c r="H549" s="2" t="n">
        <v>46303.74791666667</v>
      </c>
      <c r="I549" s="2" t="n">
        <v>46304.53402777778</v>
      </c>
      <c r="J549" t="inlineStr">
        <is>
          <t>Completed</t>
        </is>
      </c>
      <c r="K549" t="n">
        <v>4.1</v>
      </c>
      <c r="L549" t="n">
        <v>12</v>
      </c>
      <c r="M549" t="b">
        <v>0</v>
      </c>
      <c r="N549" t="n">
        <v>0</v>
      </c>
      <c r="O549" t="b">
        <v>1</v>
      </c>
      <c r="P549" t="b">
        <v>0</v>
      </c>
      <c r="Q549" t="b">
        <v>1</v>
      </c>
    </row>
    <row r="550">
      <c r="A550" t="inlineStr">
        <is>
          <t>REQ00549</t>
        </is>
      </c>
      <c r="B550" t="inlineStr">
        <is>
          <t>875500FVDV5O7TYGEW64</t>
        </is>
      </c>
      <c r="C550" t="inlineStr">
        <is>
          <t>data_amendment</t>
        </is>
      </c>
      <c r="D550" s="2" t="n">
        <v>46303.74444444444</v>
      </c>
      <c r="E550" s="2" t="n">
        <v>46304.70277777778</v>
      </c>
      <c r="F550" t="inlineStr">
        <is>
          <t>M1</t>
        </is>
      </c>
      <c r="G550" t="inlineStr">
        <is>
          <t>C2</t>
        </is>
      </c>
      <c r="H550" s="2" t="n">
        <v>46304.38194444445</v>
      </c>
      <c r="I550" s="2" t="n">
        <v>46304.38541666666</v>
      </c>
      <c r="J550" t="inlineStr">
        <is>
          <t>Completed</t>
        </is>
      </c>
      <c r="K550" t="n">
        <v>0.38</v>
      </c>
      <c r="L550" t="n">
        <v>8</v>
      </c>
      <c r="M550" t="b">
        <v>0</v>
      </c>
      <c r="N550" t="n">
        <v>0</v>
      </c>
      <c r="O550" t="b">
        <v>1</v>
      </c>
      <c r="P550" t="b">
        <v>0</v>
      </c>
      <c r="Q550" t="b">
        <v>0</v>
      </c>
    </row>
    <row r="551">
      <c r="A551" t="inlineStr">
        <is>
          <t>REQ00550</t>
        </is>
      </c>
      <c r="B551" t="inlineStr">
        <is>
          <t>984500D7CBEB9A9A5E22</t>
        </is>
      </c>
      <c r="C551" t="inlineStr">
        <is>
          <t>document_refresh</t>
        </is>
      </c>
      <c r="D551" s="2" t="n">
        <v>46303.74583333333</v>
      </c>
      <c r="E551" s="2" t="n">
        <v>46307.49583333333</v>
      </c>
      <c r="F551" t="inlineStr">
        <is>
          <t>M5</t>
        </is>
      </c>
      <c r="G551" t="inlineStr">
        <is>
          <t>C3</t>
        </is>
      </c>
      <c r="H551" s="2" t="n">
        <v>46304.3875</v>
      </c>
      <c r="I551" s="2" t="n">
        <v>46304.39375</v>
      </c>
      <c r="J551" t="inlineStr">
        <is>
          <t>Completed</t>
        </is>
      </c>
      <c r="K551" t="n">
        <v>0.55</v>
      </c>
      <c r="L551" t="n">
        <v>12</v>
      </c>
      <c r="M551" t="b">
        <v>0</v>
      </c>
      <c r="N551" t="n">
        <v>0</v>
      </c>
      <c r="O551" t="b">
        <v>1</v>
      </c>
      <c r="P551" t="b">
        <v>0</v>
      </c>
      <c r="Q551" t="b">
        <v>0</v>
      </c>
    </row>
    <row r="552">
      <c r="A552" t="inlineStr">
        <is>
          <t>REQ00551</t>
        </is>
      </c>
      <c r="B552" t="inlineStr">
        <is>
          <t>9695006LC18H0HMCM166</t>
        </is>
      </c>
      <c r="C552" t="inlineStr">
        <is>
          <t>document_refresh</t>
        </is>
      </c>
      <c r="D552" s="2" t="n">
        <v>46304.38263888889</v>
      </c>
      <c r="E552" s="2" t="n">
        <v>46307.50763888889</v>
      </c>
      <c r="F552" t="inlineStr">
        <is>
          <t>M6</t>
        </is>
      </c>
      <c r="G552" t="inlineStr">
        <is>
          <t>C2</t>
        </is>
      </c>
      <c r="H552" s="2" t="n">
        <v>46304.39722222222</v>
      </c>
      <c r="I552" s="2" t="n">
        <v>46304.40347222222</v>
      </c>
      <c r="J552" t="inlineStr">
        <is>
          <t>Completed</t>
        </is>
      </c>
      <c r="K552" t="n">
        <v>0.51</v>
      </c>
      <c r="L552" t="n">
        <v>12</v>
      </c>
      <c r="M552" t="b">
        <v>0</v>
      </c>
      <c r="N552" t="n">
        <v>0</v>
      </c>
      <c r="O552" t="b">
        <v>1</v>
      </c>
      <c r="P552" t="b">
        <v>0</v>
      </c>
      <c r="Q552" t="b">
        <v>0</v>
      </c>
    </row>
    <row r="553">
      <c r="A553" t="inlineStr">
        <is>
          <t>REQ00552</t>
        </is>
      </c>
      <c r="B553" t="inlineStr">
        <is>
          <t>213800NXN8AFZVCRNW27</t>
        </is>
      </c>
      <c r="C553" t="inlineStr">
        <is>
          <t>new_account</t>
        </is>
      </c>
      <c r="D553" s="2" t="n">
        <v>46304.38402777778</v>
      </c>
      <c r="E553" s="2" t="n">
        <v>46307.67569444444</v>
      </c>
      <c r="F553" t="inlineStr">
        <is>
          <t>M2</t>
        </is>
      </c>
      <c r="G553" t="inlineStr">
        <is>
          <t>C2</t>
        </is>
      </c>
      <c r="H553" s="2" t="n">
        <v>46304.41041666667</v>
      </c>
      <c r="I553" s="2" t="n">
        <v>46304.41944444444</v>
      </c>
      <c r="J553" t="inlineStr">
        <is>
          <t>Completed</t>
        </is>
      </c>
      <c r="K553" t="n">
        <v>0.85</v>
      </c>
      <c r="L553" t="n">
        <v>16</v>
      </c>
      <c r="M553" t="b">
        <v>0</v>
      </c>
      <c r="N553" t="n">
        <v>0</v>
      </c>
      <c r="O553" t="b">
        <v>1</v>
      </c>
      <c r="P553" t="b">
        <v>0</v>
      </c>
      <c r="Q553" t="b">
        <v>0</v>
      </c>
    </row>
    <row r="554">
      <c r="A554" t="inlineStr">
        <is>
          <t>REQ00553</t>
        </is>
      </c>
      <c r="B554" t="inlineStr">
        <is>
          <t>549300DB834KRW97V117</t>
        </is>
      </c>
      <c r="C554" t="inlineStr">
        <is>
          <t>document_refresh</t>
        </is>
      </c>
      <c r="D554" s="2" t="n">
        <v>46304.38402777778</v>
      </c>
      <c r="E554" s="2" t="n">
        <v>46307.50902777778</v>
      </c>
      <c r="F554" t="inlineStr">
        <is>
          <t>M4</t>
        </is>
      </c>
      <c r="G554" t="inlineStr">
        <is>
          <t>C2</t>
        </is>
      </c>
      <c r="H554" s="2" t="n">
        <v>46304.39930555555</v>
      </c>
      <c r="I554" s="2" t="n">
        <v>46304.63333333333</v>
      </c>
      <c r="J554" t="inlineStr">
        <is>
          <t>Completed</t>
        </is>
      </c>
      <c r="K554" t="n">
        <v>5.99</v>
      </c>
      <c r="L554" t="n">
        <v>12</v>
      </c>
      <c r="M554" t="b">
        <v>0</v>
      </c>
      <c r="N554" t="n">
        <v>0</v>
      </c>
      <c r="O554" t="b">
        <v>1</v>
      </c>
      <c r="P554" t="b">
        <v>0</v>
      </c>
      <c r="Q554" t="b">
        <v>1</v>
      </c>
    </row>
    <row r="555">
      <c r="A555" t="inlineStr">
        <is>
          <t>REQ00554</t>
        </is>
      </c>
      <c r="B555" t="inlineStr">
        <is>
          <t>391200666WDJAY2G9Y36</t>
        </is>
      </c>
      <c r="C555" t="inlineStr">
        <is>
          <t>document_refresh</t>
        </is>
      </c>
      <c r="D555" s="2" t="n">
        <v>46304.38472222222</v>
      </c>
      <c r="E555" s="2" t="n">
        <v>46307.50972222222</v>
      </c>
      <c r="F555" t="inlineStr">
        <is>
          <t>M1</t>
        </is>
      </c>
      <c r="G555" t="inlineStr">
        <is>
          <t>C3</t>
        </is>
      </c>
      <c r="H555" s="2" t="n">
        <v>46304.40138888889</v>
      </c>
      <c r="I555" s="2" t="n">
        <v>46304.40555555555</v>
      </c>
      <c r="J555" t="inlineStr">
        <is>
          <t>Completed</t>
        </is>
      </c>
      <c r="K555" t="n">
        <v>0.51</v>
      </c>
      <c r="L555" t="n">
        <v>12</v>
      </c>
      <c r="M555" t="b">
        <v>0</v>
      </c>
      <c r="N555" t="n">
        <v>0</v>
      </c>
      <c r="O555" t="b">
        <v>1</v>
      </c>
      <c r="P555" t="b">
        <v>0</v>
      </c>
      <c r="Q555" t="b">
        <v>0</v>
      </c>
    </row>
    <row r="556">
      <c r="A556" t="inlineStr">
        <is>
          <t>REQ00555</t>
        </is>
      </c>
      <c r="B556" t="inlineStr">
        <is>
          <t>213800PE6NHELMDE4M60</t>
        </is>
      </c>
      <c r="C556" t="inlineStr">
        <is>
          <t>signatory_change</t>
        </is>
      </c>
      <c r="D556" s="2" t="n">
        <v>46304.38819444444</v>
      </c>
      <c r="E556" s="2" t="n">
        <v>46304.72152777778</v>
      </c>
      <c r="F556" t="inlineStr">
        <is>
          <t>M3</t>
        </is>
      </c>
      <c r="G556" t="inlineStr">
        <is>
          <t>C1</t>
        </is>
      </c>
      <c r="H556" s="2" t="n">
        <v>46304.41041666667</v>
      </c>
      <c r="I556" s="2" t="n">
        <v>46304.41875</v>
      </c>
      <c r="J556" t="inlineStr">
        <is>
          <t>Completed</t>
        </is>
      </c>
      <c r="K556" t="n">
        <v>0.74</v>
      </c>
      <c r="L556" t="n">
        <v>8</v>
      </c>
      <c r="M556" t="b">
        <v>0</v>
      </c>
      <c r="N556" t="n">
        <v>0</v>
      </c>
      <c r="O556" t="b">
        <v>1</v>
      </c>
      <c r="P556" t="b">
        <v>0</v>
      </c>
      <c r="Q556" t="b">
        <v>0</v>
      </c>
    </row>
    <row r="557">
      <c r="A557" t="inlineStr">
        <is>
          <t>REQ00556</t>
        </is>
      </c>
      <c r="B557" t="inlineStr">
        <is>
          <t>549300Q94EMEJHY49S17</t>
        </is>
      </c>
      <c r="C557" t="inlineStr">
        <is>
          <t>signatory_change</t>
        </is>
      </c>
      <c r="D557" s="2" t="n">
        <v>46304.39652777778</v>
      </c>
      <c r="E557" s="2" t="n">
        <v>46304.72986111111</v>
      </c>
      <c r="F557" t="inlineStr">
        <is>
          <t>M5</t>
        </is>
      </c>
      <c r="G557" t="inlineStr">
        <is>
          <t>C1</t>
        </is>
      </c>
      <c r="H557" s="2" t="n">
        <v>46304.41736111111</v>
      </c>
      <c r="I557" s="2" t="n">
        <v>46304.42708333334</v>
      </c>
      <c r="J557" t="inlineStr">
        <is>
          <t>Completed</t>
        </is>
      </c>
      <c r="K557" t="n">
        <v>0.73</v>
      </c>
      <c r="L557" t="n">
        <v>8</v>
      </c>
      <c r="M557" t="b">
        <v>0</v>
      </c>
      <c r="N557" t="n">
        <v>0</v>
      </c>
      <c r="O557" t="b">
        <v>1</v>
      </c>
      <c r="P557" t="b">
        <v>0</v>
      </c>
      <c r="Q557" t="b">
        <v>0</v>
      </c>
    </row>
    <row r="558">
      <c r="A558" t="inlineStr">
        <is>
          <t>REQ00557</t>
        </is>
      </c>
      <c r="B558" t="inlineStr">
        <is>
          <t>969500HZ2RPE95610Z89</t>
        </is>
      </c>
      <c r="C558" t="inlineStr">
        <is>
          <t>data_amendment</t>
        </is>
      </c>
      <c r="D558" s="2" t="n">
        <v>46304.40208333333</v>
      </c>
      <c r="E558" s="2" t="n">
        <v>46304.73541666667</v>
      </c>
      <c r="F558" t="inlineStr">
        <is>
          <t>M6</t>
        </is>
      </c>
      <c r="G558" t="inlineStr">
        <is>
          <t>C1</t>
        </is>
      </c>
      <c r="H558" s="2" t="n">
        <v>46304.41388888889</v>
      </c>
      <c r="I558" s="2" t="n">
        <v>46304.59791666667</v>
      </c>
      <c r="J558" t="inlineStr">
        <is>
          <t>Completed</t>
        </is>
      </c>
      <c r="K558" t="n">
        <v>4.71</v>
      </c>
      <c r="L558" t="n">
        <v>8</v>
      </c>
      <c r="M558" t="b">
        <v>0</v>
      </c>
      <c r="N558" t="n">
        <v>0</v>
      </c>
      <c r="O558" t="b">
        <v>1</v>
      </c>
      <c r="P558" t="b">
        <v>0</v>
      </c>
      <c r="Q558" t="b">
        <v>1</v>
      </c>
    </row>
    <row r="559">
      <c r="A559" t="inlineStr">
        <is>
          <t>REQ00558</t>
        </is>
      </c>
      <c r="B559" t="inlineStr">
        <is>
          <t>9845004F58EEA00F0271</t>
        </is>
      </c>
      <c r="C559" t="inlineStr">
        <is>
          <t>new_account</t>
        </is>
      </c>
      <c r="D559" s="2" t="n">
        <v>46304.40416666667</v>
      </c>
      <c r="E559" s="2" t="n">
        <v>46307.69583333333</v>
      </c>
      <c r="F559" t="inlineStr">
        <is>
          <t>M4</t>
        </is>
      </c>
      <c r="G559" t="inlineStr">
        <is>
          <t>C3</t>
        </is>
      </c>
      <c r="H559" s="2" t="n">
        <v>46304.4375</v>
      </c>
      <c r="I559" s="2" t="n">
        <v>46304.59444444445</v>
      </c>
      <c r="J559" t="inlineStr">
        <is>
          <t>Completed</t>
        </is>
      </c>
      <c r="K559" t="n">
        <v>4.57</v>
      </c>
      <c r="L559" t="n">
        <v>16</v>
      </c>
      <c r="M559" t="b">
        <v>0</v>
      </c>
      <c r="N559" t="n">
        <v>0</v>
      </c>
      <c r="O559" t="b">
        <v>1</v>
      </c>
      <c r="P559" t="b">
        <v>0</v>
      </c>
      <c r="Q559" t="b">
        <v>1</v>
      </c>
    </row>
    <row r="560">
      <c r="A560" t="inlineStr">
        <is>
          <t>REQ00559</t>
        </is>
      </c>
      <c r="B560" t="inlineStr">
        <is>
          <t>5067002O478S7W578D67</t>
        </is>
      </c>
      <c r="C560" t="inlineStr">
        <is>
          <t>document_refresh</t>
        </is>
      </c>
      <c r="D560" s="2" t="n">
        <v>46304.41111111111</v>
      </c>
      <c r="E560" s="2" t="n">
        <v>46307.53611111111</v>
      </c>
      <c r="F560" t="inlineStr">
        <is>
          <t>M1</t>
        </is>
      </c>
      <c r="G560" t="inlineStr">
        <is>
          <t>C2</t>
        </is>
      </c>
      <c r="H560" s="2" t="n">
        <v>46304.42569444444</v>
      </c>
      <c r="I560" s="2" t="n">
        <v>46304.58472222222</v>
      </c>
      <c r="J560" t="inlineStr">
        <is>
          <t>Completed</t>
        </is>
      </c>
      <c r="K560" t="n">
        <v>4.17</v>
      </c>
      <c r="L560" t="n">
        <v>12</v>
      </c>
      <c r="M560" t="b">
        <v>0</v>
      </c>
      <c r="N560" t="n">
        <v>0</v>
      </c>
      <c r="O560" t="b">
        <v>1</v>
      </c>
      <c r="P560" t="b">
        <v>0</v>
      </c>
      <c r="Q560" t="b">
        <v>1</v>
      </c>
    </row>
    <row r="561">
      <c r="A561" t="inlineStr">
        <is>
          <t>REQ00560</t>
        </is>
      </c>
      <c r="B561" t="inlineStr">
        <is>
          <t>335800N2VQNB3QBRWM81</t>
        </is>
      </c>
      <c r="C561" t="inlineStr">
        <is>
          <t>data_amendment</t>
        </is>
      </c>
      <c r="D561" s="2" t="n">
        <v>46304.41180555556</v>
      </c>
      <c r="E561" s="2" t="n">
        <v>46304.74513888889</v>
      </c>
      <c r="F561" t="inlineStr">
        <is>
          <t>M2</t>
        </is>
      </c>
      <c r="G561" t="inlineStr">
        <is>
          <t>C2</t>
        </is>
      </c>
      <c r="H561" s="2" t="n">
        <v>46304.425</v>
      </c>
      <c r="I561" s="2" t="n">
        <v>46304.42986111111</v>
      </c>
      <c r="J561" t="inlineStr">
        <is>
          <t>Completed</t>
        </is>
      </c>
      <c r="K561" t="n">
        <v>0.43</v>
      </c>
      <c r="L561" t="n">
        <v>8</v>
      </c>
      <c r="M561" t="b">
        <v>0</v>
      </c>
      <c r="N561" t="n">
        <v>0</v>
      </c>
      <c r="O561" t="b">
        <v>1</v>
      </c>
      <c r="P561" t="b">
        <v>0</v>
      </c>
      <c r="Q561" t="b">
        <v>0</v>
      </c>
    </row>
    <row r="562">
      <c r="A562" t="inlineStr">
        <is>
          <t>REQ00561</t>
        </is>
      </c>
      <c r="B562" t="inlineStr">
        <is>
          <t>8945005B8CBQW5D65Z16</t>
        </is>
      </c>
      <c r="C562" t="inlineStr">
        <is>
          <t>data_amendment</t>
        </is>
      </c>
      <c r="D562" s="2" t="n">
        <v>46304.41388888889</v>
      </c>
      <c r="E562" s="2" t="n">
        <v>46304.74722222222</v>
      </c>
      <c r="F562" t="inlineStr">
        <is>
          <t>M3</t>
        </is>
      </c>
      <c r="G562" t="inlineStr">
        <is>
          <t>C3</t>
        </is>
      </c>
      <c r="H562" s="2" t="n">
        <v>46304.42430555556</v>
      </c>
      <c r="I562" s="2" t="n">
        <v>46304.42847222222</v>
      </c>
      <c r="J562" t="inlineStr">
        <is>
          <t>Completed</t>
        </is>
      </c>
      <c r="K562" t="n">
        <v>0.36</v>
      </c>
      <c r="L562" t="n">
        <v>8</v>
      </c>
      <c r="M562" t="b">
        <v>0</v>
      </c>
      <c r="N562" t="n">
        <v>0</v>
      </c>
      <c r="O562" t="b">
        <v>1</v>
      </c>
      <c r="P562" t="b">
        <v>0</v>
      </c>
      <c r="Q562" t="b">
        <v>0</v>
      </c>
    </row>
    <row r="563">
      <c r="A563" t="inlineStr">
        <is>
          <t>REQ00562</t>
        </is>
      </c>
      <c r="B563" t="inlineStr">
        <is>
          <t>549300XKEV8PIBMAEY76</t>
        </is>
      </c>
      <c r="C563" t="inlineStr">
        <is>
          <t>document_refresh</t>
        </is>
      </c>
      <c r="D563" s="2" t="n">
        <v>46304.41666666666</v>
      </c>
      <c r="E563" s="2" t="n">
        <v>46307.54166666666</v>
      </c>
      <c r="F563" t="inlineStr">
        <is>
          <t>M6</t>
        </is>
      </c>
      <c r="G563" t="inlineStr">
        <is>
          <t>C1</t>
        </is>
      </c>
      <c r="H563" s="2" t="n">
        <v>46304.42638888889</v>
      </c>
      <c r="I563" s="2" t="n">
        <v>46304.56527777778</v>
      </c>
      <c r="J563" t="inlineStr">
        <is>
          <t>Completed</t>
        </is>
      </c>
      <c r="K563" t="n">
        <v>3.57</v>
      </c>
      <c r="L563" t="n">
        <v>12</v>
      </c>
      <c r="M563" t="b">
        <v>0</v>
      </c>
      <c r="N563" t="n">
        <v>0</v>
      </c>
      <c r="O563" t="b">
        <v>1</v>
      </c>
      <c r="P563" t="b">
        <v>0</v>
      </c>
      <c r="Q563" t="b">
        <v>1</v>
      </c>
    </row>
    <row r="564">
      <c r="A564" t="inlineStr">
        <is>
          <t>REQ00563</t>
        </is>
      </c>
      <c r="B564" t="inlineStr">
        <is>
          <t>724500HT239J4XT90T75</t>
        </is>
      </c>
      <c r="C564" t="inlineStr">
        <is>
          <t>new_account</t>
        </is>
      </c>
      <c r="D564" s="2" t="n">
        <v>46304.41875</v>
      </c>
      <c r="E564" s="2" t="n">
        <v>46307.71041666667</v>
      </c>
      <c r="F564" t="inlineStr">
        <is>
          <t>M5</t>
        </is>
      </c>
      <c r="G564" t="inlineStr">
        <is>
          <t>C1</t>
        </is>
      </c>
      <c r="H564" s="2" t="n">
        <v>46304.45902777778</v>
      </c>
      <c r="I564" s="2" t="n">
        <v>46304.55208333334</v>
      </c>
      <c r="J564" t="inlineStr">
        <is>
          <t>Completed</t>
        </is>
      </c>
      <c r="K564" t="n">
        <v>3.21</v>
      </c>
      <c r="L564" t="n">
        <v>16</v>
      </c>
      <c r="M564" t="b">
        <v>0</v>
      </c>
      <c r="N564" t="n">
        <v>0</v>
      </c>
      <c r="O564" t="b">
        <v>1</v>
      </c>
      <c r="P564" t="b">
        <v>0</v>
      </c>
      <c r="Q564" t="b">
        <v>1</v>
      </c>
    </row>
    <row r="565">
      <c r="A565" t="inlineStr">
        <is>
          <t>REQ00564</t>
        </is>
      </c>
      <c r="B565" t="inlineStr">
        <is>
          <t>549300SFJDP0E4IKFY80</t>
        </is>
      </c>
      <c r="C565" t="inlineStr">
        <is>
          <t>document_refresh</t>
        </is>
      </c>
      <c r="D565" s="2" t="n">
        <v>46304.41944444444</v>
      </c>
      <c r="E565" s="2" t="n">
        <v>46307.54444444444</v>
      </c>
      <c r="F565" t="inlineStr">
        <is>
          <t>M3</t>
        </is>
      </c>
      <c r="G565" t="inlineStr">
        <is>
          <t>C3</t>
        </is>
      </c>
      <c r="H565" s="2" t="n">
        <v>46304.43819444445</v>
      </c>
      <c r="I565" s="2" t="n">
        <v>46304.67013888889</v>
      </c>
      <c r="J565" t="inlineStr">
        <is>
          <t>Completed</t>
        </is>
      </c>
      <c r="K565" t="n">
        <v>6.01</v>
      </c>
      <c r="L565" t="n">
        <v>12</v>
      </c>
      <c r="M565" t="b">
        <v>0</v>
      </c>
      <c r="N565" t="n">
        <v>0</v>
      </c>
      <c r="O565" t="b">
        <v>1</v>
      </c>
      <c r="P565" t="b">
        <v>0</v>
      </c>
      <c r="Q565" t="b">
        <v>1</v>
      </c>
    </row>
    <row r="566">
      <c r="A566" t="inlineStr">
        <is>
          <t>REQ00565</t>
        </is>
      </c>
      <c r="B566" t="inlineStr">
        <is>
          <t>529900SOMEGIQ9IDGW70</t>
        </is>
      </c>
      <c r="C566" t="inlineStr">
        <is>
          <t>new_account</t>
        </is>
      </c>
      <c r="D566" s="2" t="n">
        <v>46304.42638888889</v>
      </c>
      <c r="E566" s="2" t="n">
        <v>46307.71805555555</v>
      </c>
      <c r="F566" t="inlineStr">
        <is>
          <t>M2</t>
        </is>
      </c>
      <c r="G566" t="inlineStr">
        <is>
          <t>C2</t>
        </is>
      </c>
      <c r="H566" s="2" t="n">
        <v>46304.44861111111</v>
      </c>
      <c r="I566" s="2" t="n">
        <v>46304.61458333334</v>
      </c>
      <c r="J566" t="inlineStr">
        <is>
          <t>Completed</t>
        </is>
      </c>
      <c r="K566" t="n">
        <v>4.52</v>
      </c>
      <c r="L566" t="n">
        <v>16</v>
      </c>
      <c r="M566" t="b">
        <v>0</v>
      </c>
      <c r="N566" t="n">
        <v>0</v>
      </c>
      <c r="O566" t="b">
        <v>1</v>
      </c>
      <c r="P566" t="b">
        <v>0</v>
      </c>
      <c r="Q566" t="b">
        <v>1</v>
      </c>
    </row>
    <row r="567">
      <c r="A567" t="inlineStr">
        <is>
          <t>REQ00566</t>
        </is>
      </c>
      <c r="B567" t="inlineStr">
        <is>
          <t>254900HW3ERB22FL9J19</t>
        </is>
      </c>
      <c r="C567" t="inlineStr">
        <is>
          <t>document_refresh</t>
        </is>
      </c>
      <c r="D567" s="2" t="n">
        <v>46304.42708333334</v>
      </c>
      <c r="E567" s="2" t="n">
        <v>46307.55208333334</v>
      </c>
      <c r="F567" t="inlineStr">
        <is>
          <t>M1</t>
        </is>
      </c>
      <c r="G567" t="inlineStr">
        <is>
          <t>C3</t>
        </is>
      </c>
      <c r="H567" s="2" t="n">
        <v>46304.43680555555</v>
      </c>
      <c r="I567" s="2" t="n">
        <v>46304.6125</v>
      </c>
      <c r="J567" t="inlineStr">
        <is>
          <t>Completed</t>
        </is>
      </c>
      <c r="K567" t="n">
        <v>4.45</v>
      </c>
      <c r="L567" t="n">
        <v>12</v>
      </c>
      <c r="M567" t="b">
        <v>0</v>
      </c>
      <c r="N567" t="n">
        <v>0</v>
      </c>
      <c r="O567" t="b">
        <v>1</v>
      </c>
      <c r="P567" t="b">
        <v>0</v>
      </c>
      <c r="Q567" t="b">
        <v>1</v>
      </c>
    </row>
    <row r="568">
      <c r="A568" t="inlineStr">
        <is>
          <t>REQ00567</t>
        </is>
      </c>
      <c r="B568" t="inlineStr">
        <is>
          <t>21380025M6CYIV3GBI40</t>
        </is>
      </c>
      <c r="C568" t="inlineStr">
        <is>
          <t>document_refresh</t>
        </is>
      </c>
      <c r="D568" s="2" t="n">
        <v>46304.43055555555</v>
      </c>
      <c r="E568" s="2" t="n">
        <v>46307.55555555555</v>
      </c>
      <c r="F568" t="inlineStr">
        <is>
          <t>M6</t>
        </is>
      </c>
      <c r="G568" t="inlineStr">
        <is>
          <t>C2</t>
        </is>
      </c>
      <c r="H568" s="2" t="n">
        <v>46304.44861111111</v>
      </c>
      <c r="I568" s="2" t="n">
        <v>46304.45347222222</v>
      </c>
      <c r="J568" t="inlineStr">
        <is>
          <t>Completed</t>
        </is>
      </c>
      <c r="K568" t="n">
        <v>0.55</v>
      </c>
      <c r="L568" t="n">
        <v>12</v>
      </c>
      <c r="M568" t="b">
        <v>0</v>
      </c>
      <c r="N568" t="n">
        <v>0</v>
      </c>
      <c r="O568" t="b">
        <v>1</v>
      </c>
      <c r="P568" t="b">
        <v>0</v>
      </c>
      <c r="Q568" t="b">
        <v>0</v>
      </c>
    </row>
    <row r="569">
      <c r="A569" t="inlineStr">
        <is>
          <t>REQ00568</t>
        </is>
      </c>
      <c r="B569" t="inlineStr">
        <is>
          <t>529900722NB18TPDRS81</t>
        </is>
      </c>
      <c r="C569" t="inlineStr">
        <is>
          <t>document_refresh</t>
        </is>
      </c>
      <c r="D569" s="2" t="n">
        <v>46304.43680555555</v>
      </c>
      <c r="E569" s="2" t="n">
        <v>46307.56180555555</v>
      </c>
      <c r="F569" t="inlineStr">
        <is>
          <t>M1</t>
        </is>
      </c>
      <c r="G569" t="inlineStr">
        <is>
          <t>C3</t>
        </is>
      </c>
      <c r="H569" s="2" t="n">
        <v>46304.44861111111</v>
      </c>
      <c r="I569" s="2" t="n">
        <v>46304.45416666667</v>
      </c>
      <c r="J569" t="inlineStr">
        <is>
          <t>Completed</t>
        </is>
      </c>
      <c r="K569" t="n">
        <v>0.42</v>
      </c>
      <c r="L569" t="n">
        <v>12</v>
      </c>
      <c r="M569" t="b">
        <v>0</v>
      </c>
      <c r="N569" t="n">
        <v>0</v>
      </c>
      <c r="O569" t="b">
        <v>1</v>
      </c>
      <c r="P569" t="b">
        <v>0</v>
      </c>
      <c r="Q569" t="b">
        <v>0</v>
      </c>
    </row>
    <row r="570">
      <c r="A570" t="inlineStr">
        <is>
          <t>REQ00569</t>
        </is>
      </c>
      <c r="B570" t="inlineStr">
        <is>
          <t>2549006KMBNF6KAJH591</t>
        </is>
      </c>
      <c r="C570" t="inlineStr">
        <is>
          <t>document_refresh</t>
        </is>
      </c>
      <c r="D570" s="2" t="n">
        <v>46304.44236111111</v>
      </c>
      <c r="E570" s="2" t="n">
        <v>46307.56736111111</v>
      </c>
      <c r="F570" t="inlineStr">
        <is>
          <t>M4</t>
        </is>
      </c>
      <c r="G570" t="inlineStr">
        <is>
          <t>C3</t>
        </is>
      </c>
      <c r="H570" s="2" t="n">
        <v>46304.45347222222</v>
      </c>
      <c r="I570" s="2" t="n">
        <v>46304.70416666667</v>
      </c>
      <c r="J570" t="inlineStr">
        <is>
          <t>Completed</t>
        </is>
      </c>
      <c r="K570" t="n">
        <v>6.29</v>
      </c>
      <c r="L570" t="n">
        <v>12</v>
      </c>
      <c r="M570" t="b">
        <v>0</v>
      </c>
      <c r="N570" t="n">
        <v>0</v>
      </c>
      <c r="O570" t="b">
        <v>1</v>
      </c>
      <c r="P570" t="b">
        <v>0</v>
      </c>
      <c r="Q570" t="b">
        <v>1</v>
      </c>
    </row>
    <row r="571">
      <c r="A571" t="inlineStr">
        <is>
          <t>REQ00570</t>
        </is>
      </c>
      <c r="B571" t="inlineStr">
        <is>
          <t>21380065RGABN2NV2Y51</t>
        </is>
      </c>
      <c r="C571" t="inlineStr">
        <is>
          <t>document_refresh</t>
        </is>
      </c>
      <c r="D571" s="2" t="n">
        <v>46304.44861111111</v>
      </c>
      <c r="E571" s="2" t="n">
        <v>46307.57361111111</v>
      </c>
      <c r="F571" t="inlineStr">
        <is>
          <t>M3</t>
        </is>
      </c>
      <c r="G571" t="inlineStr">
        <is>
          <t>C2</t>
        </is>
      </c>
      <c r="H571" s="2" t="n">
        <v>46304.45902777778</v>
      </c>
      <c r="I571" s="2" t="n">
        <v>46304.55416666667</v>
      </c>
      <c r="J571" t="inlineStr">
        <is>
          <t>Completed</t>
        </is>
      </c>
      <c r="K571" t="n">
        <v>2.54</v>
      </c>
      <c r="L571" t="n">
        <v>12</v>
      </c>
      <c r="M571" t="b">
        <v>0</v>
      </c>
      <c r="N571" t="n">
        <v>0</v>
      </c>
      <c r="O571" t="b">
        <v>1</v>
      </c>
      <c r="P571" t="b">
        <v>0</v>
      </c>
      <c r="Q571" t="b">
        <v>1</v>
      </c>
    </row>
    <row r="572">
      <c r="A572" t="inlineStr">
        <is>
          <t>REQ00571</t>
        </is>
      </c>
      <c r="B572" t="inlineStr">
        <is>
          <t>984500V0BFB4B9576549</t>
        </is>
      </c>
      <c r="C572" t="inlineStr">
        <is>
          <t>document_refresh</t>
        </is>
      </c>
      <c r="D572" s="2" t="n">
        <v>46304.45625</v>
      </c>
      <c r="E572" s="2" t="n">
        <v>46307.58125</v>
      </c>
      <c r="F572" t="inlineStr">
        <is>
          <t>M6</t>
        </is>
      </c>
      <c r="G572" t="inlineStr">
        <is>
          <t>C2</t>
        </is>
      </c>
      <c r="H572" s="2" t="n">
        <v>46304.47152777778</v>
      </c>
      <c r="I572" s="2" t="n">
        <v>46304.47638888889</v>
      </c>
      <c r="J572" t="inlineStr">
        <is>
          <t>Completed</t>
        </is>
      </c>
      <c r="K572" t="n">
        <v>0.48</v>
      </c>
      <c r="L572" t="n">
        <v>12</v>
      </c>
      <c r="M572" t="b">
        <v>0</v>
      </c>
      <c r="N572" t="n">
        <v>0</v>
      </c>
      <c r="O572" t="b">
        <v>1</v>
      </c>
      <c r="P572" t="b">
        <v>0</v>
      </c>
      <c r="Q572" t="b">
        <v>0</v>
      </c>
    </row>
    <row r="573">
      <c r="A573" t="inlineStr">
        <is>
          <t>REQ00572</t>
        </is>
      </c>
      <c r="B573" t="inlineStr">
        <is>
          <t>635400BRLNJANKKUKA85</t>
        </is>
      </c>
      <c r="C573" t="inlineStr">
        <is>
          <t>signatory_change</t>
        </is>
      </c>
      <c r="D573" s="2" t="n">
        <v>46304.46319444444</v>
      </c>
      <c r="E573" s="2" t="n">
        <v>46307.42152777778</v>
      </c>
      <c r="F573" t="inlineStr">
        <is>
          <t>M1</t>
        </is>
      </c>
      <c r="G573" t="inlineStr">
        <is>
          <t>C2</t>
        </is>
      </c>
      <c r="H573" s="2" t="n">
        <v>46304.48333333333</v>
      </c>
      <c r="I573" s="2" t="n">
        <v>46304.49097222222</v>
      </c>
      <c r="J573" t="inlineStr">
        <is>
          <t>Completed</t>
        </is>
      </c>
      <c r="K573" t="n">
        <v>0.67</v>
      </c>
      <c r="L573" t="n">
        <v>8</v>
      </c>
      <c r="M573" t="b">
        <v>0</v>
      </c>
      <c r="N573" t="n">
        <v>0</v>
      </c>
      <c r="O573" t="b">
        <v>1</v>
      </c>
      <c r="P573" t="b">
        <v>0</v>
      </c>
      <c r="Q573" t="b">
        <v>0</v>
      </c>
    </row>
    <row r="574">
      <c r="A574" t="inlineStr">
        <is>
          <t>REQ00573</t>
        </is>
      </c>
      <c r="B574" t="inlineStr">
        <is>
          <t>213800ZKQSN185A9P563</t>
        </is>
      </c>
      <c r="C574" t="inlineStr">
        <is>
          <t>signatory_change</t>
        </is>
      </c>
      <c r="D574" s="2" t="n">
        <v>46304.47083333333</v>
      </c>
      <c r="E574" s="2" t="n">
        <v>46307.42916666667</v>
      </c>
      <c r="F574" t="inlineStr">
        <is>
          <t>M2</t>
        </is>
      </c>
      <c r="G574" t="inlineStr">
        <is>
          <t>C2</t>
        </is>
      </c>
      <c r="H574" s="2" t="n">
        <v>46304.4875</v>
      </c>
      <c r="I574" s="2" t="n">
        <v>46304.73125</v>
      </c>
      <c r="J574" t="inlineStr">
        <is>
          <t>Completed</t>
        </is>
      </c>
      <c r="K574" t="n">
        <v>6.26</v>
      </c>
      <c r="L574" t="n">
        <v>8</v>
      </c>
      <c r="M574" t="b">
        <v>0</v>
      </c>
      <c r="N574" t="n">
        <v>0</v>
      </c>
      <c r="O574" t="b">
        <v>1</v>
      </c>
      <c r="P574" t="b">
        <v>0</v>
      </c>
      <c r="Q574" t="b">
        <v>1</v>
      </c>
    </row>
    <row r="575">
      <c r="A575" t="inlineStr">
        <is>
          <t>REQ00574</t>
        </is>
      </c>
      <c r="B575" t="inlineStr">
        <is>
          <t>529900Z5AIT6U3X8BV50</t>
        </is>
      </c>
      <c r="C575" t="inlineStr">
        <is>
          <t>data_amendment</t>
        </is>
      </c>
      <c r="D575" s="2" t="n">
        <v>46304.47152777778</v>
      </c>
      <c r="E575" s="2" t="n">
        <v>46307.42986111111</v>
      </c>
      <c r="F575" t="inlineStr">
        <is>
          <t>M4</t>
        </is>
      </c>
      <c r="G575" t="inlineStr">
        <is>
          <t>C3</t>
        </is>
      </c>
      <c r="H575" s="2" t="n">
        <v>46304.48472222222</v>
      </c>
      <c r="I575" s="2" t="n">
        <v>46304.69166666667</v>
      </c>
      <c r="J575" t="inlineStr">
        <is>
          <t>Completed</t>
        </is>
      </c>
      <c r="K575" t="n">
        <v>5.28</v>
      </c>
      <c r="L575" t="n">
        <v>8</v>
      </c>
      <c r="M575" t="b">
        <v>0</v>
      </c>
      <c r="N575" t="n">
        <v>0</v>
      </c>
      <c r="O575" t="b">
        <v>1</v>
      </c>
      <c r="P575" t="b">
        <v>0</v>
      </c>
      <c r="Q575" t="b">
        <v>1</v>
      </c>
    </row>
    <row r="576">
      <c r="A576" t="inlineStr">
        <is>
          <t>REQ00575</t>
        </is>
      </c>
      <c r="B576" t="inlineStr">
        <is>
          <t>549300N6VJYJXUH6UJ26</t>
        </is>
      </c>
      <c r="C576" t="inlineStr">
        <is>
          <t>signatory_change</t>
        </is>
      </c>
      <c r="D576" s="2" t="n">
        <v>46304.47430555556</v>
      </c>
      <c r="E576" s="2" t="n">
        <v>46307.43263888889</v>
      </c>
      <c r="F576" t="inlineStr">
        <is>
          <t>M3</t>
        </is>
      </c>
      <c r="G576" t="inlineStr">
        <is>
          <t>C3</t>
        </is>
      </c>
      <c r="H576" s="2" t="n">
        <v>46304.49236111111</v>
      </c>
      <c r="I576" s="2" t="n">
        <v>46304.49861111111</v>
      </c>
      <c r="J576" t="inlineStr">
        <is>
          <t>Completed</t>
        </is>
      </c>
      <c r="K576" t="n">
        <v>0.58</v>
      </c>
      <c r="L576" t="n">
        <v>8</v>
      </c>
      <c r="M576" t="b">
        <v>0</v>
      </c>
      <c r="N576" t="n">
        <v>0</v>
      </c>
      <c r="O576" t="b">
        <v>1</v>
      </c>
      <c r="P576" t="b">
        <v>0</v>
      </c>
      <c r="Q576" t="b">
        <v>0</v>
      </c>
    </row>
    <row r="577">
      <c r="A577" t="inlineStr">
        <is>
          <t>REQ00576</t>
        </is>
      </c>
      <c r="B577" t="inlineStr">
        <is>
          <t>335800NXIDWQK3X1BF57</t>
        </is>
      </c>
      <c r="C577" t="inlineStr">
        <is>
          <t>document_refresh</t>
        </is>
      </c>
      <c r="D577" s="2" t="n">
        <v>46304.47708333333</v>
      </c>
      <c r="E577" s="2" t="n">
        <v>46307.60208333333</v>
      </c>
      <c r="F577" t="inlineStr">
        <is>
          <t>M5</t>
        </is>
      </c>
      <c r="G577" t="inlineStr">
        <is>
          <t>C3</t>
        </is>
      </c>
      <c r="H577" s="2" t="n">
        <v>46304.49027777778</v>
      </c>
      <c r="I577" s="2" t="n">
        <v>46304.72569444445</v>
      </c>
      <c r="J577" t="inlineStr">
        <is>
          <t>Completed</t>
        </is>
      </c>
      <c r="K577" t="n">
        <v>5.96</v>
      </c>
      <c r="L577" t="n">
        <v>12</v>
      </c>
      <c r="M577" t="b">
        <v>0</v>
      </c>
      <c r="N577" t="n">
        <v>0</v>
      </c>
      <c r="O577" t="b">
        <v>1</v>
      </c>
      <c r="P577" t="b">
        <v>0</v>
      </c>
      <c r="Q577" t="b">
        <v>1</v>
      </c>
    </row>
    <row r="578">
      <c r="A578" t="inlineStr">
        <is>
          <t>REQ00577</t>
        </is>
      </c>
      <c r="B578" t="inlineStr">
        <is>
          <t>894500TKV6QV6W477649</t>
        </is>
      </c>
      <c r="C578" t="inlineStr">
        <is>
          <t>document_refresh</t>
        </is>
      </c>
      <c r="D578" s="2" t="n">
        <v>46304.47708333333</v>
      </c>
      <c r="E578" s="2" t="n">
        <v>46307.60208333333</v>
      </c>
      <c r="F578" t="inlineStr">
        <is>
          <t>M6</t>
        </is>
      </c>
      <c r="G578" t="inlineStr">
        <is>
          <t>C2</t>
        </is>
      </c>
      <c r="H578" s="2" t="n">
        <v>46304.49444444444</v>
      </c>
      <c r="I578" s="2" t="n">
        <v>46304.50138888889</v>
      </c>
      <c r="J578" t="inlineStr">
        <is>
          <t>Completed</t>
        </is>
      </c>
      <c r="K578" t="n">
        <v>0.58</v>
      </c>
      <c r="L578" t="n">
        <v>12</v>
      </c>
      <c r="M578" t="b">
        <v>0</v>
      </c>
      <c r="N578" t="n">
        <v>0</v>
      </c>
      <c r="O578" t="b">
        <v>1</v>
      </c>
      <c r="P578" t="b">
        <v>0</v>
      </c>
      <c r="Q578" t="b">
        <v>0</v>
      </c>
    </row>
    <row r="579">
      <c r="A579" t="inlineStr">
        <is>
          <t>REQ00578</t>
        </is>
      </c>
      <c r="B579" t="inlineStr">
        <is>
          <t>335800ILMUBDEACZ3328</t>
        </is>
      </c>
      <c r="C579" t="inlineStr">
        <is>
          <t>signatory_change</t>
        </is>
      </c>
      <c r="D579" s="2" t="n">
        <v>46304.47916666666</v>
      </c>
      <c r="E579" s="2" t="n">
        <v>46307.4375</v>
      </c>
      <c r="F579" t="inlineStr">
        <is>
          <t>M1</t>
        </is>
      </c>
      <c r="G579" t="inlineStr">
        <is>
          <t>C3</t>
        </is>
      </c>
      <c r="H579" s="2" t="n">
        <v>46304.49861111111</v>
      </c>
      <c r="I579" s="2" t="n">
        <v>46304.50416666667</v>
      </c>
      <c r="J579" t="inlineStr">
        <is>
          <t>Completed</t>
        </is>
      </c>
      <c r="K579" t="n">
        <v>0.6</v>
      </c>
      <c r="L579" t="n">
        <v>8</v>
      </c>
      <c r="M579" t="b">
        <v>0</v>
      </c>
      <c r="N579" t="n">
        <v>0</v>
      </c>
      <c r="O579" t="b">
        <v>1</v>
      </c>
      <c r="P579" t="b">
        <v>0</v>
      </c>
      <c r="Q579" t="b">
        <v>0</v>
      </c>
    </row>
    <row r="580">
      <c r="A580" t="inlineStr">
        <is>
          <t>REQ00579</t>
        </is>
      </c>
      <c r="B580" t="inlineStr">
        <is>
          <t>967600DSEQ3W1GOU1U81</t>
        </is>
      </c>
      <c r="C580" t="inlineStr">
        <is>
          <t>document_refresh</t>
        </is>
      </c>
      <c r="D580" s="2" t="n">
        <v>46304.48680555556</v>
      </c>
      <c r="E580" s="2" t="n">
        <v>46307.61180555556</v>
      </c>
      <c r="F580" t="inlineStr">
        <is>
          <t>M4</t>
        </is>
      </c>
      <c r="G580" t="inlineStr">
        <is>
          <t>C1</t>
        </is>
      </c>
      <c r="H580" s="2" t="n">
        <v>46304.50347222222</v>
      </c>
      <c r="I580" s="2" t="n">
        <v>46304.64166666667</v>
      </c>
      <c r="J580" t="inlineStr">
        <is>
          <t>Completed</t>
        </is>
      </c>
      <c r="K580" t="n">
        <v>3.71</v>
      </c>
      <c r="L580" t="n">
        <v>12</v>
      </c>
      <c r="M580" t="b">
        <v>0</v>
      </c>
      <c r="N580" t="n">
        <v>0</v>
      </c>
      <c r="O580" t="b">
        <v>1</v>
      </c>
      <c r="P580" t="b">
        <v>0</v>
      </c>
      <c r="Q580" t="b">
        <v>1</v>
      </c>
    </row>
    <row r="581">
      <c r="A581" t="inlineStr">
        <is>
          <t>REQ00580</t>
        </is>
      </c>
      <c r="B581" t="inlineStr">
        <is>
          <t>984500DF8DBAB782CB96</t>
        </is>
      </c>
      <c r="C581" t="inlineStr">
        <is>
          <t>signatory_change</t>
        </is>
      </c>
      <c r="D581" s="2" t="n">
        <v>46304.48819444444</v>
      </c>
      <c r="E581" s="2" t="n">
        <v>46307.44652777778</v>
      </c>
      <c r="F581" t="inlineStr">
        <is>
          <t>M2</t>
        </is>
      </c>
      <c r="G581" t="inlineStr">
        <is>
          <t>C2</t>
        </is>
      </c>
      <c r="H581" s="2" t="n">
        <v>46304.51111111111</v>
      </c>
      <c r="I581" s="2" t="n">
        <v>46304.70555555556</v>
      </c>
      <c r="J581" t="inlineStr">
        <is>
          <t>Completed</t>
        </is>
      </c>
      <c r="K581" t="n">
        <v>5.21</v>
      </c>
      <c r="L581" t="n">
        <v>8</v>
      </c>
      <c r="M581" t="b">
        <v>0</v>
      </c>
      <c r="N581" t="n">
        <v>0</v>
      </c>
      <c r="O581" t="b">
        <v>1</v>
      </c>
      <c r="P581" t="b">
        <v>0</v>
      </c>
      <c r="Q581" t="b">
        <v>1</v>
      </c>
    </row>
    <row r="582">
      <c r="A582" t="inlineStr">
        <is>
          <t>REQ00581</t>
        </is>
      </c>
      <c r="B582" t="inlineStr">
        <is>
          <t>335800CKP324UKCYWC06</t>
        </is>
      </c>
      <c r="C582" t="inlineStr">
        <is>
          <t>new_account</t>
        </is>
      </c>
      <c r="D582" s="2" t="n">
        <v>46304.48819444444</v>
      </c>
      <c r="E582" s="2" t="n">
        <v>46308.40486111111</v>
      </c>
      <c r="F582" t="inlineStr">
        <is>
          <t>M5</t>
        </is>
      </c>
      <c r="G582" t="inlineStr">
        <is>
          <t>C3</t>
        </is>
      </c>
      <c r="H582" s="2" t="n">
        <v>46304.51597222222</v>
      </c>
      <c r="I582" s="2" t="n">
        <v>46304.67777777778</v>
      </c>
      <c r="J582" t="inlineStr">
        <is>
          <t>Completed</t>
        </is>
      </c>
      <c r="K582" t="n">
        <v>4.54</v>
      </c>
      <c r="L582" t="n">
        <v>16</v>
      </c>
      <c r="M582" t="b">
        <v>0</v>
      </c>
      <c r="N582" t="n">
        <v>0</v>
      </c>
      <c r="O582" t="b">
        <v>1</v>
      </c>
      <c r="P582" t="b">
        <v>0</v>
      </c>
      <c r="Q582" t="b">
        <v>1</v>
      </c>
    </row>
    <row r="583">
      <c r="A583" t="inlineStr">
        <is>
          <t>REQ00582</t>
        </is>
      </c>
      <c r="B583" t="inlineStr">
        <is>
          <t>98450039EBGF5372E345</t>
        </is>
      </c>
      <c r="C583" t="inlineStr">
        <is>
          <t>signatory_change</t>
        </is>
      </c>
      <c r="D583" s="2" t="n">
        <v>46304.48888888889</v>
      </c>
      <c r="E583" s="2" t="n">
        <v>46307.44722222222</v>
      </c>
      <c r="F583" t="inlineStr">
        <is>
          <t>M3</t>
        </is>
      </c>
      <c r="G583" t="inlineStr">
        <is>
          <t>C3</t>
        </is>
      </c>
      <c r="H583" s="2" t="n">
        <v>46304.50902777778</v>
      </c>
      <c r="I583" s="2" t="n">
        <v>46304.51527777778</v>
      </c>
      <c r="J583" t="inlineStr">
        <is>
          <t>Completed</t>
        </is>
      </c>
      <c r="K583" t="n">
        <v>0.63</v>
      </c>
      <c r="L583" t="n">
        <v>8</v>
      </c>
      <c r="M583" t="b">
        <v>0</v>
      </c>
      <c r="N583" t="n">
        <v>0</v>
      </c>
      <c r="O583" t="b">
        <v>1</v>
      </c>
      <c r="P583" t="b">
        <v>0</v>
      </c>
      <c r="Q583" t="b">
        <v>0</v>
      </c>
    </row>
    <row r="584">
      <c r="A584" t="inlineStr">
        <is>
          <t>REQ00583</t>
        </is>
      </c>
      <c r="B584" t="inlineStr">
        <is>
          <t>254900UO2OOCSR6XM483</t>
        </is>
      </c>
      <c r="C584" t="inlineStr">
        <is>
          <t>document_refresh</t>
        </is>
      </c>
      <c r="D584" s="2" t="n">
        <v>46304.49236111111</v>
      </c>
      <c r="E584" s="2" t="n">
        <v>46307.61736111111</v>
      </c>
      <c r="F584" t="inlineStr">
        <is>
          <t>M6</t>
        </is>
      </c>
      <c r="G584" t="inlineStr">
        <is>
          <t>C2</t>
        </is>
      </c>
      <c r="H584" s="2" t="n">
        <v>46304.50555555556</v>
      </c>
      <c r="I584" s="2" t="n">
        <v>46304.51111111111</v>
      </c>
      <c r="J584" t="inlineStr">
        <is>
          <t>Completed</t>
        </is>
      </c>
      <c r="K584" t="n">
        <v>0.44</v>
      </c>
      <c r="L584" t="n">
        <v>12</v>
      </c>
      <c r="M584" t="b">
        <v>0</v>
      </c>
      <c r="N584" t="n">
        <v>0</v>
      </c>
      <c r="O584" t="b">
        <v>1</v>
      </c>
      <c r="P584" t="b">
        <v>0</v>
      </c>
      <c r="Q584" t="b">
        <v>0</v>
      </c>
    </row>
    <row r="585">
      <c r="A585" t="inlineStr">
        <is>
          <t>REQ00584</t>
        </is>
      </c>
      <c r="B585" t="inlineStr">
        <is>
          <t>254900R70PWHSEH87O95</t>
        </is>
      </c>
      <c r="C585" t="inlineStr">
        <is>
          <t>document_refresh</t>
        </is>
      </c>
      <c r="D585" s="2" t="n">
        <v>46304.50208333333</v>
      </c>
      <c r="E585" s="2" t="n">
        <v>46307.62708333333</v>
      </c>
      <c r="F585" t="inlineStr">
        <is>
          <t>M1</t>
        </is>
      </c>
      <c r="G585" t="inlineStr">
        <is>
          <t>C2</t>
        </is>
      </c>
      <c r="H585" s="2" t="n">
        <v>46304.51319444444</v>
      </c>
      <c r="I585" s="2" t="n">
        <v>46304.52083333334</v>
      </c>
      <c r="J585" t="inlineStr">
        <is>
          <t>Completed</t>
        </is>
      </c>
      <c r="K585" t="n">
        <v>0.44</v>
      </c>
      <c r="L585" t="n">
        <v>12</v>
      </c>
      <c r="M585" t="b">
        <v>0</v>
      </c>
      <c r="N585" t="n">
        <v>0</v>
      </c>
      <c r="O585" t="b">
        <v>1</v>
      </c>
      <c r="P585" t="b">
        <v>0</v>
      </c>
      <c r="Q585" t="b">
        <v>0</v>
      </c>
    </row>
    <row r="586">
      <c r="A586" t="inlineStr">
        <is>
          <t>REQ00585</t>
        </is>
      </c>
      <c r="B586" t="inlineStr">
        <is>
          <t>549300DJ4AGH0TEMN385</t>
        </is>
      </c>
      <c r="C586" t="inlineStr">
        <is>
          <t>data_amendment</t>
        </is>
      </c>
      <c r="D586" s="2" t="n">
        <v>46304.50486111111</v>
      </c>
      <c r="E586" s="2" t="n">
        <v>46307.46319444444</v>
      </c>
      <c r="F586" t="inlineStr">
        <is>
          <t>M4</t>
        </is>
      </c>
      <c r="G586" t="inlineStr">
        <is>
          <t>C1</t>
        </is>
      </c>
      <c r="H586" s="2" t="n">
        <v>46304.51388888889</v>
      </c>
      <c r="I586" s="2" t="n">
        <v>46304.74791666667</v>
      </c>
      <c r="J586" t="inlineStr">
        <is>
          <t>Completed</t>
        </is>
      </c>
      <c r="K586" t="n">
        <v>5.83</v>
      </c>
      <c r="L586" t="n">
        <v>8</v>
      </c>
      <c r="M586" t="b">
        <v>0</v>
      </c>
      <c r="N586" t="n">
        <v>0</v>
      </c>
      <c r="O586" t="b">
        <v>1</v>
      </c>
      <c r="P586" t="b">
        <v>0</v>
      </c>
      <c r="Q586" t="b">
        <v>1</v>
      </c>
    </row>
    <row r="587">
      <c r="A587" t="inlineStr">
        <is>
          <t>REQ00586</t>
        </is>
      </c>
      <c r="B587" t="inlineStr">
        <is>
          <t>254900OV88MY8MY12T20</t>
        </is>
      </c>
      <c r="C587" t="inlineStr">
        <is>
          <t>new_account</t>
        </is>
      </c>
      <c r="D587" s="2" t="n">
        <v>46304.51458333333</v>
      </c>
      <c r="E587" s="2" t="n">
        <v>46308.43125</v>
      </c>
      <c r="F587" t="inlineStr">
        <is>
          <t>M6</t>
        </is>
      </c>
      <c r="G587" t="inlineStr">
        <is>
          <t>C3</t>
        </is>
      </c>
      <c r="H587" s="2" t="n">
        <v>46304.55138888889</v>
      </c>
      <c r="I587" s="2" t="n">
        <v>46304.5625</v>
      </c>
      <c r="J587" t="inlineStr">
        <is>
          <t>Completed</t>
        </is>
      </c>
      <c r="K587" t="n">
        <v>1.15</v>
      </c>
      <c r="L587" t="n">
        <v>16</v>
      </c>
      <c r="M587" t="b">
        <v>0</v>
      </c>
      <c r="N587" t="n">
        <v>0</v>
      </c>
      <c r="O587" t="b">
        <v>1</v>
      </c>
      <c r="P587" t="b">
        <v>0</v>
      </c>
      <c r="Q587" t="b">
        <v>0</v>
      </c>
    </row>
    <row r="588">
      <c r="A588" t="inlineStr">
        <is>
          <t>REQ00587</t>
        </is>
      </c>
      <c r="B588" t="inlineStr">
        <is>
          <t>529900HV35G1EO172U83</t>
        </is>
      </c>
      <c r="C588" t="inlineStr">
        <is>
          <t>new_account</t>
        </is>
      </c>
      <c r="D588" s="2" t="n">
        <v>46304.51805555556</v>
      </c>
      <c r="E588" s="2" t="n">
        <v>46308.43472222222</v>
      </c>
      <c r="F588" t="inlineStr">
        <is>
          <t>M3</t>
        </is>
      </c>
      <c r="G588" t="inlineStr">
        <is>
          <t>C2</t>
        </is>
      </c>
      <c r="H588" s="2" t="n">
        <v>46304.55555555555</v>
      </c>
      <c r="I588" s="2" t="n">
        <v>46304.67152777778</v>
      </c>
      <c r="J588" t="inlineStr">
        <is>
          <t>Completed</t>
        </is>
      </c>
      <c r="K588" t="n">
        <v>3.69</v>
      </c>
      <c r="L588" t="n">
        <v>16</v>
      </c>
      <c r="M588" t="b">
        <v>0</v>
      </c>
      <c r="N588" t="n">
        <v>0</v>
      </c>
      <c r="O588" t="b">
        <v>1</v>
      </c>
      <c r="P588" t="b">
        <v>0</v>
      </c>
      <c r="Q588" t="b">
        <v>1</v>
      </c>
    </row>
    <row r="589">
      <c r="A589" t="inlineStr">
        <is>
          <t>REQ00588</t>
        </is>
      </c>
      <c r="B589" t="inlineStr">
        <is>
          <t>529900FK94RFSKC24Y17</t>
        </is>
      </c>
      <c r="C589" t="inlineStr">
        <is>
          <t>signatory_change</t>
        </is>
      </c>
      <c r="D589" s="2" t="n">
        <v>46304.51805555556</v>
      </c>
      <c r="E589" s="2" t="n">
        <v>46307.47638888889</v>
      </c>
      <c r="F589" t="inlineStr">
        <is>
          <t>M2</t>
        </is>
      </c>
      <c r="G589" t="inlineStr">
        <is>
          <t>C3</t>
        </is>
      </c>
      <c r="H589" s="2" t="n">
        <v>46304.54513888889</v>
      </c>
      <c r="I589" s="2" t="n">
        <v>46307.43402777778</v>
      </c>
      <c r="J589" t="inlineStr">
        <is>
          <t>Completed</t>
        </is>
      </c>
      <c r="K589" t="n">
        <v>6.99</v>
      </c>
      <c r="L589" t="n">
        <v>8</v>
      </c>
      <c r="M589" t="b">
        <v>0</v>
      </c>
      <c r="N589" t="n">
        <v>1</v>
      </c>
      <c r="O589" t="b">
        <v>0</v>
      </c>
      <c r="P589" t="b">
        <v>1</v>
      </c>
      <c r="Q589" t="b">
        <v>1</v>
      </c>
    </row>
    <row r="590">
      <c r="A590" t="inlineStr">
        <is>
          <t>REQ00589</t>
        </is>
      </c>
      <c r="B590" t="inlineStr">
        <is>
          <t>724500AFF8IFEA2C7Z65</t>
        </is>
      </c>
      <c r="C590" t="inlineStr">
        <is>
          <t>document_refresh</t>
        </is>
      </c>
      <c r="D590" s="2" t="n">
        <v>46304.52361111111</v>
      </c>
      <c r="E590" s="2" t="n">
        <v>46307.64861111111</v>
      </c>
      <c r="F590" t="inlineStr">
        <is>
          <t>M1</t>
        </is>
      </c>
      <c r="G590" t="inlineStr">
        <is>
          <t>C1</t>
        </is>
      </c>
      <c r="H590" s="2" t="n">
        <v>46304.53680555556</v>
      </c>
      <c r="I590" s="2" t="n">
        <v>46304.54375</v>
      </c>
      <c r="J590" t="inlineStr">
        <is>
          <t>Completed</t>
        </is>
      </c>
      <c r="K590" t="n">
        <v>0.48</v>
      </c>
      <c r="L590" t="n">
        <v>12</v>
      </c>
      <c r="M590" t="b">
        <v>0</v>
      </c>
      <c r="N590" t="n">
        <v>0</v>
      </c>
      <c r="O590" t="b">
        <v>1</v>
      </c>
      <c r="P590" t="b">
        <v>0</v>
      </c>
      <c r="Q590" t="b">
        <v>0</v>
      </c>
    </row>
    <row r="591">
      <c r="A591" t="inlineStr">
        <is>
          <t>REQ00590</t>
        </is>
      </c>
      <c r="B591" t="inlineStr">
        <is>
          <t>549300ZSJV46CLXAT585</t>
        </is>
      </c>
      <c r="C591" t="inlineStr">
        <is>
          <t>new_account</t>
        </is>
      </c>
      <c r="D591" s="2" t="n">
        <v>46304.52847222222</v>
      </c>
      <c r="E591" s="2" t="n">
        <v>46308.44513888889</v>
      </c>
      <c r="F591" t="inlineStr">
        <is>
          <t>M4</t>
        </is>
      </c>
      <c r="G591" t="inlineStr">
        <is>
          <t>C3</t>
        </is>
      </c>
      <c r="H591" s="2" t="n">
        <v>46304.56388888889</v>
      </c>
      <c r="I591" s="2" t="n">
        <v>46307.37986111111</v>
      </c>
      <c r="J591" t="inlineStr">
        <is>
          <t>Completed</t>
        </is>
      </c>
      <c r="K591" t="n">
        <v>5.43</v>
      </c>
      <c r="L591" t="n">
        <v>16</v>
      </c>
      <c r="M591" t="b">
        <v>0</v>
      </c>
      <c r="N591" t="n">
        <v>0</v>
      </c>
      <c r="O591" t="b">
        <v>1</v>
      </c>
      <c r="P591" t="b">
        <v>0</v>
      </c>
      <c r="Q591" t="b">
        <v>1</v>
      </c>
    </row>
    <row r="592">
      <c r="A592" t="inlineStr">
        <is>
          <t>REQ00591</t>
        </is>
      </c>
      <c r="B592" t="inlineStr">
        <is>
          <t>5493000IIWI55N9TSN21</t>
        </is>
      </c>
      <c r="C592" t="inlineStr">
        <is>
          <t>data_amendment</t>
        </is>
      </c>
      <c r="D592" s="2" t="n">
        <v>46304.52916666667</v>
      </c>
      <c r="E592" s="2" t="n">
        <v>46307.4875</v>
      </c>
      <c r="F592" t="inlineStr">
        <is>
          <t>M5</t>
        </is>
      </c>
      <c r="G592" t="inlineStr">
        <is>
          <t>C2</t>
        </is>
      </c>
      <c r="H592" s="2" t="n">
        <v>46304.54097222222</v>
      </c>
      <c r="I592" s="2" t="n">
        <v>46304.54791666667</v>
      </c>
      <c r="J592" t="inlineStr">
        <is>
          <t>Completed</t>
        </is>
      </c>
      <c r="K592" t="n">
        <v>0.45</v>
      </c>
      <c r="L592" t="n">
        <v>8</v>
      </c>
      <c r="M592" t="b">
        <v>0</v>
      </c>
      <c r="N592" t="n">
        <v>0</v>
      </c>
      <c r="O592" t="b">
        <v>1</v>
      </c>
      <c r="P592" t="b">
        <v>0</v>
      </c>
      <c r="Q592" t="b">
        <v>0</v>
      </c>
    </row>
    <row r="593">
      <c r="A593" t="inlineStr">
        <is>
          <t>REQ00592</t>
        </is>
      </c>
      <c r="B593" t="inlineStr">
        <is>
          <t>98450001C83AHWLE4E03</t>
        </is>
      </c>
      <c r="C593" t="inlineStr">
        <is>
          <t>document_refresh</t>
        </is>
      </c>
      <c r="D593" s="2" t="n">
        <v>46304.53263888889</v>
      </c>
      <c r="E593" s="2" t="n">
        <v>46307.65763888889</v>
      </c>
      <c r="F593" t="inlineStr">
        <is>
          <t>M1</t>
        </is>
      </c>
      <c r="G593" t="inlineStr">
        <is>
          <t>C1</t>
        </is>
      </c>
      <c r="H593" s="2" t="n">
        <v>46304.54791666667</v>
      </c>
      <c r="I593" s="2" t="n">
        <v>46304.55694444444</v>
      </c>
      <c r="J593" t="inlineStr">
        <is>
          <t>Completed</t>
        </is>
      </c>
      <c r="K593" t="n">
        <v>0.59</v>
      </c>
      <c r="L593" t="n">
        <v>12</v>
      </c>
      <c r="M593" t="b">
        <v>0</v>
      </c>
      <c r="N593" t="n">
        <v>0</v>
      </c>
      <c r="O593" t="b">
        <v>1</v>
      </c>
      <c r="P593" t="b">
        <v>0</v>
      </c>
      <c r="Q593" t="b">
        <v>0</v>
      </c>
    </row>
    <row r="594">
      <c r="A594" t="inlineStr">
        <is>
          <t>REQ00593</t>
        </is>
      </c>
      <c r="B594" t="inlineStr">
        <is>
          <t>9845005XG12AE1A3A450</t>
        </is>
      </c>
      <c r="C594" t="inlineStr">
        <is>
          <t>signatory_change</t>
        </is>
      </c>
      <c r="D594" s="2" t="n">
        <v>46304.54236111111</v>
      </c>
      <c r="E594" s="2" t="n">
        <v>46307.50069444445</v>
      </c>
      <c r="F594" t="inlineStr">
        <is>
          <t>M5</t>
        </is>
      </c>
      <c r="G594" t="inlineStr">
        <is>
          <t>C3</t>
        </is>
      </c>
      <c r="H594" s="2" t="n">
        <v>46304.56875</v>
      </c>
      <c r="I594" s="2" t="n">
        <v>46304.65902777778</v>
      </c>
      <c r="J594" t="inlineStr">
        <is>
          <t>Completed</t>
        </is>
      </c>
      <c r="K594" t="n">
        <v>2.8</v>
      </c>
      <c r="L594" t="n">
        <v>8</v>
      </c>
      <c r="M594" t="b">
        <v>0</v>
      </c>
      <c r="N594" t="n">
        <v>0</v>
      </c>
      <c r="O594" t="b">
        <v>1</v>
      </c>
      <c r="P594" t="b">
        <v>0</v>
      </c>
      <c r="Q594" t="b">
        <v>1</v>
      </c>
    </row>
    <row r="595">
      <c r="A595" t="inlineStr">
        <is>
          <t>REQ00594</t>
        </is>
      </c>
      <c r="B595" t="inlineStr">
        <is>
          <t>98450001C83AHWLE4E03</t>
        </is>
      </c>
      <c r="C595" t="inlineStr">
        <is>
          <t>data_amendment</t>
        </is>
      </c>
      <c r="D595" s="2" t="n">
        <v>46304.54305555556</v>
      </c>
      <c r="E595" s="2" t="n">
        <v>46307.50138888889</v>
      </c>
      <c r="F595" t="inlineStr">
        <is>
          <t>M2</t>
        </is>
      </c>
      <c r="G595" t="inlineStr">
        <is>
          <t>C1</t>
        </is>
      </c>
      <c r="H595" s="2" t="n">
        <v>46304.55416666667</v>
      </c>
      <c r="I595" s="2" t="n">
        <v>46304.56111111111</v>
      </c>
      <c r="J595" t="inlineStr">
        <is>
          <t>Completed</t>
        </is>
      </c>
      <c r="K595" t="n">
        <v>0.43</v>
      </c>
      <c r="L595" t="n">
        <v>8</v>
      </c>
      <c r="M595" t="b">
        <v>0</v>
      </c>
      <c r="N595" t="n">
        <v>0</v>
      </c>
      <c r="O595" t="b">
        <v>1</v>
      </c>
      <c r="P595" t="b">
        <v>0</v>
      </c>
      <c r="Q595" t="b">
        <v>0</v>
      </c>
    </row>
    <row r="596">
      <c r="A596" t="inlineStr">
        <is>
          <t>REQ00595</t>
        </is>
      </c>
      <c r="B596" t="inlineStr">
        <is>
          <t>6354002QMLYRFBNBZO30</t>
        </is>
      </c>
      <c r="C596" t="inlineStr">
        <is>
          <t>document_refresh</t>
        </is>
      </c>
      <c r="D596" s="2" t="n">
        <v>46304.54861111111</v>
      </c>
      <c r="E596" s="2" t="n">
        <v>46307.67361111111</v>
      </c>
      <c r="F596" t="inlineStr">
        <is>
          <t>M1</t>
        </is>
      </c>
      <c r="G596" t="inlineStr">
        <is>
          <t>C3</t>
        </is>
      </c>
      <c r="H596" s="2" t="n">
        <v>46304.56319444445</v>
      </c>
      <c r="I596" s="2" t="n">
        <v>46307.41041666667</v>
      </c>
      <c r="J596" t="inlineStr">
        <is>
          <t>Completed</t>
        </is>
      </c>
      <c r="K596" t="n">
        <v>5.69</v>
      </c>
      <c r="L596" t="n">
        <v>12</v>
      </c>
      <c r="M596" t="b">
        <v>0</v>
      </c>
      <c r="N596" t="n">
        <v>0</v>
      </c>
      <c r="O596" t="b">
        <v>1</v>
      </c>
      <c r="P596" t="b">
        <v>0</v>
      </c>
      <c r="Q596" t="b">
        <v>1</v>
      </c>
    </row>
    <row r="597">
      <c r="A597" t="inlineStr">
        <is>
          <t>REQ00596</t>
        </is>
      </c>
      <c r="B597" t="inlineStr">
        <is>
          <t>213800I53WXH9ZH4TC26</t>
        </is>
      </c>
      <c r="C597" t="inlineStr">
        <is>
          <t>document_refresh</t>
        </is>
      </c>
      <c r="D597" s="2" t="n">
        <v>46304.55625</v>
      </c>
      <c r="E597" s="2" t="n">
        <v>46307.68125</v>
      </c>
      <c r="F597" t="inlineStr">
        <is>
          <t>M6</t>
        </is>
      </c>
      <c r="G597" t="inlineStr">
        <is>
          <t>C3</t>
        </is>
      </c>
      <c r="H597" s="2" t="n">
        <v>46304.56944444445</v>
      </c>
      <c r="I597" s="2" t="n">
        <v>46304.74375</v>
      </c>
      <c r="J597" t="inlineStr">
        <is>
          <t>Completed</t>
        </is>
      </c>
      <c r="K597" t="n">
        <v>4.5</v>
      </c>
      <c r="L597" t="n">
        <v>12</v>
      </c>
      <c r="M597" t="b">
        <v>0</v>
      </c>
      <c r="N597" t="n">
        <v>0</v>
      </c>
      <c r="O597" t="b">
        <v>1</v>
      </c>
      <c r="P597" t="b">
        <v>0</v>
      </c>
      <c r="Q597" t="b">
        <v>1</v>
      </c>
    </row>
    <row r="598">
      <c r="A598" t="inlineStr">
        <is>
          <t>REQ00597</t>
        </is>
      </c>
      <c r="B598" t="inlineStr">
        <is>
          <t>254900D8TKIMSNY0EM03</t>
        </is>
      </c>
      <c r="C598" t="inlineStr">
        <is>
          <t>signatory_change</t>
        </is>
      </c>
      <c r="D598" s="2" t="n">
        <v>46304.55763888889</v>
      </c>
      <c r="E598" s="2" t="n">
        <v>46307.51597222222</v>
      </c>
      <c r="F598" t="inlineStr">
        <is>
          <t>M2</t>
        </is>
      </c>
      <c r="G598" t="inlineStr">
        <is>
          <t>C3</t>
        </is>
      </c>
      <c r="H598" s="2" t="n">
        <v>46304.575</v>
      </c>
      <c r="I598" s="2" t="n">
        <v>46307.425</v>
      </c>
      <c r="J598" t="inlineStr">
        <is>
          <t>Completed</t>
        </is>
      </c>
      <c r="K598" t="n">
        <v>5.81</v>
      </c>
      <c r="L598" t="n">
        <v>8</v>
      </c>
      <c r="M598" t="b">
        <v>0</v>
      </c>
      <c r="N598" t="n">
        <v>0</v>
      </c>
      <c r="O598" t="b">
        <v>1</v>
      </c>
      <c r="P598" t="b">
        <v>0</v>
      </c>
      <c r="Q598" t="b">
        <v>1</v>
      </c>
    </row>
    <row r="599">
      <c r="A599" t="inlineStr">
        <is>
          <t>REQ00598</t>
        </is>
      </c>
      <c r="B599" t="inlineStr">
        <is>
          <t>967600CAVUCJZSJL5B04</t>
        </is>
      </c>
      <c r="C599" t="inlineStr">
        <is>
          <t>data_amendment</t>
        </is>
      </c>
      <c r="D599" s="2" t="n">
        <v>46304.56597222222</v>
      </c>
      <c r="E599" s="2" t="n">
        <v>46307.52430555555</v>
      </c>
      <c r="F599" t="inlineStr">
        <is>
          <t>M3</t>
        </is>
      </c>
      <c r="G599" t="inlineStr">
        <is>
          <t>C3</t>
        </is>
      </c>
      <c r="H599" s="2" t="n">
        <v>46304.57777777778</v>
      </c>
      <c r="I599" s="2" t="n">
        <v>46304.58194444444</v>
      </c>
      <c r="J599" t="inlineStr">
        <is>
          <t>Completed</t>
        </is>
      </c>
      <c r="K599" t="n">
        <v>0.38</v>
      </c>
      <c r="L599" t="n">
        <v>8</v>
      </c>
      <c r="M599" t="b">
        <v>0</v>
      </c>
      <c r="N599" t="n">
        <v>0</v>
      </c>
      <c r="O599" t="b">
        <v>1</v>
      </c>
      <c r="P599" t="b">
        <v>0</v>
      </c>
      <c r="Q599" t="b">
        <v>0</v>
      </c>
    </row>
    <row r="600">
      <c r="A600" t="inlineStr">
        <is>
          <t>REQ00599</t>
        </is>
      </c>
      <c r="B600" t="inlineStr">
        <is>
          <t>213800PNW7OVQJBZ2570</t>
        </is>
      </c>
      <c r="C600" t="inlineStr">
        <is>
          <t>data_amendment</t>
        </is>
      </c>
      <c r="D600" s="2" t="n">
        <v>46304.57013888889</v>
      </c>
      <c r="E600" s="2" t="n">
        <v>46307.52847222222</v>
      </c>
      <c r="F600" t="inlineStr">
        <is>
          <t>M1</t>
        </is>
      </c>
      <c r="G600" t="inlineStr">
        <is>
          <t>C2</t>
        </is>
      </c>
      <c r="H600" s="2" t="n">
        <v>46304.58263888889</v>
      </c>
      <c r="I600" s="2" t="n">
        <v>46304.68472222222</v>
      </c>
      <c r="J600" t="inlineStr">
        <is>
          <t>Completed</t>
        </is>
      </c>
      <c r="K600" t="n">
        <v>2.75</v>
      </c>
      <c r="L600" t="n">
        <v>8</v>
      </c>
      <c r="M600" t="b">
        <v>0</v>
      </c>
      <c r="N600" t="n">
        <v>1</v>
      </c>
      <c r="O600" t="b">
        <v>0</v>
      </c>
      <c r="P600" t="b">
        <v>1</v>
      </c>
      <c r="Q600" t="b">
        <v>1</v>
      </c>
    </row>
    <row r="601">
      <c r="A601" t="inlineStr">
        <is>
          <t>REQ00600</t>
        </is>
      </c>
      <c r="B601" t="inlineStr">
        <is>
          <t>254900EXEVRFUPDG8A44</t>
        </is>
      </c>
      <c r="C601" t="inlineStr">
        <is>
          <t>data_amendment</t>
        </is>
      </c>
      <c r="D601" s="2" t="n">
        <v>46304.57152777778</v>
      </c>
      <c r="E601" s="2" t="n">
        <v>46307.52986111111</v>
      </c>
      <c r="F601" t="inlineStr">
        <is>
          <t>M4</t>
        </is>
      </c>
      <c r="G601" t="inlineStr">
        <is>
          <t>C2</t>
        </is>
      </c>
      <c r="H601" s="2" t="n">
        <v>46304.58194444444</v>
      </c>
      <c r="I601" s="2" t="n">
        <v>46307.37569444445</v>
      </c>
      <c r="J601" t="inlineStr">
        <is>
          <t>Completed</t>
        </is>
      </c>
      <c r="K601" t="n">
        <v>4.3</v>
      </c>
      <c r="L601" t="n">
        <v>8</v>
      </c>
      <c r="M601" t="b">
        <v>0</v>
      </c>
      <c r="N601" t="n">
        <v>0</v>
      </c>
      <c r="O601" t="b">
        <v>1</v>
      </c>
      <c r="P601" t="b">
        <v>0</v>
      </c>
      <c r="Q601" t="b">
        <v>1</v>
      </c>
    </row>
    <row r="602">
      <c r="A602" t="inlineStr">
        <is>
          <t>REQ00601</t>
        </is>
      </c>
      <c r="B602" t="inlineStr">
        <is>
          <t>529900WC0LESEODR7A83</t>
        </is>
      </c>
      <c r="C602" t="inlineStr">
        <is>
          <t>signatory_change</t>
        </is>
      </c>
      <c r="D602" s="2" t="n">
        <v>46304.57222222222</v>
      </c>
      <c r="E602" s="2" t="n">
        <v>46307.53055555555</v>
      </c>
      <c r="F602" t="inlineStr">
        <is>
          <t>M5</t>
        </is>
      </c>
      <c r="G602" t="inlineStr">
        <is>
          <t>C2</t>
        </is>
      </c>
      <c r="H602" s="2" t="n">
        <v>46304.59305555555</v>
      </c>
      <c r="I602" s="2" t="n">
        <v>46304.59791666667</v>
      </c>
      <c r="J602" t="inlineStr">
        <is>
          <t>Completed</t>
        </is>
      </c>
      <c r="K602" t="n">
        <v>0.62</v>
      </c>
      <c r="L602" t="n">
        <v>8</v>
      </c>
      <c r="M602" t="b">
        <v>0</v>
      </c>
      <c r="N602" t="n">
        <v>0</v>
      </c>
      <c r="O602" t="b">
        <v>1</v>
      </c>
      <c r="P602" t="b">
        <v>0</v>
      </c>
      <c r="Q602" t="b">
        <v>0</v>
      </c>
    </row>
    <row r="603">
      <c r="A603" t="inlineStr">
        <is>
          <t>REQ00602</t>
        </is>
      </c>
      <c r="B603" t="inlineStr">
        <is>
          <t>391200SUUUGX30VK7047</t>
        </is>
      </c>
      <c r="C603" t="inlineStr">
        <is>
          <t>document_refresh</t>
        </is>
      </c>
      <c r="D603" s="2" t="n">
        <v>46304.57291666666</v>
      </c>
      <c r="E603" s="2" t="n">
        <v>46307.69791666666</v>
      </c>
      <c r="F603" t="inlineStr">
        <is>
          <t>M6</t>
        </is>
      </c>
      <c r="G603" t="inlineStr">
        <is>
          <t>C1</t>
        </is>
      </c>
      <c r="H603" s="2" t="n">
        <v>46304.58611111111</v>
      </c>
      <c r="I603" s="2" t="n">
        <v>46304.72222222222</v>
      </c>
      <c r="J603" t="inlineStr">
        <is>
          <t>Completed</t>
        </is>
      </c>
      <c r="K603" t="n">
        <v>3.59</v>
      </c>
      <c r="L603" t="n">
        <v>12</v>
      </c>
      <c r="M603" t="b">
        <v>0</v>
      </c>
      <c r="N603" t="n">
        <v>0</v>
      </c>
      <c r="O603" t="b">
        <v>1</v>
      </c>
      <c r="P603" t="b">
        <v>0</v>
      </c>
      <c r="Q603" t="b">
        <v>1</v>
      </c>
    </row>
    <row r="604">
      <c r="A604" t="inlineStr">
        <is>
          <t>REQ00603</t>
        </is>
      </c>
      <c r="B604" t="inlineStr">
        <is>
          <t>969500G2KGUZGD2KCU65</t>
        </is>
      </c>
      <c r="C604" t="inlineStr">
        <is>
          <t>document_refresh</t>
        </is>
      </c>
      <c r="D604" s="2" t="n">
        <v>46304.58055555556</v>
      </c>
      <c r="E604" s="2" t="n">
        <v>46307.70555555556</v>
      </c>
      <c r="F604" t="inlineStr">
        <is>
          <t>M2</t>
        </is>
      </c>
      <c r="G604" t="inlineStr">
        <is>
          <t>C3</t>
        </is>
      </c>
      <c r="H604" s="2" t="n">
        <v>46304.59791666667</v>
      </c>
      <c r="I604" s="2" t="n">
        <v>46304.6875</v>
      </c>
      <c r="J604" t="inlineStr">
        <is>
          <t>Completed</t>
        </is>
      </c>
      <c r="K604" t="n">
        <v>2.57</v>
      </c>
      <c r="L604" t="n">
        <v>12</v>
      </c>
      <c r="M604" t="b">
        <v>0</v>
      </c>
      <c r="N604" t="n">
        <v>0</v>
      </c>
      <c r="O604" t="b">
        <v>1</v>
      </c>
      <c r="P604" t="b">
        <v>0</v>
      </c>
      <c r="Q604" t="b">
        <v>1</v>
      </c>
    </row>
    <row r="605">
      <c r="A605" t="inlineStr">
        <is>
          <t>REQ00604</t>
        </is>
      </c>
      <c r="B605" t="inlineStr">
        <is>
          <t>335800QBL2NYM4BC7Y90</t>
        </is>
      </c>
      <c r="C605" t="inlineStr">
        <is>
          <t>signatory_change</t>
        </is>
      </c>
      <c r="D605" s="2" t="n">
        <v>46304.58333333334</v>
      </c>
      <c r="E605" s="2" t="n">
        <v>46307.54166666666</v>
      </c>
      <c r="F605" t="inlineStr">
        <is>
          <t>M3</t>
        </is>
      </c>
      <c r="G605" t="inlineStr">
        <is>
          <t>C1</t>
        </is>
      </c>
      <c r="H605" s="2" t="n">
        <v>46304.60763888889</v>
      </c>
      <c r="I605" s="2" t="n">
        <v>46304.61597222222</v>
      </c>
      <c r="J605" t="inlineStr">
        <is>
          <t>Completed</t>
        </is>
      </c>
      <c r="K605" t="n">
        <v>0.78</v>
      </c>
      <c r="L605" t="n">
        <v>8</v>
      </c>
      <c r="M605" t="b">
        <v>0</v>
      </c>
      <c r="N605" t="n">
        <v>0</v>
      </c>
      <c r="O605" t="b">
        <v>1</v>
      </c>
      <c r="P605" t="b">
        <v>0</v>
      </c>
      <c r="Q605" t="b">
        <v>0</v>
      </c>
    </row>
    <row r="606">
      <c r="A606" t="inlineStr">
        <is>
          <t>REQ00605</t>
        </is>
      </c>
      <c r="B606" t="inlineStr">
        <is>
          <t>21380028UFOFCNOKAN57</t>
        </is>
      </c>
      <c r="C606" t="inlineStr">
        <is>
          <t>document_refresh</t>
        </is>
      </c>
      <c r="D606" s="2" t="n">
        <v>46304.58472222222</v>
      </c>
      <c r="E606" s="2" t="n">
        <v>46307.70972222222</v>
      </c>
      <c r="F606" t="inlineStr">
        <is>
          <t>M4</t>
        </is>
      </c>
      <c r="G606" t="inlineStr">
        <is>
          <t>C1</t>
        </is>
      </c>
      <c r="H606" s="2" t="n">
        <v>46304.60138888889</v>
      </c>
      <c r="I606" s="2" t="n">
        <v>46307.41527777778</v>
      </c>
      <c r="J606" t="inlineStr">
        <is>
          <t>Completed</t>
        </is>
      </c>
      <c r="K606" t="n">
        <v>4.93</v>
      </c>
      <c r="L606" t="n">
        <v>12</v>
      </c>
      <c r="M606" t="b">
        <v>0</v>
      </c>
      <c r="N606" t="n">
        <v>0</v>
      </c>
      <c r="O606" t="b">
        <v>1</v>
      </c>
      <c r="P606" t="b">
        <v>0</v>
      </c>
      <c r="Q606" t="b">
        <v>1</v>
      </c>
    </row>
    <row r="607">
      <c r="A607" t="inlineStr">
        <is>
          <t>REQ00606</t>
        </is>
      </c>
      <c r="B607" t="inlineStr">
        <is>
          <t>9845002EDDV53LCF0632</t>
        </is>
      </c>
      <c r="C607" t="inlineStr">
        <is>
          <t>new_account</t>
        </is>
      </c>
      <c r="D607" s="2" t="n">
        <v>46304.58611111111</v>
      </c>
      <c r="E607" s="2" t="n">
        <v>46308.50277777778</v>
      </c>
      <c r="F607" t="inlineStr">
        <is>
          <t>M1</t>
        </is>
      </c>
      <c r="G607" t="inlineStr">
        <is>
          <t>C3</t>
        </is>
      </c>
      <c r="H607" s="2" t="n">
        <v>46304.62569444445</v>
      </c>
      <c r="I607" s="2" t="n">
        <v>46304.63333333333</v>
      </c>
      <c r="J607" t="inlineStr">
        <is>
          <t>Completed</t>
        </is>
      </c>
      <c r="K607" t="n">
        <v>1.14</v>
      </c>
      <c r="L607" t="n">
        <v>16</v>
      </c>
      <c r="M607" t="b">
        <v>0</v>
      </c>
      <c r="N607" t="n">
        <v>0</v>
      </c>
      <c r="O607" t="b">
        <v>1</v>
      </c>
      <c r="P607" t="b">
        <v>0</v>
      </c>
      <c r="Q607" t="b">
        <v>0</v>
      </c>
    </row>
    <row r="608">
      <c r="A608" t="inlineStr">
        <is>
          <t>REQ00607</t>
        </is>
      </c>
      <c r="B608" t="inlineStr">
        <is>
          <t>5493009E4KD6RQH7ST88</t>
        </is>
      </c>
      <c r="C608" t="inlineStr">
        <is>
          <t>signatory_change</t>
        </is>
      </c>
      <c r="D608" s="2" t="n">
        <v>46304.59236111111</v>
      </c>
      <c r="E608" s="2" t="n">
        <v>46307.55069444444</v>
      </c>
      <c r="F608" t="inlineStr">
        <is>
          <t>M6</t>
        </is>
      </c>
      <c r="G608" t="inlineStr">
        <is>
          <t>C1</t>
        </is>
      </c>
      <c r="H608" s="2" t="n">
        <v>46304.60902777778</v>
      </c>
      <c r="I608" s="2" t="n">
        <v>46307.46805555555</v>
      </c>
      <c r="J608" t="inlineStr">
        <is>
          <t>Completed</t>
        </is>
      </c>
      <c r="K608" t="n">
        <v>6.01</v>
      </c>
      <c r="L608" t="n">
        <v>8</v>
      </c>
      <c r="M608" t="b">
        <v>0</v>
      </c>
      <c r="N608" t="n">
        <v>0</v>
      </c>
      <c r="O608" t="b">
        <v>1</v>
      </c>
      <c r="P608" t="b">
        <v>0</v>
      </c>
      <c r="Q608" t="b">
        <v>1</v>
      </c>
    </row>
    <row r="609">
      <c r="A609" t="inlineStr">
        <is>
          <t>REQ00608</t>
        </is>
      </c>
      <c r="B609" t="inlineStr">
        <is>
          <t>549300FEU4K8Z1GTNO90</t>
        </is>
      </c>
      <c r="C609" t="inlineStr">
        <is>
          <t>document_refresh</t>
        </is>
      </c>
      <c r="D609" s="2" t="n">
        <v>46304.60277777778</v>
      </c>
      <c r="E609" s="2" t="n">
        <v>46307.72777777778</v>
      </c>
      <c r="F609" t="inlineStr">
        <is>
          <t>M5</t>
        </is>
      </c>
      <c r="G609" t="inlineStr">
        <is>
          <t>C2</t>
        </is>
      </c>
      <c r="H609" s="2" t="n">
        <v>46304.61875</v>
      </c>
      <c r="I609" s="2" t="n">
        <v>46307.47708333333</v>
      </c>
      <c r="J609" t="inlineStr">
        <is>
          <t>Completed</t>
        </is>
      </c>
      <c r="K609" t="n">
        <v>5.98</v>
      </c>
      <c r="L609" t="n">
        <v>12</v>
      </c>
      <c r="M609" t="b">
        <v>0</v>
      </c>
      <c r="N609" t="n">
        <v>0</v>
      </c>
      <c r="O609" t="b">
        <v>1</v>
      </c>
      <c r="P609" t="b">
        <v>0</v>
      </c>
      <c r="Q609" t="b">
        <v>1</v>
      </c>
    </row>
    <row r="610">
      <c r="A610" t="inlineStr">
        <is>
          <t>REQ00609</t>
        </is>
      </c>
      <c r="B610" t="inlineStr">
        <is>
          <t>549300LCXWZ04RWBXF20</t>
        </is>
      </c>
      <c r="C610" t="inlineStr">
        <is>
          <t>signatory_change</t>
        </is>
      </c>
      <c r="D610" s="2" t="n">
        <v>46304.60277777778</v>
      </c>
      <c r="E610" s="2" t="n">
        <v>46307.56111111111</v>
      </c>
      <c r="F610" t="inlineStr">
        <is>
          <t>M2</t>
        </is>
      </c>
      <c r="G610" t="inlineStr">
        <is>
          <t>C1</t>
        </is>
      </c>
      <c r="H610" s="2" t="n">
        <v>46304.62430555555</v>
      </c>
      <c r="I610" s="2" t="n">
        <v>46307.46041666667</v>
      </c>
      <c r="J610" t="inlineStr">
        <is>
          <t>Completed</t>
        </is>
      </c>
      <c r="K610" t="n">
        <v>5.58</v>
      </c>
      <c r="L610" t="n">
        <v>8</v>
      </c>
      <c r="M610" t="b">
        <v>0</v>
      </c>
      <c r="N610" t="n">
        <v>0</v>
      </c>
      <c r="O610" t="b">
        <v>1</v>
      </c>
      <c r="P610" t="b">
        <v>0</v>
      </c>
      <c r="Q610" t="b">
        <v>1</v>
      </c>
    </row>
    <row r="611">
      <c r="A611" t="inlineStr">
        <is>
          <t>REQ00610</t>
        </is>
      </c>
      <c r="B611" t="inlineStr">
        <is>
          <t>254900ENC4B6ZMXR4H33</t>
        </is>
      </c>
      <c r="C611" t="inlineStr">
        <is>
          <t>document_refresh</t>
        </is>
      </c>
      <c r="D611" s="2" t="n">
        <v>46304.61527777778</v>
      </c>
      <c r="E611" s="2" t="n">
        <v>46307.74027777778</v>
      </c>
      <c r="F611" t="inlineStr">
        <is>
          <t>M4</t>
        </is>
      </c>
      <c r="G611" t="inlineStr">
        <is>
          <t>C1</t>
        </is>
      </c>
      <c r="H611" s="2" t="n">
        <v>46304.62708333333</v>
      </c>
      <c r="I611" s="2" t="n">
        <v>46307.43680555555</v>
      </c>
      <c r="J611" t="inlineStr">
        <is>
          <t>Completed</t>
        </is>
      </c>
      <c r="K611" t="n">
        <v>4.72</v>
      </c>
      <c r="L611" t="n">
        <v>12</v>
      </c>
      <c r="M611" t="b">
        <v>0</v>
      </c>
      <c r="N611" t="n">
        <v>0</v>
      </c>
      <c r="O611" t="b">
        <v>1</v>
      </c>
      <c r="P611" t="b">
        <v>0</v>
      </c>
      <c r="Q611" t="b">
        <v>1</v>
      </c>
    </row>
    <row r="612">
      <c r="A612" t="inlineStr">
        <is>
          <t>REQ00611</t>
        </is>
      </c>
      <c r="B612" t="inlineStr">
        <is>
          <t>335800OYG502P0Z8CN54</t>
        </is>
      </c>
      <c r="C612" t="inlineStr">
        <is>
          <t>document_refresh</t>
        </is>
      </c>
      <c r="D612" s="2" t="n">
        <v>46304.61875</v>
      </c>
      <c r="E612" s="2" t="n">
        <v>46307.74375</v>
      </c>
      <c r="F612" t="inlineStr">
        <is>
          <t>M3</t>
        </is>
      </c>
      <c r="G612" t="inlineStr">
        <is>
          <t>C1</t>
        </is>
      </c>
      <c r="H612" s="2" t="n">
        <v>46304.62916666667</v>
      </c>
      <c r="I612" s="2" t="n">
        <v>46304.63333333333</v>
      </c>
      <c r="J612" t="inlineStr">
        <is>
          <t>Completed</t>
        </is>
      </c>
      <c r="K612" t="n">
        <v>0.34</v>
      </c>
      <c r="L612" t="n">
        <v>12</v>
      </c>
      <c r="M612" t="b">
        <v>0</v>
      </c>
      <c r="N612" t="n">
        <v>0</v>
      </c>
      <c r="O612" t="b">
        <v>1</v>
      </c>
      <c r="P612" t="b">
        <v>0</v>
      </c>
      <c r="Q612" t="b">
        <v>0</v>
      </c>
    </row>
    <row r="613">
      <c r="A613" t="inlineStr">
        <is>
          <t>REQ00612</t>
        </is>
      </c>
      <c r="B613" t="inlineStr">
        <is>
          <t>335800TIMN3INLT6AY81</t>
        </is>
      </c>
      <c r="C613" t="inlineStr">
        <is>
          <t>data_amendment</t>
        </is>
      </c>
      <c r="D613" s="2" t="n">
        <v>46304.61944444444</v>
      </c>
      <c r="E613" s="2" t="n">
        <v>46307.57777777778</v>
      </c>
      <c r="F613" t="inlineStr">
        <is>
          <t>M6</t>
        </is>
      </c>
      <c r="G613" t="inlineStr">
        <is>
          <t>C3</t>
        </is>
      </c>
      <c r="H613" s="2" t="n">
        <v>46304.62777777778</v>
      </c>
      <c r="I613" s="2" t="n">
        <v>46307.47847222222</v>
      </c>
      <c r="J613" t="inlineStr">
        <is>
          <t>Completed</t>
        </is>
      </c>
      <c r="K613" t="n">
        <v>5.62</v>
      </c>
      <c r="L613" t="n">
        <v>8</v>
      </c>
      <c r="M613" t="b">
        <v>0</v>
      </c>
      <c r="N613" t="n">
        <v>0</v>
      </c>
      <c r="O613" t="b">
        <v>1</v>
      </c>
      <c r="P613" t="b">
        <v>0</v>
      </c>
      <c r="Q613" t="b">
        <v>1</v>
      </c>
    </row>
    <row r="614">
      <c r="A614" t="inlineStr">
        <is>
          <t>REQ00613</t>
        </is>
      </c>
      <c r="B614" t="inlineStr">
        <is>
          <t>391200YK72KUFAMD1R56</t>
        </is>
      </c>
      <c r="C614" t="inlineStr">
        <is>
          <t>signatory_change</t>
        </is>
      </c>
      <c r="D614" s="2" t="n">
        <v>46304.62430555555</v>
      </c>
      <c r="E614" s="2" t="n">
        <v>46307.58263888889</v>
      </c>
      <c r="F614" t="inlineStr">
        <is>
          <t>M5</t>
        </is>
      </c>
      <c r="G614" t="inlineStr">
        <is>
          <t>C2</t>
        </is>
      </c>
      <c r="H614" s="2" t="n">
        <v>46304.64583333334</v>
      </c>
      <c r="I614" s="2" t="n">
        <v>46304.65416666667</v>
      </c>
      <c r="J614" t="inlineStr">
        <is>
          <t>Completed</t>
        </is>
      </c>
      <c r="K614" t="n">
        <v>0.72</v>
      </c>
      <c r="L614" t="n">
        <v>8</v>
      </c>
      <c r="M614" t="b">
        <v>0</v>
      </c>
      <c r="N614" t="n">
        <v>0</v>
      </c>
      <c r="O614" t="b">
        <v>1</v>
      </c>
      <c r="P614" t="b">
        <v>0</v>
      </c>
      <c r="Q614" t="b">
        <v>0</v>
      </c>
    </row>
    <row r="615">
      <c r="A615" t="inlineStr">
        <is>
          <t>REQ00614</t>
        </is>
      </c>
      <c r="B615" t="inlineStr">
        <is>
          <t>549300U3KTIXS510LL58</t>
        </is>
      </c>
      <c r="C615" t="inlineStr">
        <is>
          <t>document_refresh</t>
        </is>
      </c>
      <c r="D615" s="2" t="n">
        <v>46304.63819444444</v>
      </c>
      <c r="E615" s="2" t="n">
        <v>46308.38819444444</v>
      </c>
      <c r="F615" t="inlineStr">
        <is>
          <t>M2</t>
        </is>
      </c>
      <c r="G615" t="inlineStr">
        <is>
          <t>C3</t>
        </is>
      </c>
      <c r="H615" s="2" t="n">
        <v>46304.65625</v>
      </c>
      <c r="I615" s="2" t="n">
        <v>46307.44375</v>
      </c>
      <c r="J615" t="inlineStr">
        <is>
          <t>Completed</t>
        </is>
      </c>
      <c r="K615" t="n">
        <v>4.34</v>
      </c>
      <c r="L615" t="n">
        <v>12</v>
      </c>
      <c r="M615" t="b">
        <v>0</v>
      </c>
      <c r="N615" t="n">
        <v>1</v>
      </c>
      <c r="O615" t="b">
        <v>0</v>
      </c>
      <c r="P615" t="b">
        <v>1</v>
      </c>
      <c r="Q615" t="b">
        <v>1</v>
      </c>
    </row>
    <row r="616">
      <c r="A616" t="inlineStr">
        <is>
          <t>REQ00615</t>
        </is>
      </c>
      <c r="B616" t="inlineStr">
        <is>
          <t>5493004NU1H5S2QJ5B18</t>
        </is>
      </c>
      <c r="C616" t="inlineStr">
        <is>
          <t>new_account</t>
        </is>
      </c>
      <c r="D616" s="2" t="n">
        <v>46304.64027777778</v>
      </c>
      <c r="E616" s="2" t="n">
        <v>46308.55694444444</v>
      </c>
      <c r="F616" t="inlineStr">
        <is>
          <t>M1</t>
        </is>
      </c>
      <c r="G616" t="inlineStr">
        <is>
          <t>C1</t>
        </is>
      </c>
      <c r="H616" s="2" t="n">
        <v>46304.67361111111</v>
      </c>
      <c r="I616" s="2" t="n">
        <v>46304.68194444444</v>
      </c>
      <c r="J616" t="inlineStr">
        <is>
          <t>Completed</t>
        </is>
      </c>
      <c r="K616" t="n">
        <v>1.01</v>
      </c>
      <c r="L616" t="n">
        <v>16</v>
      </c>
      <c r="M616" t="b">
        <v>0</v>
      </c>
      <c r="N616" t="n">
        <v>0</v>
      </c>
      <c r="O616" t="b">
        <v>1</v>
      </c>
      <c r="P616" t="b">
        <v>0</v>
      </c>
      <c r="Q616" t="b">
        <v>0</v>
      </c>
    </row>
    <row r="617">
      <c r="A617" t="inlineStr">
        <is>
          <t>REQ00616</t>
        </is>
      </c>
      <c r="B617" t="inlineStr">
        <is>
          <t>894500L7E4X76SYD1L68</t>
        </is>
      </c>
      <c r="C617" t="inlineStr">
        <is>
          <t>document_refresh</t>
        </is>
      </c>
      <c r="D617" s="2" t="n">
        <v>46304.64027777778</v>
      </c>
      <c r="E617" s="2" t="n">
        <v>46308.39027777778</v>
      </c>
      <c r="F617" t="inlineStr">
        <is>
          <t>M4</t>
        </is>
      </c>
      <c r="G617" t="inlineStr">
        <is>
          <t>C1</t>
        </is>
      </c>
      <c r="H617" s="2" t="n">
        <v>46304.65694444445</v>
      </c>
      <c r="I617" s="2" t="n">
        <v>46304.6625</v>
      </c>
      <c r="J617" t="inlineStr">
        <is>
          <t>Completed</t>
        </is>
      </c>
      <c r="K617" t="n">
        <v>0.53</v>
      </c>
      <c r="L617" t="n">
        <v>12</v>
      </c>
      <c r="M617" t="b">
        <v>0</v>
      </c>
      <c r="N617" t="n">
        <v>0</v>
      </c>
      <c r="O617" t="b">
        <v>1</v>
      </c>
      <c r="P617" t="b">
        <v>0</v>
      </c>
      <c r="Q617" t="b">
        <v>0</v>
      </c>
    </row>
    <row r="618">
      <c r="A618" t="inlineStr">
        <is>
          <t>REQ00617</t>
        </is>
      </c>
      <c r="B618" t="inlineStr">
        <is>
          <t>21380034S18HO3SVV468</t>
        </is>
      </c>
      <c r="C618" t="inlineStr">
        <is>
          <t>data_amendment</t>
        </is>
      </c>
      <c r="D618" s="2" t="n">
        <v>46304.64583333334</v>
      </c>
      <c r="E618" s="2" t="n">
        <v>46307.60416666666</v>
      </c>
      <c r="F618" t="inlineStr">
        <is>
          <t>M6</t>
        </is>
      </c>
      <c r="G618" t="inlineStr">
        <is>
          <t>C1</t>
        </is>
      </c>
      <c r="H618" s="2" t="n">
        <v>46304.65486111111</v>
      </c>
      <c r="I618" s="2" t="n">
        <v>46307.52013888889</v>
      </c>
      <c r="J618" t="inlineStr">
        <is>
          <t>Completed</t>
        </is>
      </c>
      <c r="K618" t="n">
        <v>5.98</v>
      </c>
      <c r="L618" t="n">
        <v>8</v>
      </c>
      <c r="M618" t="b">
        <v>0</v>
      </c>
      <c r="N618" t="n">
        <v>0</v>
      </c>
      <c r="O618" t="b">
        <v>1</v>
      </c>
      <c r="P618" t="b">
        <v>0</v>
      </c>
      <c r="Q618" t="b">
        <v>1</v>
      </c>
    </row>
    <row r="619">
      <c r="A619" t="inlineStr">
        <is>
          <t>REQ00618</t>
        </is>
      </c>
      <c r="B619" t="inlineStr">
        <is>
          <t>2138002ZXFDF8S3S6R89</t>
        </is>
      </c>
      <c r="C619" t="inlineStr">
        <is>
          <t>new_account</t>
        </is>
      </c>
      <c r="D619" s="2" t="n">
        <v>46304.64722222222</v>
      </c>
      <c r="E619" s="2" t="n">
        <v>46308.56388888889</v>
      </c>
      <c r="F619" t="inlineStr">
        <is>
          <t>M3</t>
        </is>
      </c>
      <c r="G619" t="inlineStr">
        <is>
          <t>C1</t>
        </is>
      </c>
      <c r="H619" s="2" t="n">
        <v>46304.68541666667</v>
      </c>
      <c r="I619" s="2" t="n">
        <v>46307.51180555556</v>
      </c>
      <c r="J619" t="inlineStr">
        <is>
          <t>Completed</t>
        </is>
      </c>
      <c r="K619" t="n">
        <v>5.74</v>
      </c>
      <c r="L619" t="n">
        <v>16</v>
      </c>
      <c r="M619" t="b">
        <v>0</v>
      </c>
      <c r="N619" t="n">
        <v>0</v>
      </c>
      <c r="O619" t="b">
        <v>1</v>
      </c>
      <c r="P619" t="b">
        <v>0</v>
      </c>
      <c r="Q619" t="b">
        <v>1</v>
      </c>
    </row>
    <row r="620">
      <c r="A620" t="inlineStr">
        <is>
          <t>REQ00619</t>
        </is>
      </c>
      <c r="B620" t="inlineStr">
        <is>
          <t>7245004OWB8SC2G8T818</t>
        </is>
      </c>
      <c r="C620" t="inlineStr">
        <is>
          <t>signatory_change</t>
        </is>
      </c>
      <c r="D620" s="2" t="n">
        <v>46304.65138888889</v>
      </c>
      <c r="E620" s="2" t="n">
        <v>46307.60972222222</v>
      </c>
      <c r="F620" t="inlineStr">
        <is>
          <t>M5</t>
        </is>
      </c>
      <c r="G620" t="inlineStr">
        <is>
          <t>C1</t>
        </is>
      </c>
      <c r="H620" s="2" t="n">
        <v>46304.67361111111</v>
      </c>
      <c r="I620" s="2" t="n">
        <v>46307.44305555556</v>
      </c>
      <c r="J620" t="inlineStr">
        <is>
          <t>Completed</t>
        </is>
      </c>
      <c r="K620" t="n">
        <v>4.01</v>
      </c>
      <c r="L620" t="n">
        <v>8</v>
      </c>
      <c r="M620" t="b">
        <v>0</v>
      </c>
      <c r="N620" t="n">
        <v>0</v>
      </c>
      <c r="O620" t="b">
        <v>1</v>
      </c>
      <c r="P620" t="b">
        <v>0</v>
      </c>
      <c r="Q620" t="b">
        <v>1</v>
      </c>
    </row>
    <row r="621">
      <c r="A621" t="inlineStr">
        <is>
          <t>REQ00620</t>
        </is>
      </c>
      <c r="B621" t="inlineStr">
        <is>
          <t>213800QTGNQPT5CD2Z58</t>
        </is>
      </c>
      <c r="C621" t="inlineStr">
        <is>
          <t>new_account</t>
        </is>
      </c>
      <c r="D621" s="2" t="n">
        <v>46304.65347222222</v>
      </c>
      <c r="E621" s="2" t="n">
        <v>46308.57013888889</v>
      </c>
      <c r="F621" t="inlineStr">
        <is>
          <t>M6</t>
        </is>
      </c>
      <c r="G621" t="inlineStr">
        <is>
          <t>C2</t>
        </is>
      </c>
      <c r="H621" s="2" t="n">
        <v>46304.68472222222</v>
      </c>
      <c r="I621" s="2" t="n">
        <v>46307.53055555555</v>
      </c>
      <c r="J621" t="inlineStr">
        <is>
          <t>Completed</t>
        </is>
      </c>
      <c r="K621" t="n">
        <v>6.05</v>
      </c>
      <c r="L621" t="n">
        <v>16</v>
      </c>
      <c r="M621" t="b">
        <v>0</v>
      </c>
      <c r="N621" t="n">
        <v>0</v>
      </c>
      <c r="O621" t="b">
        <v>1</v>
      </c>
      <c r="P621" t="b">
        <v>0</v>
      </c>
      <c r="Q621" t="b">
        <v>1</v>
      </c>
    </row>
    <row r="622">
      <c r="A622" t="inlineStr">
        <is>
          <t>REQ00621</t>
        </is>
      </c>
      <c r="B622" t="inlineStr">
        <is>
          <t>969500PYMCJ6XE8KKM02</t>
        </is>
      </c>
      <c r="C622" t="inlineStr">
        <is>
          <t>document_refresh</t>
        </is>
      </c>
      <c r="D622" s="2" t="n">
        <v>46304.65347222222</v>
      </c>
      <c r="E622" s="2" t="n">
        <v>46308.40347222222</v>
      </c>
      <c r="F622" t="inlineStr">
        <is>
          <t>M2</t>
        </is>
      </c>
      <c r="G622" t="inlineStr">
        <is>
          <t>C1</t>
        </is>
      </c>
      <c r="H622" s="2" t="n">
        <v>46304.66597222222</v>
      </c>
      <c r="I622" s="2" t="n">
        <v>46304.67222222222</v>
      </c>
      <c r="J622" t="inlineStr">
        <is>
          <t>Completed</t>
        </is>
      </c>
      <c r="K622" t="n">
        <v>0.44</v>
      </c>
      <c r="L622" t="n">
        <v>12</v>
      </c>
      <c r="M622" t="b">
        <v>0</v>
      </c>
      <c r="N622" t="n">
        <v>0</v>
      </c>
      <c r="O622" t="b">
        <v>1</v>
      </c>
      <c r="P622" t="b">
        <v>0</v>
      </c>
      <c r="Q622" t="b">
        <v>0</v>
      </c>
    </row>
    <row r="623">
      <c r="A623" t="inlineStr">
        <is>
          <t>REQ00622</t>
        </is>
      </c>
      <c r="B623" t="inlineStr">
        <is>
          <t>9845008E0AB785043840</t>
        </is>
      </c>
      <c r="C623" t="inlineStr">
        <is>
          <t>signatory_change</t>
        </is>
      </c>
      <c r="D623" s="2" t="n">
        <v>46304.65625</v>
      </c>
      <c r="E623" s="2" t="n">
        <v>46307.61458333334</v>
      </c>
      <c r="F623" t="inlineStr">
        <is>
          <t>M4</t>
        </is>
      </c>
      <c r="G623" t="inlineStr">
        <is>
          <t>C2</t>
        </is>
      </c>
      <c r="H623" s="2" t="n">
        <v>46304.68055555555</v>
      </c>
      <c r="I623" s="2" t="n">
        <v>46304.68888888889</v>
      </c>
      <c r="J623" t="inlineStr">
        <is>
          <t>Completed</t>
        </is>
      </c>
      <c r="K623" t="n">
        <v>0.78</v>
      </c>
      <c r="L623" t="n">
        <v>8</v>
      </c>
      <c r="M623" t="b">
        <v>0</v>
      </c>
      <c r="N623" t="n">
        <v>0</v>
      </c>
      <c r="O623" t="b">
        <v>1</v>
      </c>
      <c r="P623" t="b">
        <v>0</v>
      </c>
      <c r="Q623" t="b">
        <v>0</v>
      </c>
    </row>
    <row r="624">
      <c r="A624" t="inlineStr">
        <is>
          <t>REQ00623</t>
        </is>
      </c>
      <c r="B624" t="inlineStr">
        <is>
          <t>984500GABA3C1A8WE093</t>
        </is>
      </c>
      <c r="C624" t="inlineStr">
        <is>
          <t>signatory_change</t>
        </is>
      </c>
      <c r="D624" s="2" t="n">
        <v>46304.65902777778</v>
      </c>
      <c r="E624" s="2" t="n">
        <v>46307.61736111111</v>
      </c>
      <c r="F624" t="inlineStr">
        <is>
          <t>M2</t>
        </is>
      </c>
      <c r="G624" t="inlineStr">
        <is>
          <t>C1</t>
        </is>
      </c>
      <c r="H624" s="2" t="n">
        <v>46304.68680555555</v>
      </c>
      <c r="I624" s="2" t="n">
        <v>46304.69444444445</v>
      </c>
      <c r="J624" t="inlineStr">
        <is>
          <t>Completed</t>
        </is>
      </c>
      <c r="K624" t="n">
        <v>0.84</v>
      </c>
      <c r="L624" t="n">
        <v>8</v>
      </c>
      <c r="M624" t="b">
        <v>0</v>
      </c>
      <c r="N624" t="n">
        <v>0</v>
      </c>
      <c r="O624" t="b">
        <v>1</v>
      </c>
      <c r="P624" t="b">
        <v>0</v>
      </c>
      <c r="Q624" t="b">
        <v>0</v>
      </c>
    </row>
    <row r="625">
      <c r="A625" t="inlineStr">
        <is>
          <t>REQ00624</t>
        </is>
      </c>
      <c r="B625" t="inlineStr">
        <is>
          <t>254900YTQI8GYLKP7D21</t>
        </is>
      </c>
      <c r="C625" t="inlineStr">
        <is>
          <t>data_amendment</t>
        </is>
      </c>
      <c r="D625" s="2" t="n">
        <v>46304.66041666667</v>
      </c>
      <c r="E625" s="2" t="n">
        <v>46307.61875</v>
      </c>
      <c r="F625" t="inlineStr">
        <is>
          <t>M1</t>
        </is>
      </c>
      <c r="G625" t="inlineStr">
        <is>
          <t>C2</t>
        </is>
      </c>
      <c r="H625" s="2" t="n">
        <v>46304.68402777778</v>
      </c>
      <c r="I625" s="2" t="n">
        <v>46307.43888888889</v>
      </c>
      <c r="J625" t="inlineStr">
        <is>
          <t>Completed</t>
        </is>
      </c>
      <c r="K625" t="n">
        <v>3.68</v>
      </c>
      <c r="L625" t="n">
        <v>8</v>
      </c>
      <c r="M625" t="b">
        <v>0</v>
      </c>
      <c r="N625" t="n">
        <v>0</v>
      </c>
      <c r="O625" t="b">
        <v>1</v>
      </c>
      <c r="P625" t="b">
        <v>0</v>
      </c>
      <c r="Q625" t="b">
        <v>1</v>
      </c>
    </row>
    <row r="626">
      <c r="A626" t="inlineStr">
        <is>
          <t>REQ00625</t>
        </is>
      </c>
      <c r="B626" t="inlineStr">
        <is>
          <t>894500NBGPDGD9IRUY13</t>
        </is>
      </c>
      <c r="C626" t="inlineStr">
        <is>
          <t>document_refresh</t>
        </is>
      </c>
      <c r="D626" s="2" t="n">
        <v>46304.67083333333</v>
      </c>
      <c r="E626" s="2" t="n">
        <v>46308.42083333333</v>
      </c>
      <c r="F626" t="inlineStr">
        <is>
          <t>M5</t>
        </is>
      </c>
      <c r="G626" t="inlineStr">
        <is>
          <t>C2</t>
        </is>
      </c>
      <c r="H626" s="2" t="n">
        <v>46304.69027777778</v>
      </c>
      <c r="I626" s="2" t="n">
        <v>46304.69722222222</v>
      </c>
      <c r="J626" t="inlineStr">
        <is>
          <t>Completed</t>
        </is>
      </c>
      <c r="K626" t="n">
        <v>0.63</v>
      </c>
      <c r="L626" t="n">
        <v>12</v>
      </c>
      <c r="M626" t="b">
        <v>0</v>
      </c>
      <c r="N626" t="n">
        <v>0</v>
      </c>
      <c r="O626" t="b">
        <v>1</v>
      </c>
      <c r="P626" t="b">
        <v>0</v>
      </c>
      <c r="Q626" t="b">
        <v>0</v>
      </c>
    </row>
    <row r="627">
      <c r="A627" t="inlineStr">
        <is>
          <t>REQ00626</t>
        </is>
      </c>
      <c r="B627" t="inlineStr">
        <is>
          <t>7245004VEWZKC38NAM07</t>
        </is>
      </c>
      <c r="C627" t="inlineStr">
        <is>
          <t>document_refresh</t>
        </is>
      </c>
      <c r="D627" s="2" t="n">
        <v>46304.675</v>
      </c>
      <c r="E627" s="2" t="n">
        <v>46308.425</v>
      </c>
      <c r="F627" t="inlineStr">
        <is>
          <t>M4</t>
        </is>
      </c>
      <c r="G627" t="inlineStr">
        <is>
          <t>C3</t>
        </is>
      </c>
      <c r="H627" s="2" t="n">
        <v>46304.69097222222</v>
      </c>
      <c r="I627" s="2" t="n">
        <v>46304.69722222222</v>
      </c>
      <c r="J627" t="inlineStr">
        <is>
          <t>Completed</t>
        </is>
      </c>
      <c r="K627" t="n">
        <v>0.53</v>
      </c>
      <c r="L627" t="n">
        <v>12</v>
      </c>
      <c r="M627" t="b">
        <v>0</v>
      </c>
      <c r="N627" t="n">
        <v>0</v>
      </c>
      <c r="O627" t="b">
        <v>1</v>
      </c>
      <c r="P627" t="b">
        <v>0</v>
      </c>
      <c r="Q627" t="b">
        <v>0</v>
      </c>
    </row>
    <row r="628">
      <c r="A628" t="inlineStr">
        <is>
          <t>REQ00627</t>
        </is>
      </c>
      <c r="B628" t="inlineStr">
        <is>
          <t>3358005OFE58DX7BK626</t>
        </is>
      </c>
      <c r="C628" t="inlineStr">
        <is>
          <t>document_refresh</t>
        </is>
      </c>
      <c r="D628" s="2" t="n">
        <v>46304.67777777778</v>
      </c>
      <c r="E628" s="2" t="n">
        <v>46308.42777777778</v>
      </c>
      <c r="F628" t="inlineStr">
        <is>
          <t>M1</t>
        </is>
      </c>
      <c r="G628" t="inlineStr">
        <is>
          <t>C1</t>
        </is>
      </c>
      <c r="H628" s="2" t="n">
        <v>46304.69791666666</v>
      </c>
      <c r="I628" s="2" t="n">
        <v>46304.70208333333</v>
      </c>
      <c r="J628" t="inlineStr">
        <is>
          <t>Completed</t>
        </is>
      </c>
      <c r="K628" t="n">
        <v>0.59</v>
      </c>
      <c r="L628" t="n">
        <v>12</v>
      </c>
      <c r="M628" t="b">
        <v>0</v>
      </c>
      <c r="N628" t="n">
        <v>0</v>
      </c>
      <c r="O628" t="b">
        <v>1</v>
      </c>
      <c r="P628" t="b">
        <v>0</v>
      </c>
      <c r="Q628" t="b">
        <v>0</v>
      </c>
    </row>
    <row r="629">
      <c r="A629" t="inlineStr">
        <is>
          <t>REQ00628</t>
        </is>
      </c>
      <c r="B629" t="inlineStr">
        <is>
          <t>549300SPG36K1AJK2T53</t>
        </is>
      </c>
      <c r="C629" t="inlineStr">
        <is>
          <t>new_account</t>
        </is>
      </c>
      <c r="D629" s="2" t="n">
        <v>46304.67916666667</v>
      </c>
      <c r="E629" s="2" t="n">
        <v>46308.59583333333</v>
      </c>
      <c r="F629" t="inlineStr">
        <is>
          <t>M6</t>
        </is>
      </c>
      <c r="G629" t="inlineStr">
        <is>
          <t>C2</t>
        </is>
      </c>
      <c r="H629" s="2" t="n">
        <v>46304.71111111111</v>
      </c>
      <c r="I629" s="2" t="n">
        <v>46307.48263888889</v>
      </c>
      <c r="J629" t="inlineStr">
        <is>
          <t>Completed</t>
        </is>
      </c>
      <c r="K629" t="n">
        <v>4.29</v>
      </c>
      <c r="L629" t="n">
        <v>16</v>
      </c>
      <c r="M629" t="b">
        <v>0</v>
      </c>
      <c r="N629" t="n">
        <v>1</v>
      </c>
      <c r="O629" t="b">
        <v>0</v>
      </c>
      <c r="P629" t="b">
        <v>1</v>
      </c>
      <c r="Q629" t="b">
        <v>1</v>
      </c>
    </row>
    <row r="630">
      <c r="A630" t="inlineStr">
        <is>
          <t>REQ00629</t>
        </is>
      </c>
      <c r="B630" t="inlineStr">
        <is>
          <t>7245003EOW4O2HMJF272</t>
        </is>
      </c>
      <c r="C630" t="inlineStr">
        <is>
          <t>new_account</t>
        </is>
      </c>
      <c r="D630" s="2" t="n">
        <v>46304.68055555555</v>
      </c>
      <c r="E630" s="2" t="n">
        <v>46308.59722222222</v>
      </c>
      <c r="F630" t="inlineStr">
        <is>
          <t>M3</t>
        </is>
      </c>
      <c r="G630" t="inlineStr">
        <is>
          <t>C2</t>
        </is>
      </c>
      <c r="H630" s="2" t="n">
        <v>46304.72152777778</v>
      </c>
      <c r="I630" s="2" t="n">
        <v>46307.46944444445</v>
      </c>
      <c r="J630" t="inlineStr">
        <is>
          <t>Completed</t>
        </is>
      </c>
      <c r="K630" t="n">
        <v>3.93</v>
      </c>
      <c r="L630" t="n">
        <v>16</v>
      </c>
      <c r="M630" t="b">
        <v>0</v>
      </c>
      <c r="N630" t="n">
        <v>0</v>
      </c>
      <c r="O630" t="b">
        <v>1</v>
      </c>
      <c r="P630" t="b">
        <v>0</v>
      </c>
      <c r="Q630" t="b">
        <v>1</v>
      </c>
    </row>
    <row r="631">
      <c r="A631" t="inlineStr">
        <is>
          <t>REQ00630</t>
        </is>
      </c>
      <c r="B631" t="inlineStr">
        <is>
          <t>724500UJXAIQKFDCJH57</t>
        </is>
      </c>
      <c r="C631" t="inlineStr">
        <is>
          <t>signatory_change</t>
        </is>
      </c>
      <c r="D631" s="2" t="n">
        <v>46304.68333333333</v>
      </c>
      <c r="E631" s="2" t="n">
        <v>46307.64166666667</v>
      </c>
      <c r="F631" t="inlineStr">
        <is>
          <t>M2</t>
        </is>
      </c>
      <c r="G631" t="inlineStr">
        <is>
          <t>C3</t>
        </is>
      </c>
      <c r="H631" s="2" t="n">
        <v>46304.70625</v>
      </c>
      <c r="I631" s="2" t="n">
        <v>46307.46666666667</v>
      </c>
      <c r="J631" t="inlineStr">
        <is>
          <t>Completed</t>
        </is>
      </c>
      <c r="K631" t="n">
        <v>3.8</v>
      </c>
      <c r="L631" t="n">
        <v>8</v>
      </c>
      <c r="M631" t="b">
        <v>0</v>
      </c>
      <c r="N631" t="n">
        <v>0</v>
      </c>
      <c r="O631" t="b">
        <v>1</v>
      </c>
      <c r="P631" t="b">
        <v>0</v>
      </c>
      <c r="Q631" t="b">
        <v>1</v>
      </c>
    </row>
    <row r="632">
      <c r="A632" t="inlineStr">
        <is>
          <t>REQ00631</t>
        </is>
      </c>
      <c r="B632" t="inlineStr">
        <is>
          <t>969500XSOAM5VKDM1297</t>
        </is>
      </c>
      <c r="C632" t="inlineStr">
        <is>
          <t>new_account</t>
        </is>
      </c>
      <c r="D632" s="2" t="n">
        <v>46304.69166666667</v>
      </c>
      <c r="E632" s="2" t="n">
        <v>46308.60833333333</v>
      </c>
      <c r="F632" t="inlineStr">
        <is>
          <t>M5</t>
        </is>
      </c>
      <c r="G632" t="inlineStr">
        <is>
          <t>C1</t>
        </is>
      </c>
      <c r="H632" s="2" t="n">
        <v>46304.72847222222</v>
      </c>
      <c r="I632" s="2" t="n">
        <v>46307.53402777778</v>
      </c>
      <c r="J632" t="inlineStr">
        <is>
          <t>Completed</t>
        </is>
      </c>
      <c r="K632" t="n">
        <v>5.21</v>
      </c>
      <c r="L632" t="n">
        <v>16</v>
      </c>
      <c r="M632" t="b">
        <v>0</v>
      </c>
      <c r="N632" t="n">
        <v>0</v>
      </c>
      <c r="O632" t="b">
        <v>1</v>
      </c>
      <c r="P632" t="b">
        <v>0</v>
      </c>
      <c r="Q632" t="b">
        <v>1</v>
      </c>
    </row>
    <row r="633">
      <c r="A633" t="inlineStr">
        <is>
          <t>REQ00632</t>
        </is>
      </c>
      <c r="B633" t="inlineStr">
        <is>
          <t>648843AUX86W6Z2JL392</t>
        </is>
      </c>
      <c r="C633" t="inlineStr">
        <is>
          <t>new_account</t>
        </is>
      </c>
      <c r="D633" s="2" t="n">
        <v>46304.69375</v>
      </c>
      <c r="E633" s="2" t="n">
        <v>46308.61041666667</v>
      </c>
      <c r="F633" t="inlineStr">
        <is>
          <t>M4</t>
        </is>
      </c>
      <c r="G633" t="inlineStr">
        <is>
          <t>C1</t>
        </is>
      </c>
      <c r="H633" s="2" t="n">
        <v>46304.73263888889</v>
      </c>
      <c r="I633" s="2" t="n">
        <v>46304.74375</v>
      </c>
      <c r="J633" t="inlineStr">
        <is>
          <t>Completed</t>
        </is>
      </c>
      <c r="K633" t="n">
        <v>1.19</v>
      </c>
      <c r="L633" t="n">
        <v>16</v>
      </c>
      <c r="M633" t="b">
        <v>0</v>
      </c>
      <c r="N633" t="n">
        <v>0</v>
      </c>
      <c r="O633" t="b">
        <v>1</v>
      </c>
      <c r="P633" t="b">
        <v>0</v>
      </c>
      <c r="Q633" t="b">
        <v>0</v>
      </c>
    </row>
    <row r="634">
      <c r="A634" t="inlineStr">
        <is>
          <t>REQ00633</t>
        </is>
      </c>
      <c r="B634" t="inlineStr">
        <is>
          <t>54930045TVO9MSPGXU60</t>
        </is>
      </c>
      <c r="C634" t="inlineStr">
        <is>
          <t>document_refresh</t>
        </is>
      </c>
      <c r="D634" s="2" t="n">
        <v>46304.69583333333</v>
      </c>
      <c r="E634" s="2" t="n">
        <v>46308.44583333333</v>
      </c>
      <c r="F634" t="inlineStr">
        <is>
          <t>M1</t>
        </is>
      </c>
      <c r="G634" t="inlineStr">
        <is>
          <t>C2</t>
        </is>
      </c>
      <c r="H634" s="2" t="n">
        <v>46304.70902777778</v>
      </c>
      <c r="I634" s="2" t="n">
        <v>46307.42847222222</v>
      </c>
      <c r="J634" t="inlineStr">
        <is>
          <t>Completed</t>
        </is>
      </c>
      <c r="K634" t="n">
        <v>2.59</v>
      </c>
      <c r="L634" t="n">
        <v>12</v>
      </c>
      <c r="M634" t="b">
        <v>0</v>
      </c>
      <c r="N634" t="n">
        <v>0</v>
      </c>
      <c r="O634" t="b">
        <v>1</v>
      </c>
      <c r="P634" t="b">
        <v>0</v>
      </c>
      <c r="Q634" t="b">
        <v>1</v>
      </c>
    </row>
    <row r="635">
      <c r="A635" t="inlineStr">
        <is>
          <t>REQ00634</t>
        </is>
      </c>
      <c r="B635" t="inlineStr">
        <is>
          <t>529900EI1Y6PU2Z3FY88</t>
        </is>
      </c>
      <c r="C635" t="inlineStr">
        <is>
          <t>new_account</t>
        </is>
      </c>
      <c r="D635" s="2" t="n">
        <v>46304.69722222222</v>
      </c>
      <c r="E635" s="2" t="n">
        <v>46308.61388888889</v>
      </c>
      <c r="F635" t="inlineStr">
        <is>
          <t>M2</t>
        </is>
      </c>
      <c r="G635" t="inlineStr">
        <is>
          <t>C2</t>
        </is>
      </c>
      <c r="H635" s="2" t="n">
        <v>46304.7375</v>
      </c>
      <c r="I635" s="2" t="n">
        <v>46304.74722222222</v>
      </c>
      <c r="J635" t="inlineStr">
        <is>
          <t>Completed</t>
        </is>
      </c>
      <c r="K635" t="n">
        <v>1.2</v>
      </c>
      <c r="L635" t="n">
        <v>16</v>
      </c>
      <c r="M635" t="b">
        <v>0</v>
      </c>
      <c r="N635" t="n">
        <v>0</v>
      </c>
      <c r="O635" t="b">
        <v>1</v>
      </c>
      <c r="P635" t="b">
        <v>0</v>
      </c>
      <c r="Q635" t="b">
        <v>0</v>
      </c>
    </row>
    <row r="636">
      <c r="A636" t="inlineStr">
        <is>
          <t>REQ00635</t>
        </is>
      </c>
      <c r="B636" t="inlineStr">
        <is>
          <t>549300Q2PSUCK2I5FH54</t>
        </is>
      </c>
      <c r="C636" t="inlineStr">
        <is>
          <t>new_account</t>
        </is>
      </c>
      <c r="D636" s="2" t="n">
        <v>46304.70277777778</v>
      </c>
      <c r="E636" s="2" t="n">
        <v>46308.61944444444</v>
      </c>
      <c r="F636" t="inlineStr">
        <is>
          <t>M1</t>
        </is>
      </c>
      <c r="G636" t="inlineStr">
        <is>
          <t>C1</t>
        </is>
      </c>
      <c r="H636" s="2" t="n">
        <v>46304.73680555556</v>
      </c>
      <c r="I636" s="2" t="n">
        <v>46307.49305555555</v>
      </c>
      <c r="J636" t="inlineStr">
        <is>
          <t>Completed</t>
        </is>
      </c>
      <c r="K636" t="n">
        <v>3.97</v>
      </c>
      <c r="L636" t="n">
        <v>16</v>
      </c>
      <c r="M636" t="b">
        <v>0</v>
      </c>
      <c r="N636" t="n">
        <v>0</v>
      </c>
      <c r="O636" t="b">
        <v>1</v>
      </c>
      <c r="P636" t="b">
        <v>0</v>
      </c>
      <c r="Q636" t="b">
        <v>1</v>
      </c>
    </row>
    <row r="637">
      <c r="A637" t="inlineStr">
        <is>
          <t>REQ00636</t>
        </is>
      </c>
      <c r="B637" t="inlineStr">
        <is>
          <t>89450033MLFTURRKVS56</t>
        </is>
      </c>
      <c r="C637" t="inlineStr">
        <is>
          <t>new_account</t>
        </is>
      </c>
      <c r="D637" s="2" t="n">
        <v>46304.71388888889</v>
      </c>
      <c r="E637" s="2" t="n">
        <v>46308.63055555556</v>
      </c>
      <c r="F637" t="inlineStr">
        <is>
          <t>M6</t>
        </is>
      </c>
      <c r="G637" t="inlineStr">
        <is>
          <t>C1</t>
        </is>
      </c>
      <c r="H637" s="2" t="n">
        <v>46304.74375</v>
      </c>
      <c r="I637" s="2" t="n">
        <v>46307.38194444445</v>
      </c>
      <c r="J637" t="inlineStr">
        <is>
          <t>Completed</t>
        </is>
      </c>
      <c r="K637" t="n">
        <v>1.04</v>
      </c>
      <c r="L637" t="n">
        <v>16</v>
      </c>
      <c r="M637" t="b">
        <v>0</v>
      </c>
      <c r="N637" t="n">
        <v>0</v>
      </c>
      <c r="O637" t="b">
        <v>1</v>
      </c>
      <c r="P637" t="b">
        <v>0</v>
      </c>
      <c r="Q637" t="b">
        <v>0</v>
      </c>
    </row>
    <row r="638">
      <c r="A638" t="inlineStr">
        <is>
          <t>REQ00637</t>
        </is>
      </c>
      <c r="B638" t="inlineStr">
        <is>
          <t>391200SUUUGX30VK7047</t>
        </is>
      </c>
      <c r="C638" t="inlineStr">
        <is>
          <t>new_account</t>
        </is>
      </c>
      <c r="D638" s="2" t="n">
        <v>46304.71527777778</v>
      </c>
      <c r="E638" s="2" t="n">
        <v>46308.63194444445</v>
      </c>
      <c r="F638" t="inlineStr">
        <is>
          <t>M3</t>
        </is>
      </c>
      <c r="G638" t="inlineStr">
        <is>
          <t>C3</t>
        </is>
      </c>
      <c r="H638" s="2" t="n">
        <v>46304.74930555555</v>
      </c>
      <c r="I638" s="2" t="n">
        <v>46307.60694444444</v>
      </c>
      <c r="J638" t="inlineStr">
        <is>
          <t>Completed</t>
        </is>
      </c>
      <c r="K638" t="n">
        <v>6.39</v>
      </c>
      <c r="L638" t="n">
        <v>16</v>
      </c>
      <c r="M638" t="b">
        <v>0</v>
      </c>
      <c r="N638" t="n">
        <v>0</v>
      </c>
      <c r="O638" t="b">
        <v>1</v>
      </c>
      <c r="P638" t="b">
        <v>0</v>
      </c>
      <c r="Q638" t="b">
        <v>1</v>
      </c>
    </row>
    <row r="639">
      <c r="A639" t="inlineStr">
        <is>
          <t>REQ00638</t>
        </is>
      </c>
      <c r="B639" t="inlineStr">
        <is>
          <t>549300VZR136CDAXEP66</t>
        </is>
      </c>
      <c r="C639" t="inlineStr">
        <is>
          <t>new_account</t>
        </is>
      </c>
      <c r="D639" s="2" t="n">
        <v>46304.71736111111</v>
      </c>
      <c r="E639" s="2" t="n">
        <v>46308.63402777778</v>
      </c>
      <c r="F639" t="inlineStr">
        <is>
          <t>M5</t>
        </is>
      </c>
      <c r="G639" t="inlineStr">
        <is>
          <t>C2</t>
        </is>
      </c>
      <c r="H639" s="2" t="n">
        <v>46307.38958333333</v>
      </c>
      <c r="I639" s="2" t="n">
        <v>46307.4</v>
      </c>
      <c r="J639" t="inlineStr">
        <is>
          <t>Completed</t>
        </is>
      </c>
      <c r="K639" t="n">
        <v>1.39</v>
      </c>
      <c r="L639" t="n">
        <v>16</v>
      </c>
      <c r="M639" t="b">
        <v>0</v>
      </c>
      <c r="N639" t="n">
        <v>0</v>
      </c>
      <c r="O639" t="b">
        <v>1</v>
      </c>
      <c r="P639" t="b">
        <v>0</v>
      </c>
      <c r="Q639" t="b">
        <v>0</v>
      </c>
    </row>
    <row r="640">
      <c r="A640" t="inlineStr">
        <is>
          <t>REQ00639</t>
        </is>
      </c>
      <c r="B640" t="inlineStr">
        <is>
          <t>894500K91U5FWHFH4K28</t>
        </is>
      </c>
      <c r="C640" t="inlineStr">
        <is>
          <t>data_amendment</t>
        </is>
      </c>
      <c r="D640" s="2" t="n">
        <v>46304.72222222222</v>
      </c>
      <c r="E640" s="2" t="n">
        <v>46307.68055555555</v>
      </c>
      <c r="F640" t="inlineStr">
        <is>
          <t>M4</t>
        </is>
      </c>
      <c r="G640" t="inlineStr">
        <is>
          <t>C1</t>
        </is>
      </c>
      <c r="H640" s="2" t="n">
        <v>46304.74444444444</v>
      </c>
      <c r="I640" s="2" t="n">
        <v>46307.56111111111</v>
      </c>
      <c r="J640" t="inlineStr">
        <is>
          <t>Completed</t>
        </is>
      </c>
      <c r="K640" t="n">
        <v>5.14</v>
      </c>
      <c r="L640" t="n">
        <v>8</v>
      </c>
      <c r="M640" t="b">
        <v>0</v>
      </c>
      <c r="N640" t="n">
        <v>0</v>
      </c>
      <c r="O640" t="b">
        <v>1</v>
      </c>
      <c r="P640" t="b">
        <v>0</v>
      </c>
      <c r="Q640" t="b">
        <v>1</v>
      </c>
    </row>
    <row r="641">
      <c r="A641" t="inlineStr">
        <is>
          <t>REQ00640</t>
        </is>
      </c>
      <c r="B641" t="inlineStr">
        <is>
          <t>549300FL75H0JLL5CG26</t>
        </is>
      </c>
      <c r="C641" t="inlineStr">
        <is>
          <t>document_refresh</t>
        </is>
      </c>
      <c r="D641" s="2" t="n">
        <v>46304.73333333333</v>
      </c>
      <c r="E641" s="2" t="n">
        <v>46308.48333333333</v>
      </c>
      <c r="F641" t="inlineStr">
        <is>
          <t>M1</t>
        </is>
      </c>
      <c r="G641" t="inlineStr">
        <is>
          <t>C1</t>
        </is>
      </c>
      <c r="H641" s="2" t="n">
        <v>46304.74722222222</v>
      </c>
      <c r="I641" s="2" t="n">
        <v>46307.58680555555</v>
      </c>
      <c r="J641" t="inlineStr">
        <is>
          <t>Completed</t>
        </is>
      </c>
      <c r="K641" t="n">
        <v>5.49</v>
      </c>
      <c r="L641" t="n">
        <v>12</v>
      </c>
      <c r="M641" t="b">
        <v>0</v>
      </c>
      <c r="N641" t="n">
        <v>0</v>
      </c>
      <c r="O641" t="b">
        <v>1</v>
      </c>
      <c r="P641" t="b">
        <v>0</v>
      </c>
      <c r="Q641" t="b">
        <v>1</v>
      </c>
    </row>
    <row r="642">
      <c r="A642" t="inlineStr">
        <is>
          <t>REQ00641</t>
        </is>
      </c>
      <c r="B642" t="inlineStr">
        <is>
          <t>89450033MLFTURRKVS56</t>
        </is>
      </c>
      <c r="C642" t="inlineStr">
        <is>
          <t>new_account</t>
        </is>
      </c>
      <c r="D642" s="2" t="n">
        <v>46304.74861111111</v>
      </c>
      <c r="E642" s="2" t="n">
        <v>46308.66527777778</v>
      </c>
      <c r="F642" t="inlineStr">
        <is>
          <t>M2</t>
        </is>
      </c>
      <c r="G642" t="inlineStr">
        <is>
          <t>C2</t>
        </is>
      </c>
      <c r="H642" s="2" t="n">
        <v>46307.40416666667</v>
      </c>
      <c r="I642" s="2" t="n">
        <v>46307.41458333333</v>
      </c>
      <c r="J642" t="inlineStr">
        <is>
          <t>Completed</t>
        </is>
      </c>
      <c r="K642" t="n">
        <v>0.98</v>
      </c>
      <c r="L642" t="n">
        <v>16</v>
      </c>
      <c r="M642" t="b">
        <v>0</v>
      </c>
      <c r="N642" t="n">
        <v>0</v>
      </c>
      <c r="O642" t="b">
        <v>1</v>
      </c>
      <c r="P642" t="b">
        <v>0</v>
      </c>
      <c r="Q642" t="b">
        <v>0</v>
      </c>
    </row>
    <row r="643">
      <c r="A643" t="inlineStr">
        <is>
          <t>REQ00642</t>
        </is>
      </c>
      <c r="B643" t="inlineStr">
        <is>
          <t>969500JCIA8ELG38KL24</t>
        </is>
      </c>
      <c r="C643" t="inlineStr">
        <is>
          <t>signatory_change</t>
        </is>
      </c>
      <c r="D643" s="2" t="n">
        <v>46307.375</v>
      </c>
      <c r="E643" s="2" t="n">
        <v>46307.70833333334</v>
      </c>
      <c r="F643" t="inlineStr">
        <is>
          <t>M6</t>
        </is>
      </c>
      <c r="G643" t="inlineStr">
        <is>
          <t>C3</t>
        </is>
      </c>
      <c r="H643" s="2" t="n">
        <v>46307.39444444444</v>
      </c>
      <c r="I643" s="2" t="n">
        <v>46307.40069444444</v>
      </c>
      <c r="J643" t="inlineStr">
        <is>
          <t>Completed</t>
        </is>
      </c>
      <c r="K643" t="n">
        <v>0.61</v>
      </c>
      <c r="L643" t="n">
        <v>8</v>
      </c>
      <c r="M643" t="b">
        <v>0</v>
      </c>
      <c r="N643" t="n">
        <v>0</v>
      </c>
      <c r="O643" t="b">
        <v>1</v>
      </c>
      <c r="P643" t="b">
        <v>0</v>
      </c>
      <c r="Q643" t="b">
        <v>0</v>
      </c>
    </row>
    <row r="644">
      <c r="A644" t="inlineStr">
        <is>
          <t>REQ00643</t>
        </is>
      </c>
      <c r="B644" t="inlineStr">
        <is>
          <t>894500CRLQJGOIWJ2N46</t>
        </is>
      </c>
      <c r="C644" t="inlineStr">
        <is>
          <t>signatory_change</t>
        </is>
      </c>
      <c r="D644" s="2" t="n">
        <v>46307.37777777778</v>
      </c>
      <c r="E644" s="2" t="n">
        <v>46307.71111111111</v>
      </c>
      <c r="F644" t="inlineStr">
        <is>
          <t>M4</t>
        </is>
      </c>
      <c r="G644" t="inlineStr">
        <is>
          <t>C1</t>
        </is>
      </c>
      <c r="H644" s="2" t="n">
        <v>46307.39861111111</v>
      </c>
      <c r="I644" s="2" t="n">
        <v>46307.55763888889</v>
      </c>
      <c r="J644" t="inlineStr">
        <is>
          <t>Completed</t>
        </is>
      </c>
      <c r="K644" t="n">
        <v>4.32</v>
      </c>
      <c r="L644" t="n">
        <v>8</v>
      </c>
      <c r="M644" t="b">
        <v>0</v>
      </c>
      <c r="N644" t="n">
        <v>0</v>
      </c>
      <c r="O644" t="b">
        <v>1</v>
      </c>
      <c r="P644" t="b">
        <v>0</v>
      </c>
      <c r="Q644" t="b">
        <v>1</v>
      </c>
    </row>
    <row r="645">
      <c r="A645" t="inlineStr">
        <is>
          <t>REQ00644</t>
        </is>
      </c>
      <c r="B645" t="inlineStr">
        <is>
          <t>254900PBSM22VQSCHI89</t>
        </is>
      </c>
      <c r="C645" t="inlineStr">
        <is>
          <t>new_account</t>
        </is>
      </c>
      <c r="D645" s="2" t="n">
        <v>46307.38680555556</v>
      </c>
      <c r="E645" s="2" t="n">
        <v>46308.67847222222</v>
      </c>
      <c r="F645" t="inlineStr">
        <is>
          <t>M1</t>
        </is>
      </c>
      <c r="G645" t="inlineStr">
        <is>
          <t>C1</t>
        </is>
      </c>
      <c r="H645" s="2" t="n">
        <v>46307.41666666666</v>
      </c>
      <c r="I645" s="2" t="n">
        <v>46307.42986111111</v>
      </c>
      <c r="J645" t="inlineStr">
        <is>
          <t>Completed</t>
        </is>
      </c>
      <c r="K645" t="n">
        <v>1.03</v>
      </c>
      <c r="L645" t="n">
        <v>16</v>
      </c>
      <c r="M645" t="b">
        <v>0</v>
      </c>
      <c r="N645" t="n">
        <v>0</v>
      </c>
      <c r="O645" t="b">
        <v>1</v>
      </c>
      <c r="P645" t="b">
        <v>0</v>
      </c>
      <c r="Q645" t="b">
        <v>0</v>
      </c>
    </row>
    <row r="646">
      <c r="A646" t="inlineStr">
        <is>
          <t>REQ00645</t>
        </is>
      </c>
      <c r="B646" t="inlineStr">
        <is>
          <t>8945003PHWQEFLK8SV09</t>
        </is>
      </c>
      <c r="C646" t="inlineStr">
        <is>
          <t>document_refresh</t>
        </is>
      </c>
      <c r="D646" s="2" t="n">
        <v>46307.39027777778</v>
      </c>
      <c r="E646" s="2" t="n">
        <v>46308.51527777778</v>
      </c>
      <c r="F646" t="inlineStr">
        <is>
          <t>M3</t>
        </is>
      </c>
      <c r="G646" t="inlineStr">
        <is>
          <t>C1</t>
        </is>
      </c>
      <c r="H646" s="2" t="n">
        <v>46307.40347222222</v>
      </c>
      <c r="I646" s="2" t="n">
        <v>46307.40763888889</v>
      </c>
      <c r="J646" t="inlineStr">
        <is>
          <t>Completed</t>
        </is>
      </c>
      <c r="K646" t="n">
        <v>0.42</v>
      </c>
      <c r="L646" t="n">
        <v>12</v>
      </c>
      <c r="M646" t="b">
        <v>0</v>
      </c>
      <c r="N646" t="n">
        <v>0</v>
      </c>
      <c r="O646" t="b">
        <v>1</v>
      </c>
      <c r="P646" t="b">
        <v>0</v>
      </c>
      <c r="Q646" t="b">
        <v>0</v>
      </c>
    </row>
    <row r="647">
      <c r="A647" t="inlineStr">
        <is>
          <t>REQ00646</t>
        </is>
      </c>
      <c r="B647" t="inlineStr">
        <is>
          <t>724500MSOSS0OFZAGW84</t>
        </is>
      </c>
      <c r="C647" t="inlineStr">
        <is>
          <t>data_amendment</t>
        </is>
      </c>
      <c r="D647" s="2" t="n">
        <v>46307.39236111111</v>
      </c>
      <c r="E647" s="2" t="n">
        <v>46307.72569444445</v>
      </c>
      <c r="F647" t="inlineStr">
        <is>
          <t>M5</t>
        </is>
      </c>
      <c r="G647" t="inlineStr">
        <is>
          <t>C1</t>
        </is>
      </c>
      <c r="H647" s="2" t="n">
        <v>46307.4</v>
      </c>
      <c r="I647" s="2" t="n">
        <v>46307.63472222222</v>
      </c>
      <c r="J647" t="inlineStr">
        <is>
          <t>Completed</t>
        </is>
      </c>
      <c r="K647" t="n">
        <v>5.82</v>
      </c>
      <c r="L647" t="n">
        <v>8</v>
      </c>
      <c r="M647" t="b">
        <v>0</v>
      </c>
      <c r="N647" t="n">
        <v>1</v>
      </c>
      <c r="O647" t="b">
        <v>0</v>
      </c>
      <c r="P647" t="b">
        <v>1</v>
      </c>
      <c r="Q647" t="b">
        <v>1</v>
      </c>
    </row>
    <row r="648">
      <c r="A648" t="inlineStr">
        <is>
          <t>REQ00647</t>
        </is>
      </c>
      <c r="B648" t="inlineStr">
        <is>
          <t>724500O7EFHISPVC0613</t>
        </is>
      </c>
      <c r="C648" t="inlineStr">
        <is>
          <t>document_refresh</t>
        </is>
      </c>
      <c r="D648" s="2" t="n">
        <v>46307.39791666667</v>
      </c>
      <c r="E648" s="2" t="n">
        <v>46308.52291666667</v>
      </c>
      <c r="F648" t="inlineStr">
        <is>
          <t>M6</t>
        </is>
      </c>
      <c r="G648" t="inlineStr">
        <is>
          <t>C2</t>
        </is>
      </c>
      <c r="H648" s="2" t="n">
        <v>46307.41319444445</v>
      </c>
      <c r="I648" s="2" t="n">
        <v>46307.41875</v>
      </c>
      <c r="J648" t="inlineStr">
        <is>
          <t>Completed</t>
        </is>
      </c>
      <c r="K648" t="n">
        <v>0.5</v>
      </c>
      <c r="L648" t="n">
        <v>12</v>
      </c>
      <c r="M648" t="b">
        <v>0</v>
      </c>
      <c r="N648" t="n">
        <v>0</v>
      </c>
      <c r="O648" t="b">
        <v>1</v>
      </c>
      <c r="P648" t="b">
        <v>0</v>
      </c>
      <c r="Q648" t="b">
        <v>0</v>
      </c>
    </row>
    <row r="649">
      <c r="A649" t="inlineStr">
        <is>
          <t>REQ00648</t>
        </is>
      </c>
      <c r="B649" t="inlineStr">
        <is>
          <t>72450048LHX1I2DMFF96</t>
        </is>
      </c>
      <c r="C649" t="inlineStr">
        <is>
          <t>document_refresh</t>
        </is>
      </c>
      <c r="D649" s="2" t="n">
        <v>46307.40555555555</v>
      </c>
      <c r="E649" s="2" t="n">
        <v>46308.53055555555</v>
      </c>
      <c r="F649" t="inlineStr">
        <is>
          <t>M4</t>
        </is>
      </c>
      <c r="G649" t="inlineStr">
        <is>
          <t>C2</t>
        </is>
      </c>
      <c r="H649" s="2" t="n">
        <v>46307.42013888889</v>
      </c>
      <c r="I649" s="2" t="n">
        <v>46307.43611111111</v>
      </c>
      <c r="J649" t="inlineStr">
        <is>
          <t>Completed</t>
        </is>
      </c>
      <c r="K649" t="n">
        <v>0.73</v>
      </c>
      <c r="L649" t="n">
        <v>12</v>
      </c>
      <c r="M649" t="b">
        <v>0</v>
      </c>
      <c r="N649" t="n">
        <v>0</v>
      </c>
      <c r="O649" t="b">
        <v>1</v>
      </c>
      <c r="P649" t="b">
        <v>0</v>
      </c>
      <c r="Q649" t="b">
        <v>0</v>
      </c>
    </row>
    <row r="650">
      <c r="A650" t="inlineStr">
        <is>
          <t>REQ00649</t>
        </is>
      </c>
      <c r="B650" t="inlineStr">
        <is>
          <t>549300720D6GC86J1I98</t>
        </is>
      </c>
      <c r="C650" t="inlineStr">
        <is>
          <t>data_amendment</t>
        </is>
      </c>
      <c r="D650" s="2" t="n">
        <v>46307.40833333333</v>
      </c>
      <c r="E650" s="2" t="n">
        <v>46307.74166666667</v>
      </c>
      <c r="F650" t="inlineStr">
        <is>
          <t>M5</t>
        </is>
      </c>
      <c r="G650" t="inlineStr">
        <is>
          <t>C2</t>
        </is>
      </c>
      <c r="H650" s="2" t="n">
        <v>46307.41875</v>
      </c>
      <c r="I650" s="2" t="n">
        <v>46307.43194444444</v>
      </c>
      <c r="J650" t="inlineStr">
        <is>
          <t>Completed</t>
        </is>
      </c>
      <c r="K650" t="n">
        <v>0.5600000000000001</v>
      </c>
      <c r="L650" t="n">
        <v>8</v>
      </c>
      <c r="M650" t="b">
        <v>0</v>
      </c>
      <c r="N650" t="n">
        <v>1</v>
      </c>
      <c r="O650" t="b">
        <v>0</v>
      </c>
      <c r="P650" t="b">
        <v>1</v>
      </c>
      <c r="Q650" t="b">
        <v>0</v>
      </c>
    </row>
    <row r="651">
      <c r="A651" t="inlineStr">
        <is>
          <t>REQ00650</t>
        </is>
      </c>
      <c r="B651" t="inlineStr">
        <is>
          <t>5493008A7VH7XCGFBC67</t>
        </is>
      </c>
      <c r="C651" t="inlineStr">
        <is>
          <t>document_refresh</t>
        </is>
      </c>
      <c r="D651" s="2" t="n">
        <v>46307.40833333333</v>
      </c>
      <c r="E651" s="2" t="n">
        <v>46308.53333333333</v>
      </c>
      <c r="F651" t="inlineStr">
        <is>
          <t>M3</t>
        </is>
      </c>
      <c r="G651" t="inlineStr">
        <is>
          <t>C2</t>
        </is>
      </c>
      <c r="H651" s="2" t="n">
        <v>46307.42291666667</v>
      </c>
      <c r="I651" s="2" t="n">
        <v>46307.51666666667</v>
      </c>
      <c r="J651" t="inlineStr">
        <is>
          <t>Completed</t>
        </is>
      </c>
      <c r="K651" t="n">
        <v>2.6</v>
      </c>
      <c r="L651" t="n">
        <v>12</v>
      </c>
      <c r="M651" t="b">
        <v>0</v>
      </c>
      <c r="N651" t="n">
        <v>0</v>
      </c>
      <c r="O651" t="b">
        <v>1</v>
      </c>
      <c r="P651" t="b">
        <v>0</v>
      </c>
      <c r="Q651" t="b">
        <v>1</v>
      </c>
    </row>
    <row r="652">
      <c r="A652" t="inlineStr">
        <is>
          <t>REQ00651</t>
        </is>
      </c>
      <c r="B652" t="inlineStr">
        <is>
          <t>391200UY67WATEIX6Q71</t>
        </is>
      </c>
      <c r="C652" t="inlineStr">
        <is>
          <t>document_refresh</t>
        </is>
      </c>
      <c r="D652" s="2" t="n">
        <v>46307.41041666667</v>
      </c>
      <c r="E652" s="2" t="n">
        <v>46308.53541666667</v>
      </c>
      <c r="F652" t="inlineStr">
        <is>
          <t>M2</t>
        </is>
      </c>
      <c r="G652" t="inlineStr">
        <is>
          <t>C3</t>
        </is>
      </c>
      <c r="H652" s="2" t="n">
        <v>46307.425</v>
      </c>
      <c r="I652" s="2" t="n">
        <v>46307.43680555555</v>
      </c>
      <c r="J652" t="inlineStr">
        <is>
          <t>Completed</t>
        </is>
      </c>
      <c r="K652" t="n">
        <v>0.64</v>
      </c>
      <c r="L652" t="n">
        <v>12</v>
      </c>
      <c r="M652" t="b">
        <v>0</v>
      </c>
      <c r="N652" t="n">
        <v>0</v>
      </c>
      <c r="O652" t="b">
        <v>1</v>
      </c>
      <c r="P652" t="b">
        <v>0</v>
      </c>
      <c r="Q652" t="b">
        <v>0</v>
      </c>
    </row>
    <row r="653">
      <c r="A653" t="inlineStr">
        <is>
          <t>REQ00652</t>
        </is>
      </c>
      <c r="B653" t="inlineStr">
        <is>
          <t>5493004JHP77JWZ6K322</t>
        </is>
      </c>
      <c r="C653" t="inlineStr">
        <is>
          <t>data_amendment</t>
        </is>
      </c>
      <c r="D653" s="2" t="n">
        <v>46307.41111111111</v>
      </c>
      <c r="E653" s="2" t="n">
        <v>46307.74444444444</v>
      </c>
      <c r="F653" t="inlineStr">
        <is>
          <t>M6</t>
        </is>
      </c>
      <c r="G653" t="inlineStr">
        <is>
          <t>C3</t>
        </is>
      </c>
      <c r="H653" s="2" t="n">
        <v>46307.425</v>
      </c>
      <c r="I653" s="2" t="n">
        <v>46307.58819444444</v>
      </c>
      <c r="J653" t="inlineStr">
        <is>
          <t>Completed</t>
        </is>
      </c>
      <c r="K653" t="n">
        <v>4.26</v>
      </c>
      <c r="L653" t="n">
        <v>8</v>
      </c>
      <c r="M653" t="b">
        <v>0</v>
      </c>
      <c r="N653" t="n">
        <v>0</v>
      </c>
      <c r="O653" t="b">
        <v>1</v>
      </c>
      <c r="P653" t="b">
        <v>0</v>
      </c>
      <c r="Q653" t="b">
        <v>1</v>
      </c>
    </row>
    <row r="654">
      <c r="A654" t="inlineStr">
        <is>
          <t>REQ00653</t>
        </is>
      </c>
      <c r="B654" t="inlineStr">
        <is>
          <t>335800MZSOUXQXEK7755</t>
        </is>
      </c>
      <c r="C654" t="inlineStr">
        <is>
          <t>new_account</t>
        </is>
      </c>
      <c r="D654" s="2" t="n">
        <v>46307.41458333333</v>
      </c>
      <c r="E654" s="2" t="n">
        <v>46308.70625</v>
      </c>
      <c r="F654" t="inlineStr">
        <is>
          <t>M1</t>
        </is>
      </c>
      <c r="G654" t="inlineStr">
        <is>
          <t>C3</t>
        </is>
      </c>
      <c r="H654" s="2" t="n">
        <v>46307.44236111111</v>
      </c>
      <c r="I654" s="2" t="n">
        <v>46307.45208333333</v>
      </c>
      <c r="J654" t="inlineStr">
        <is>
          <t>Completed</t>
        </is>
      </c>
      <c r="K654" t="n">
        <v>0.9</v>
      </c>
      <c r="L654" t="n">
        <v>16</v>
      </c>
      <c r="M654" t="b">
        <v>0</v>
      </c>
      <c r="N654" t="n">
        <v>0</v>
      </c>
      <c r="O654" t="b">
        <v>1</v>
      </c>
      <c r="P654" t="b">
        <v>0</v>
      </c>
      <c r="Q654" t="b">
        <v>0</v>
      </c>
    </row>
    <row r="655">
      <c r="A655" t="inlineStr">
        <is>
          <t>REQ00654</t>
        </is>
      </c>
      <c r="B655" t="inlineStr">
        <is>
          <t>549300KOF8DJ6SKTN576</t>
        </is>
      </c>
      <c r="C655" t="inlineStr">
        <is>
          <t>new_account</t>
        </is>
      </c>
      <c r="D655" s="2" t="n">
        <v>46307.43125</v>
      </c>
      <c r="E655" s="2" t="n">
        <v>46308.72291666667</v>
      </c>
      <c r="F655" t="inlineStr">
        <is>
          <t>M5</t>
        </is>
      </c>
      <c r="G655" t="inlineStr">
        <is>
          <t>C3</t>
        </is>
      </c>
      <c r="H655" s="2" t="n">
        <v>46307.46527777778</v>
      </c>
      <c r="I655" s="2" t="n">
        <v>46307.56875</v>
      </c>
      <c r="J655" t="inlineStr">
        <is>
          <t>Completed</t>
        </is>
      </c>
      <c r="K655" t="n">
        <v>3.3</v>
      </c>
      <c r="L655" t="n">
        <v>16</v>
      </c>
      <c r="M655" t="b">
        <v>0</v>
      </c>
      <c r="N655" t="n">
        <v>0</v>
      </c>
      <c r="O655" t="b">
        <v>1</v>
      </c>
      <c r="P655" t="b">
        <v>0</v>
      </c>
      <c r="Q655" t="b">
        <v>1</v>
      </c>
    </row>
    <row r="656">
      <c r="A656" t="inlineStr">
        <is>
          <t>REQ00655</t>
        </is>
      </c>
      <c r="B656" t="inlineStr">
        <is>
          <t>549300NZKS362O5N7298</t>
        </is>
      </c>
      <c r="C656" t="inlineStr">
        <is>
          <t>document_refresh</t>
        </is>
      </c>
      <c r="D656" s="2" t="n">
        <v>46307.43194444444</v>
      </c>
      <c r="E656" s="2" t="n">
        <v>46308.55694444444</v>
      </c>
      <c r="F656" t="inlineStr">
        <is>
          <t>M4</t>
        </is>
      </c>
      <c r="G656" t="inlineStr">
        <is>
          <t>C1</t>
        </is>
      </c>
      <c r="H656" s="2" t="n">
        <v>46307.44930555556</v>
      </c>
      <c r="I656" s="2" t="n">
        <v>46307.59444444445</v>
      </c>
      <c r="J656" t="inlineStr">
        <is>
          <t>Completed</t>
        </is>
      </c>
      <c r="K656" t="n">
        <v>3.89</v>
      </c>
      <c r="L656" t="n">
        <v>12</v>
      </c>
      <c r="M656" t="b">
        <v>0</v>
      </c>
      <c r="N656" t="n">
        <v>0</v>
      </c>
      <c r="O656" t="b">
        <v>1</v>
      </c>
      <c r="P656" t="b">
        <v>0</v>
      </c>
      <c r="Q656" t="b">
        <v>1</v>
      </c>
    </row>
    <row r="657">
      <c r="A657" t="inlineStr">
        <is>
          <t>REQ00656</t>
        </is>
      </c>
      <c r="B657" t="inlineStr">
        <is>
          <t>724500RWRWSIR9M27B52</t>
        </is>
      </c>
      <c r="C657" t="inlineStr">
        <is>
          <t>document_refresh</t>
        </is>
      </c>
      <c r="D657" s="2" t="n">
        <v>46307.43680555555</v>
      </c>
      <c r="E657" s="2" t="n">
        <v>46308.56180555555</v>
      </c>
      <c r="F657" t="inlineStr">
        <is>
          <t>M3</t>
        </is>
      </c>
      <c r="G657" t="inlineStr">
        <is>
          <t>C2</t>
        </is>
      </c>
      <c r="H657" s="2" t="n">
        <v>46307.45347222222</v>
      </c>
      <c r="I657" s="2" t="n">
        <v>46307.69930555556</v>
      </c>
      <c r="J657" t="inlineStr">
        <is>
          <t>Completed</t>
        </is>
      </c>
      <c r="K657" t="n">
        <v>6.31</v>
      </c>
      <c r="L657" t="n">
        <v>12</v>
      </c>
      <c r="M657" t="b">
        <v>0</v>
      </c>
      <c r="N657" t="n">
        <v>0</v>
      </c>
      <c r="O657" t="b">
        <v>1</v>
      </c>
      <c r="P657" t="b">
        <v>0</v>
      </c>
      <c r="Q657" t="b">
        <v>1</v>
      </c>
    </row>
    <row r="658">
      <c r="A658" t="inlineStr">
        <is>
          <t>REQ00657</t>
        </is>
      </c>
      <c r="B658" t="inlineStr">
        <is>
          <t>724500YT4NN6TXCWYH12</t>
        </is>
      </c>
      <c r="C658" t="inlineStr">
        <is>
          <t>data_amendment</t>
        </is>
      </c>
      <c r="D658" s="2" t="n">
        <v>46307.43680555555</v>
      </c>
      <c r="E658" s="2" t="n">
        <v>46308.39513888889</v>
      </c>
      <c r="F658" t="inlineStr">
        <is>
          <t>M6</t>
        </is>
      </c>
      <c r="G658" t="inlineStr">
        <is>
          <t>C2</t>
        </is>
      </c>
      <c r="H658" s="2" t="n">
        <v>46307.45</v>
      </c>
      <c r="I658" s="2" t="n">
        <v>46307.62013888889</v>
      </c>
      <c r="J658" t="inlineStr">
        <is>
          <t>Completed</t>
        </is>
      </c>
      <c r="K658" t="n">
        <v>4.4</v>
      </c>
      <c r="L658" t="n">
        <v>8</v>
      </c>
      <c r="M658" t="b">
        <v>0</v>
      </c>
      <c r="N658" t="n">
        <v>0</v>
      </c>
      <c r="O658" t="b">
        <v>1</v>
      </c>
      <c r="P658" t="b">
        <v>0</v>
      </c>
      <c r="Q658" t="b">
        <v>1</v>
      </c>
    </row>
    <row r="659">
      <c r="A659" t="inlineStr">
        <is>
          <t>REQ00658</t>
        </is>
      </c>
      <c r="B659" t="inlineStr">
        <is>
          <t>549300SZ90VI473SIK62</t>
        </is>
      </c>
      <c r="C659" t="inlineStr">
        <is>
          <t>new_account</t>
        </is>
      </c>
      <c r="D659" s="2" t="n">
        <v>46307.4375</v>
      </c>
      <c r="E659" s="2" t="n">
        <v>46308.72916666666</v>
      </c>
      <c r="F659" t="inlineStr">
        <is>
          <t>M2</t>
        </is>
      </c>
      <c r="G659" t="inlineStr">
        <is>
          <t>C3</t>
        </is>
      </c>
      <c r="H659" s="2" t="n">
        <v>46307.47430555556</v>
      </c>
      <c r="I659" s="2" t="n">
        <v>46307.69513888889</v>
      </c>
      <c r="J659" t="inlineStr">
        <is>
          <t>Completed</t>
        </is>
      </c>
      <c r="K659" t="n">
        <v>6.18</v>
      </c>
      <c r="L659" t="n">
        <v>16</v>
      </c>
      <c r="M659" t="b">
        <v>0</v>
      </c>
      <c r="N659" t="n">
        <v>0</v>
      </c>
      <c r="O659" t="b">
        <v>1</v>
      </c>
      <c r="P659" t="b">
        <v>0</v>
      </c>
      <c r="Q659" t="b">
        <v>1</v>
      </c>
    </row>
    <row r="660">
      <c r="A660" t="inlineStr">
        <is>
          <t>REQ00659</t>
        </is>
      </c>
      <c r="B660" t="inlineStr">
        <is>
          <t>6488RS7URWC94322Z608</t>
        </is>
      </c>
      <c r="C660" t="inlineStr">
        <is>
          <t>document_refresh</t>
        </is>
      </c>
      <c r="D660" s="2" t="n">
        <v>46307.45069444444</v>
      </c>
      <c r="E660" s="2" t="n">
        <v>46308.57569444444</v>
      </c>
      <c r="F660" t="inlineStr">
        <is>
          <t>M1</t>
        </is>
      </c>
      <c r="G660" t="inlineStr">
        <is>
          <t>C1</t>
        </is>
      </c>
      <c r="H660" s="2" t="n">
        <v>46307.46597222222</v>
      </c>
      <c r="I660" s="2" t="n">
        <v>46307.48472222222</v>
      </c>
      <c r="J660" t="inlineStr">
        <is>
          <t>Completed</t>
        </is>
      </c>
      <c r="K660" t="n">
        <v>0.8100000000000001</v>
      </c>
      <c r="L660" t="n">
        <v>12</v>
      </c>
      <c r="M660" t="b">
        <v>0</v>
      </c>
      <c r="N660" t="n">
        <v>1</v>
      </c>
      <c r="O660" t="b">
        <v>0</v>
      </c>
      <c r="P660" t="b">
        <v>1</v>
      </c>
      <c r="Q660" t="b">
        <v>0</v>
      </c>
    </row>
    <row r="661">
      <c r="A661" t="inlineStr">
        <is>
          <t>REQ00660</t>
        </is>
      </c>
      <c r="B661" t="inlineStr">
        <is>
          <t>213800CY51186LZQYR66</t>
        </is>
      </c>
      <c r="C661" t="inlineStr">
        <is>
          <t>data_amendment</t>
        </is>
      </c>
      <c r="D661" s="2" t="n">
        <v>46307.45208333333</v>
      </c>
      <c r="E661" s="2" t="n">
        <v>46308.41041666667</v>
      </c>
      <c r="F661" t="inlineStr">
        <is>
          <t>M4</t>
        </is>
      </c>
      <c r="G661" t="inlineStr">
        <is>
          <t>C3</t>
        </is>
      </c>
      <c r="H661" s="2" t="n">
        <v>46307.46527777778</v>
      </c>
      <c r="I661" s="2" t="n">
        <v>46307.46944444445</v>
      </c>
      <c r="J661" t="inlineStr">
        <is>
          <t>Completed</t>
        </is>
      </c>
      <c r="K661" t="n">
        <v>0.42</v>
      </c>
      <c r="L661" t="n">
        <v>8</v>
      </c>
      <c r="M661" t="b">
        <v>0</v>
      </c>
      <c r="N661" t="n">
        <v>0</v>
      </c>
      <c r="O661" t="b">
        <v>1</v>
      </c>
      <c r="P661" t="b">
        <v>0</v>
      </c>
      <c r="Q661" t="b">
        <v>0</v>
      </c>
    </row>
    <row r="662">
      <c r="A662" t="inlineStr">
        <is>
          <t>REQ00661</t>
        </is>
      </c>
      <c r="B662" t="inlineStr">
        <is>
          <t>335800UM83J89NMD4I17</t>
        </is>
      </c>
      <c r="C662" t="inlineStr">
        <is>
          <t>new_account</t>
        </is>
      </c>
      <c r="D662" s="2" t="n">
        <v>46307.47430555556</v>
      </c>
      <c r="E662" s="2" t="n">
        <v>46309.39097222222</v>
      </c>
      <c r="F662" t="inlineStr">
        <is>
          <t>M6</t>
        </is>
      </c>
      <c r="G662" t="inlineStr">
        <is>
          <t>C3</t>
        </is>
      </c>
      <c r="H662" s="2" t="n">
        <v>46307.51458333333</v>
      </c>
      <c r="I662" s="2" t="n">
        <v>46307.52777777778</v>
      </c>
      <c r="J662" t="inlineStr">
        <is>
          <t>Completed</t>
        </is>
      </c>
      <c r="K662" t="n">
        <v>1.28</v>
      </c>
      <c r="L662" t="n">
        <v>16</v>
      </c>
      <c r="M662" t="b">
        <v>0</v>
      </c>
      <c r="N662" t="n">
        <v>0</v>
      </c>
      <c r="O662" t="b">
        <v>1</v>
      </c>
      <c r="P662" t="b">
        <v>0</v>
      </c>
      <c r="Q662" t="b">
        <v>0</v>
      </c>
    </row>
    <row r="663">
      <c r="A663" t="inlineStr">
        <is>
          <t>REQ00662</t>
        </is>
      </c>
      <c r="B663" t="inlineStr">
        <is>
          <t>3912003GSYYTNTIWBC60</t>
        </is>
      </c>
      <c r="C663" t="inlineStr">
        <is>
          <t>signatory_change</t>
        </is>
      </c>
      <c r="D663" s="2" t="n">
        <v>46307.47569444445</v>
      </c>
      <c r="E663" s="2" t="n">
        <v>46308.43402777778</v>
      </c>
      <c r="F663" t="inlineStr">
        <is>
          <t>M3</t>
        </is>
      </c>
      <c r="G663" t="inlineStr">
        <is>
          <t>C3</t>
        </is>
      </c>
      <c r="H663" s="2" t="n">
        <v>46307.49861111111</v>
      </c>
      <c r="I663" s="2" t="n">
        <v>46307.50763888889</v>
      </c>
      <c r="J663" t="inlineStr">
        <is>
          <t>Completed</t>
        </is>
      </c>
      <c r="K663" t="n">
        <v>0.76</v>
      </c>
      <c r="L663" t="n">
        <v>8</v>
      </c>
      <c r="M663" t="b">
        <v>0</v>
      </c>
      <c r="N663" t="n">
        <v>0</v>
      </c>
      <c r="O663" t="b">
        <v>1</v>
      </c>
      <c r="P663" t="b">
        <v>0</v>
      </c>
      <c r="Q663" t="b">
        <v>0</v>
      </c>
    </row>
    <row r="664">
      <c r="A664" t="inlineStr">
        <is>
          <t>REQ00663</t>
        </is>
      </c>
      <c r="B664" t="inlineStr">
        <is>
          <t>391200S6STAP9FPJSL98</t>
        </is>
      </c>
      <c r="C664" t="inlineStr">
        <is>
          <t>signatory_change</t>
        </is>
      </c>
      <c r="D664" s="2" t="n">
        <v>46307.47638888889</v>
      </c>
      <c r="E664" s="2" t="n">
        <v>46308.43472222222</v>
      </c>
      <c r="F664" t="inlineStr">
        <is>
          <t>M4</t>
        </is>
      </c>
      <c r="G664" t="inlineStr">
        <is>
          <t>C2</t>
        </is>
      </c>
      <c r="H664" s="2" t="n">
        <v>46307.49583333333</v>
      </c>
      <c r="I664" s="2" t="n">
        <v>46307.50208333333</v>
      </c>
      <c r="J664" t="inlineStr">
        <is>
          <t>Completed</t>
        </is>
      </c>
      <c r="K664" t="n">
        <v>0.62</v>
      </c>
      <c r="L664" t="n">
        <v>8</v>
      </c>
      <c r="M664" t="b">
        <v>0</v>
      </c>
      <c r="N664" t="n">
        <v>0</v>
      </c>
      <c r="O664" t="b">
        <v>1</v>
      </c>
      <c r="P664" t="b">
        <v>0</v>
      </c>
      <c r="Q664" t="b">
        <v>0</v>
      </c>
    </row>
    <row r="665">
      <c r="A665" t="inlineStr">
        <is>
          <t>REQ00664</t>
        </is>
      </c>
      <c r="B665" t="inlineStr">
        <is>
          <t>9695006YVNGXDDQ33V93</t>
        </is>
      </c>
      <c r="C665" t="inlineStr">
        <is>
          <t>data_amendment</t>
        </is>
      </c>
      <c r="D665" s="2" t="n">
        <v>46307.49027777778</v>
      </c>
      <c r="E665" s="2" t="n">
        <v>46308.44861111111</v>
      </c>
      <c r="F665" t="inlineStr">
        <is>
          <t>M5</t>
        </is>
      </c>
      <c r="G665" t="inlineStr">
        <is>
          <t>C1</t>
        </is>
      </c>
      <c r="H665" s="2" t="n">
        <v>46307.5</v>
      </c>
      <c r="I665" s="2" t="n">
        <v>46307.64166666667</v>
      </c>
      <c r="J665" t="inlineStr">
        <is>
          <t>Completed</t>
        </is>
      </c>
      <c r="K665" t="n">
        <v>3.63</v>
      </c>
      <c r="L665" t="n">
        <v>8</v>
      </c>
      <c r="M665" t="b">
        <v>0</v>
      </c>
      <c r="N665" t="n">
        <v>0</v>
      </c>
      <c r="O665" t="b">
        <v>1</v>
      </c>
      <c r="P665" t="b">
        <v>0</v>
      </c>
      <c r="Q665" t="b">
        <v>1</v>
      </c>
    </row>
    <row r="666">
      <c r="A666" t="inlineStr">
        <is>
          <t>REQ00665</t>
        </is>
      </c>
      <c r="B666" t="inlineStr">
        <is>
          <t>969500UAL2AEN67V3U95</t>
        </is>
      </c>
      <c r="C666" t="inlineStr">
        <is>
          <t>data_amendment</t>
        </is>
      </c>
      <c r="D666" s="2" t="n">
        <v>46307.49027777778</v>
      </c>
      <c r="E666" s="2" t="n">
        <v>46308.44861111111</v>
      </c>
      <c r="F666" t="inlineStr">
        <is>
          <t>M1</t>
        </is>
      </c>
      <c r="G666" t="inlineStr">
        <is>
          <t>C1</t>
        </is>
      </c>
      <c r="H666" s="2" t="n">
        <v>46307.50347222222</v>
      </c>
      <c r="I666" s="2" t="n">
        <v>46307.72013888889</v>
      </c>
      <c r="J666" t="inlineStr">
        <is>
          <t>Completed</t>
        </is>
      </c>
      <c r="K666" t="n">
        <v>5.51</v>
      </c>
      <c r="L666" t="n">
        <v>8</v>
      </c>
      <c r="M666" t="b">
        <v>0</v>
      </c>
      <c r="N666" t="n">
        <v>0</v>
      </c>
      <c r="O666" t="b">
        <v>1</v>
      </c>
      <c r="P666" t="b">
        <v>0</v>
      </c>
      <c r="Q666" t="b">
        <v>1</v>
      </c>
    </row>
    <row r="667">
      <c r="A667" t="inlineStr">
        <is>
          <t>REQ00666</t>
        </is>
      </c>
      <c r="B667" t="inlineStr">
        <is>
          <t>5493001XSG56E9IDMI94</t>
        </is>
      </c>
      <c r="C667" t="inlineStr">
        <is>
          <t>data_amendment</t>
        </is>
      </c>
      <c r="D667" s="2" t="n">
        <v>46307.49930555555</v>
      </c>
      <c r="E667" s="2" t="n">
        <v>46308.45763888889</v>
      </c>
      <c r="F667" t="inlineStr">
        <is>
          <t>M2</t>
        </is>
      </c>
      <c r="G667" t="inlineStr">
        <is>
          <t>C3</t>
        </is>
      </c>
      <c r="H667" s="2" t="n">
        <v>46307.50972222222</v>
      </c>
      <c r="I667" s="2" t="n">
        <v>46307.63958333333</v>
      </c>
      <c r="J667" t="inlineStr">
        <is>
          <t>Completed</t>
        </is>
      </c>
      <c r="K667" t="n">
        <v>3.37</v>
      </c>
      <c r="L667" t="n">
        <v>8</v>
      </c>
      <c r="M667" t="b">
        <v>0</v>
      </c>
      <c r="N667" t="n">
        <v>0</v>
      </c>
      <c r="O667" t="b">
        <v>1</v>
      </c>
      <c r="P667" t="b">
        <v>0</v>
      </c>
      <c r="Q667" t="b">
        <v>1</v>
      </c>
    </row>
    <row r="668">
      <c r="A668" t="inlineStr">
        <is>
          <t>REQ00667</t>
        </is>
      </c>
      <c r="B668" t="inlineStr">
        <is>
          <t>549300268AXNX47RNQ24</t>
        </is>
      </c>
      <c r="C668" t="inlineStr">
        <is>
          <t>new_account</t>
        </is>
      </c>
      <c r="D668" s="2" t="n">
        <v>46307.50555555556</v>
      </c>
      <c r="E668" s="2" t="n">
        <v>46309.42222222222</v>
      </c>
      <c r="F668" t="inlineStr">
        <is>
          <t>M4</t>
        </is>
      </c>
      <c r="G668" t="inlineStr">
        <is>
          <t>C1</t>
        </is>
      </c>
      <c r="H668" s="2" t="n">
        <v>46307.53055555555</v>
      </c>
      <c r="I668" s="2" t="n">
        <v>46307.67083333333</v>
      </c>
      <c r="J668" t="inlineStr">
        <is>
          <t>Completed</t>
        </is>
      </c>
      <c r="K668" t="n">
        <v>3.97</v>
      </c>
      <c r="L668" t="n">
        <v>16</v>
      </c>
      <c r="M668" t="b">
        <v>0</v>
      </c>
      <c r="N668" t="n">
        <v>0</v>
      </c>
      <c r="O668" t="b">
        <v>1</v>
      </c>
      <c r="P668" t="b">
        <v>0</v>
      </c>
      <c r="Q668" t="b">
        <v>1</v>
      </c>
    </row>
    <row r="669">
      <c r="A669" t="inlineStr">
        <is>
          <t>REQ00668</t>
        </is>
      </c>
      <c r="B669" t="inlineStr">
        <is>
          <t>5493005MQC5U4BCLD140</t>
        </is>
      </c>
      <c r="C669" t="inlineStr">
        <is>
          <t>signatory_change</t>
        </is>
      </c>
      <c r="D669" s="2" t="n">
        <v>46307.51458333333</v>
      </c>
      <c r="E669" s="2" t="n">
        <v>46308.47291666667</v>
      </c>
      <c r="F669" t="inlineStr">
        <is>
          <t>M3</t>
        </is>
      </c>
      <c r="G669" t="inlineStr">
        <is>
          <t>C2</t>
        </is>
      </c>
      <c r="H669" s="2" t="n">
        <v>46307.54027777778</v>
      </c>
      <c r="I669" s="2" t="n">
        <v>46307.64652777778</v>
      </c>
      <c r="J669" t="inlineStr">
        <is>
          <t>Completed</t>
        </is>
      </c>
      <c r="K669" t="n">
        <v>3.16</v>
      </c>
      <c r="L669" t="n">
        <v>8</v>
      </c>
      <c r="M669" t="b">
        <v>0</v>
      </c>
      <c r="N669" t="n">
        <v>0</v>
      </c>
      <c r="O669" t="b">
        <v>1</v>
      </c>
      <c r="P669" t="b">
        <v>0</v>
      </c>
      <c r="Q669" t="b">
        <v>1</v>
      </c>
    </row>
    <row r="670">
      <c r="A670" t="inlineStr">
        <is>
          <t>REQ00669</t>
        </is>
      </c>
      <c r="B670" t="inlineStr">
        <is>
          <t>5493008WYDA1BLWN6S32</t>
        </is>
      </c>
      <c r="C670" t="inlineStr">
        <is>
          <t>new_account</t>
        </is>
      </c>
      <c r="D670" s="2" t="n">
        <v>46307.51805555556</v>
      </c>
      <c r="E670" s="2" t="n">
        <v>46309.43472222222</v>
      </c>
      <c r="F670" t="inlineStr">
        <is>
          <t>M5</t>
        </is>
      </c>
      <c r="G670" t="inlineStr">
        <is>
          <t>C2</t>
        </is>
      </c>
      <c r="H670" s="2" t="n">
        <v>46307.55763888889</v>
      </c>
      <c r="I670" s="2" t="n">
        <v>46307.57152777778</v>
      </c>
      <c r="J670" t="inlineStr">
        <is>
          <t>Completed</t>
        </is>
      </c>
      <c r="K670" t="n">
        <v>1.29</v>
      </c>
      <c r="L670" t="n">
        <v>16</v>
      </c>
      <c r="M670" t="b">
        <v>0</v>
      </c>
      <c r="N670" t="n">
        <v>0</v>
      </c>
      <c r="O670" t="b">
        <v>1</v>
      </c>
      <c r="P670" t="b">
        <v>0</v>
      </c>
      <c r="Q670" t="b">
        <v>0</v>
      </c>
    </row>
    <row r="671">
      <c r="A671" t="inlineStr">
        <is>
          <t>REQ00670</t>
        </is>
      </c>
      <c r="B671" t="inlineStr">
        <is>
          <t>6354001HFHPH24WCCZ64</t>
        </is>
      </c>
      <c r="C671" t="inlineStr">
        <is>
          <t>new_account</t>
        </is>
      </c>
      <c r="D671" s="2" t="n">
        <v>46307.52013888889</v>
      </c>
      <c r="E671" s="2" t="n">
        <v>46309.43680555555</v>
      </c>
      <c r="F671" t="inlineStr">
        <is>
          <t>M1</t>
        </is>
      </c>
      <c r="G671" t="inlineStr">
        <is>
          <t>C2</t>
        </is>
      </c>
      <c r="H671" s="2" t="n">
        <v>46307.54861111111</v>
      </c>
      <c r="I671" s="2" t="n">
        <v>46307.55902777778</v>
      </c>
      <c r="J671" t="inlineStr">
        <is>
          <t>Completed</t>
        </is>
      </c>
      <c r="K671" t="n">
        <v>0.93</v>
      </c>
      <c r="L671" t="n">
        <v>16</v>
      </c>
      <c r="M671" t="b">
        <v>0</v>
      </c>
      <c r="N671" t="n">
        <v>0</v>
      </c>
      <c r="O671" t="b">
        <v>1</v>
      </c>
      <c r="P671" t="b">
        <v>0</v>
      </c>
      <c r="Q671" t="b">
        <v>0</v>
      </c>
    </row>
    <row r="672">
      <c r="A672" t="inlineStr">
        <is>
          <t>REQ00671</t>
        </is>
      </c>
      <c r="B672" t="inlineStr">
        <is>
          <t>549300SQAD8MJ0O1G566</t>
        </is>
      </c>
      <c r="C672" t="inlineStr">
        <is>
          <t>document_refresh</t>
        </is>
      </c>
      <c r="D672" s="2" t="n">
        <v>46307.525</v>
      </c>
      <c r="E672" s="2" t="n">
        <v>46308.65</v>
      </c>
      <c r="F672" t="inlineStr">
        <is>
          <t>M2</t>
        </is>
      </c>
      <c r="G672" t="inlineStr">
        <is>
          <t>C3</t>
        </is>
      </c>
      <c r="H672" s="2" t="n">
        <v>46307.54166666666</v>
      </c>
      <c r="I672" s="2" t="n">
        <v>46307.54722222222</v>
      </c>
      <c r="J672" t="inlineStr">
        <is>
          <t>Completed</t>
        </is>
      </c>
      <c r="K672" t="n">
        <v>0.53</v>
      </c>
      <c r="L672" t="n">
        <v>12</v>
      </c>
      <c r="M672" t="b">
        <v>0</v>
      </c>
      <c r="N672" t="n">
        <v>0</v>
      </c>
      <c r="O672" t="b">
        <v>1</v>
      </c>
      <c r="P672" t="b">
        <v>0</v>
      </c>
      <c r="Q672" t="b">
        <v>0</v>
      </c>
    </row>
    <row r="673">
      <c r="A673" t="inlineStr">
        <is>
          <t>REQ00672</t>
        </is>
      </c>
      <c r="B673" t="inlineStr">
        <is>
          <t>254900LEDEK7351Z1941</t>
        </is>
      </c>
      <c r="C673" t="inlineStr">
        <is>
          <t>document_refresh</t>
        </is>
      </c>
      <c r="D673" s="2" t="n">
        <v>46307.52986111111</v>
      </c>
      <c r="E673" s="2" t="n">
        <v>46308.65486111111</v>
      </c>
      <c r="F673" t="inlineStr">
        <is>
          <t>M6</t>
        </is>
      </c>
      <c r="G673" t="inlineStr">
        <is>
          <t>C1</t>
        </is>
      </c>
      <c r="H673" s="2" t="n">
        <v>46307.54652777778</v>
      </c>
      <c r="I673" s="2" t="n">
        <v>46308.40833333333</v>
      </c>
      <c r="J673" t="inlineStr">
        <is>
          <t>Completed</t>
        </is>
      </c>
      <c r="K673" t="n">
        <v>6.08</v>
      </c>
      <c r="L673" t="n">
        <v>12</v>
      </c>
      <c r="M673" t="b">
        <v>0</v>
      </c>
      <c r="N673" t="n">
        <v>0</v>
      </c>
      <c r="O673" t="b">
        <v>1</v>
      </c>
      <c r="P673" t="b">
        <v>0</v>
      </c>
      <c r="Q673" t="b">
        <v>1</v>
      </c>
    </row>
    <row r="674">
      <c r="A674" t="inlineStr">
        <is>
          <t>REQ00673</t>
        </is>
      </c>
      <c r="B674" t="inlineStr">
        <is>
          <t>549300ZJ9JUGZ6H4UO82</t>
        </is>
      </c>
      <c r="C674" t="inlineStr">
        <is>
          <t>document_refresh</t>
        </is>
      </c>
      <c r="D674" s="2" t="n">
        <v>46307.53055555555</v>
      </c>
      <c r="E674" s="2" t="n">
        <v>46308.65555555555</v>
      </c>
      <c r="F674" t="inlineStr">
        <is>
          <t>M4</t>
        </is>
      </c>
      <c r="G674" t="inlineStr">
        <is>
          <t>C2</t>
        </is>
      </c>
      <c r="H674" s="2" t="n">
        <v>46307.54375</v>
      </c>
      <c r="I674" s="2" t="n">
        <v>46308.39375</v>
      </c>
      <c r="J674" t="inlineStr">
        <is>
          <t>Completed</t>
        </is>
      </c>
      <c r="K674" t="n">
        <v>5.71</v>
      </c>
      <c r="L674" t="n">
        <v>12</v>
      </c>
      <c r="M674" t="b">
        <v>0</v>
      </c>
      <c r="N674" t="n">
        <v>0</v>
      </c>
      <c r="O674" t="b">
        <v>1</v>
      </c>
      <c r="P674" t="b">
        <v>0</v>
      </c>
      <c r="Q674" t="b">
        <v>1</v>
      </c>
    </row>
    <row r="675">
      <c r="A675" t="inlineStr">
        <is>
          <t>REQ00674</t>
        </is>
      </c>
      <c r="B675" t="inlineStr">
        <is>
          <t>969500JL5RBA32GW9A02</t>
        </is>
      </c>
      <c r="C675" t="inlineStr">
        <is>
          <t>document_refresh</t>
        </is>
      </c>
      <c r="D675" s="2" t="n">
        <v>46307.53402777778</v>
      </c>
      <c r="E675" s="2" t="n">
        <v>46308.65902777778</v>
      </c>
      <c r="F675" t="inlineStr">
        <is>
          <t>M3</t>
        </is>
      </c>
      <c r="G675" t="inlineStr">
        <is>
          <t>C3</t>
        </is>
      </c>
      <c r="H675" s="2" t="n">
        <v>46307.55208333334</v>
      </c>
      <c r="I675" s="2" t="n">
        <v>46307.55902777778</v>
      </c>
      <c r="J675" t="inlineStr">
        <is>
          <t>Completed</t>
        </is>
      </c>
      <c r="K675" t="n">
        <v>0.6</v>
      </c>
      <c r="L675" t="n">
        <v>12</v>
      </c>
      <c r="M675" t="b">
        <v>0</v>
      </c>
      <c r="N675" t="n">
        <v>0</v>
      </c>
      <c r="O675" t="b">
        <v>1</v>
      </c>
      <c r="P675" t="b">
        <v>0</v>
      </c>
      <c r="Q675" t="b">
        <v>0</v>
      </c>
    </row>
    <row r="676">
      <c r="A676" t="inlineStr">
        <is>
          <t>REQ00675</t>
        </is>
      </c>
      <c r="B676" t="inlineStr">
        <is>
          <t>724500SSQJD99N91ZG44</t>
        </is>
      </c>
      <c r="C676" t="inlineStr">
        <is>
          <t>new_account</t>
        </is>
      </c>
      <c r="D676" s="2" t="n">
        <v>46307.53680555556</v>
      </c>
      <c r="E676" s="2" t="n">
        <v>46309.45347222222</v>
      </c>
      <c r="F676" t="inlineStr">
        <is>
          <t>M2</t>
        </is>
      </c>
      <c r="G676" t="inlineStr">
        <is>
          <t>C1</t>
        </is>
      </c>
      <c r="H676" s="2" t="n">
        <v>46307.56666666667</v>
      </c>
      <c r="I676" s="2" t="n">
        <v>46307.57708333333</v>
      </c>
      <c r="J676" t="inlineStr">
        <is>
          <t>Completed</t>
        </is>
      </c>
      <c r="K676" t="n">
        <v>0.97</v>
      </c>
      <c r="L676" t="n">
        <v>16</v>
      </c>
      <c r="M676" t="b">
        <v>0</v>
      </c>
      <c r="N676" t="n">
        <v>0</v>
      </c>
      <c r="O676" t="b">
        <v>1</v>
      </c>
      <c r="P676" t="b">
        <v>0</v>
      </c>
      <c r="Q676" t="b">
        <v>0</v>
      </c>
    </row>
    <row r="677">
      <c r="A677" t="inlineStr">
        <is>
          <t>REQ00676</t>
        </is>
      </c>
      <c r="B677" t="inlineStr">
        <is>
          <t>222100LDN1HRHTRPR360</t>
        </is>
      </c>
      <c r="C677" t="inlineStr">
        <is>
          <t>document_refresh</t>
        </is>
      </c>
      <c r="D677" s="2" t="n">
        <v>46307.53680555556</v>
      </c>
      <c r="E677" s="2" t="n">
        <v>46308.66180555556</v>
      </c>
      <c r="F677" t="inlineStr">
        <is>
          <t>M4</t>
        </is>
      </c>
      <c r="G677" t="inlineStr">
        <is>
          <t>C2</t>
        </is>
      </c>
      <c r="H677" s="2" t="n">
        <v>46307.55833333333</v>
      </c>
      <c r="I677" s="2" t="n">
        <v>46308.40069444444</v>
      </c>
      <c r="J677" t="inlineStr">
        <is>
          <t>Completed</t>
        </is>
      </c>
      <c r="K677" t="n">
        <v>5.74</v>
      </c>
      <c r="L677" t="n">
        <v>12</v>
      </c>
      <c r="M677" t="b">
        <v>0</v>
      </c>
      <c r="N677" t="n">
        <v>0</v>
      </c>
      <c r="O677" t="b">
        <v>1</v>
      </c>
      <c r="P677" t="b">
        <v>0</v>
      </c>
      <c r="Q677" t="b">
        <v>1</v>
      </c>
    </row>
    <row r="678">
      <c r="A678" t="inlineStr">
        <is>
          <t>REQ00677</t>
        </is>
      </c>
      <c r="B678" t="inlineStr">
        <is>
          <t>549300AQ2KMHJRTPXH21</t>
        </is>
      </c>
      <c r="C678" t="inlineStr">
        <is>
          <t>new_account</t>
        </is>
      </c>
      <c r="D678" s="2" t="n">
        <v>46307.54027777778</v>
      </c>
      <c r="E678" s="2" t="n">
        <v>46309.45694444444</v>
      </c>
      <c r="F678" t="inlineStr">
        <is>
          <t>M6</t>
        </is>
      </c>
      <c r="G678" t="inlineStr">
        <is>
          <t>C2</t>
        </is>
      </c>
      <c r="H678" s="2" t="n">
        <v>46307.58125</v>
      </c>
      <c r="I678" s="2" t="n">
        <v>46308.38194444445</v>
      </c>
      <c r="J678" t="inlineStr">
        <is>
          <t>Completed</t>
        </is>
      </c>
      <c r="K678" t="n">
        <v>5.2</v>
      </c>
      <c r="L678" t="n">
        <v>16</v>
      </c>
      <c r="M678" t="b">
        <v>0</v>
      </c>
      <c r="N678" t="n">
        <v>0</v>
      </c>
      <c r="O678" t="b">
        <v>1</v>
      </c>
      <c r="P678" t="b">
        <v>0</v>
      </c>
      <c r="Q678" t="b">
        <v>1</v>
      </c>
    </row>
    <row r="679">
      <c r="A679" t="inlineStr">
        <is>
          <t>REQ00678</t>
        </is>
      </c>
      <c r="B679" t="inlineStr">
        <is>
          <t>724500ZGEVNJ2V1HJ488</t>
        </is>
      </c>
      <c r="C679" t="inlineStr">
        <is>
          <t>signatory_change</t>
        </is>
      </c>
      <c r="D679" s="2" t="n">
        <v>46307.54027777778</v>
      </c>
      <c r="E679" s="2" t="n">
        <v>46308.49861111111</v>
      </c>
      <c r="F679" t="inlineStr">
        <is>
          <t>M1</t>
        </is>
      </c>
      <c r="G679" t="inlineStr">
        <is>
          <t>C3</t>
        </is>
      </c>
      <c r="H679" s="2" t="n">
        <v>46307.575</v>
      </c>
      <c r="I679" s="2" t="n">
        <v>46307.58333333334</v>
      </c>
      <c r="J679" t="inlineStr">
        <is>
          <t>Completed</t>
        </is>
      </c>
      <c r="K679" t="n">
        <v>1.04</v>
      </c>
      <c r="L679" t="n">
        <v>8</v>
      </c>
      <c r="M679" t="b">
        <v>0</v>
      </c>
      <c r="N679" t="n">
        <v>0</v>
      </c>
      <c r="O679" t="b">
        <v>1</v>
      </c>
      <c r="P679" t="b">
        <v>0</v>
      </c>
      <c r="Q679" t="b">
        <v>0</v>
      </c>
    </row>
    <row r="680">
      <c r="A680" t="inlineStr">
        <is>
          <t>REQ00679</t>
        </is>
      </c>
      <c r="B680" t="inlineStr">
        <is>
          <t>213800G2HXJAJUZ22E07</t>
        </is>
      </c>
      <c r="C680" t="inlineStr">
        <is>
          <t>signatory_change</t>
        </is>
      </c>
      <c r="D680" s="2" t="n">
        <v>46307.54791666667</v>
      </c>
      <c r="E680" s="2" t="n">
        <v>46308.50625</v>
      </c>
      <c r="F680" t="inlineStr">
        <is>
          <t>M3</t>
        </is>
      </c>
      <c r="G680" t="inlineStr">
        <is>
          <t>C1</t>
        </is>
      </c>
      <c r="H680" s="2" t="n">
        <v>46307.57083333333</v>
      </c>
      <c r="I680" s="2" t="n">
        <v>46307.73958333334</v>
      </c>
      <c r="J680" t="inlineStr">
        <is>
          <t>Completed</t>
        </is>
      </c>
      <c r="K680" t="n">
        <v>4.59</v>
      </c>
      <c r="L680" t="n">
        <v>8</v>
      </c>
      <c r="M680" t="b">
        <v>0</v>
      </c>
      <c r="N680" t="n">
        <v>0</v>
      </c>
      <c r="O680" t="b">
        <v>1</v>
      </c>
      <c r="P680" t="b">
        <v>0</v>
      </c>
      <c r="Q680" t="b">
        <v>1</v>
      </c>
    </row>
    <row r="681">
      <c r="A681" t="inlineStr">
        <is>
          <t>REQ00680</t>
        </is>
      </c>
      <c r="B681" t="inlineStr">
        <is>
          <t>969500BQIU11KQBWSD94</t>
        </is>
      </c>
      <c r="C681" t="inlineStr">
        <is>
          <t>data_amendment</t>
        </is>
      </c>
      <c r="D681" s="2" t="n">
        <v>46307.55486111111</v>
      </c>
      <c r="E681" s="2" t="n">
        <v>46308.51319444444</v>
      </c>
      <c r="F681" t="inlineStr">
        <is>
          <t>M5</t>
        </is>
      </c>
      <c r="G681" t="inlineStr">
        <is>
          <t>C2</t>
        </is>
      </c>
      <c r="H681" s="2" t="n">
        <v>46307.56944444445</v>
      </c>
      <c r="I681" s="2" t="n">
        <v>46308.41319444445</v>
      </c>
      <c r="J681" t="inlineStr">
        <is>
          <t>Completed</t>
        </is>
      </c>
      <c r="K681" t="n">
        <v>5.6</v>
      </c>
      <c r="L681" t="n">
        <v>8</v>
      </c>
      <c r="M681" t="b">
        <v>0</v>
      </c>
      <c r="N681" t="n">
        <v>0</v>
      </c>
      <c r="O681" t="b">
        <v>1</v>
      </c>
      <c r="P681" t="b">
        <v>0</v>
      </c>
      <c r="Q681" t="b">
        <v>1</v>
      </c>
    </row>
    <row r="682">
      <c r="A682" t="inlineStr">
        <is>
          <t>REQ00681</t>
        </is>
      </c>
      <c r="B682" t="inlineStr">
        <is>
          <t>64881TUUBY6U123G8875</t>
        </is>
      </c>
      <c r="C682" t="inlineStr">
        <is>
          <t>document_refresh</t>
        </is>
      </c>
      <c r="D682" s="2" t="n">
        <v>46307.5625</v>
      </c>
      <c r="E682" s="2" t="n">
        <v>46308.6875</v>
      </c>
      <c r="F682" t="inlineStr">
        <is>
          <t>M4</t>
        </is>
      </c>
      <c r="G682" t="inlineStr">
        <is>
          <t>C2</t>
        </is>
      </c>
      <c r="H682" s="2" t="n">
        <v>46307.57638888889</v>
      </c>
      <c r="I682" s="2" t="n">
        <v>46307.58125</v>
      </c>
      <c r="J682" t="inlineStr">
        <is>
          <t>Completed</t>
        </is>
      </c>
      <c r="K682" t="n">
        <v>0.44</v>
      </c>
      <c r="L682" t="n">
        <v>12</v>
      </c>
      <c r="M682" t="b">
        <v>0</v>
      </c>
      <c r="N682" t="n">
        <v>0</v>
      </c>
      <c r="O682" t="b">
        <v>1</v>
      </c>
      <c r="P682" t="b">
        <v>0</v>
      </c>
      <c r="Q682" t="b">
        <v>0</v>
      </c>
    </row>
    <row r="683">
      <c r="A683" t="inlineStr">
        <is>
          <t>REQ00682</t>
        </is>
      </c>
      <c r="B683" t="inlineStr">
        <is>
          <t>969500RO0MGG3W41OQ34</t>
        </is>
      </c>
      <c r="C683" t="inlineStr">
        <is>
          <t>signatory_change</t>
        </is>
      </c>
      <c r="D683" s="2" t="n">
        <v>46307.56666666667</v>
      </c>
      <c r="E683" s="2" t="n">
        <v>46308.525</v>
      </c>
      <c r="F683" t="inlineStr">
        <is>
          <t>M2</t>
        </is>
      </c>
      <c r="G683" t="inlineStr">
        <is>
          <t>C2</t>
        </is>
      </c>
      <c r="H683" s="2" t="n">
        <v>46307.58402777778</v>
      </c>
      <c r="I683" s="2" t="n">
        <v>46307.59236111111</v>
      </c>
      <c r="J683" t="inlineStr">
        <is>
          <t>Completed</t>
        </is>
      </c>
      <c r="K683" t="n">
        <v>0.61</v>
      </c>
      <c r="L683" t="n">
        <v>8</v>
      </c>
      <c r="M683" t="b">
        <v>0</v>
      </c>
      <c r="N683" t="n">
        <v>0</v>
      </c>
      <c r="O683" t="b">
        <v>1</v>
      </c>
      <c r="P683" t="b">
        <v>0</v>
      </c>
      <c r="Q683" t="b">
        <v>0</v>
      </c>
    </row>
    <row r="684">
      <c r="A684" t="inlineStr">
        <is>
          <t>REQ00683</t>
        </is>
      </c>
      <c r="B684" t="inlineStr">
        <is>
          <t>724500RLLCETK40V9N95</t>
        </is>
      </c>
      <c r="C684" t="inlineStr">
        <is>
          <t>new_account</t>
        </is>
      </c>
      <c r="D684" s="2" t="n">
        <v>46307.56666666667</v>
      </c>
      <c r="E684" s="2" t="n">
        <v>46309.48333333333</v>
      </c>
      <c r="F684" t="inlineStr">
        <is>
          <t>M5</t>
        </is>
      </c>
      <c r="G684" t="inlineStr">
        <is>
          <t>C1</t>
        </is>
      </c>
      <c r="H684" s="2" t="n">
        <v>46307.60625</v>
      </c>
      <c r="I684" s="2" t="n">
        <v>46307.61875</v>
      </c>
      <c r="J684" t="inlineStr">
        <is>
          <t>Completed</t>
        </is>
      </c>
      <c r="K684" t="n">
        <v>1.24</v>
      </c>
      <c r="L684" t="n">
        <v>16</v>
      </c>
      <c r="M684" t="b">
        <v>0</v>
      </c>
      <c r="N684" t="n">
        <v>0</v>
      </c>
      <c r="O684" t="b">
        <v>1</v>
      </c>
      <c r="P684" t="b">
        <v>0</v>
      </c>
      <c r="Q684" t="b">
        <v>0</v>
      </c>
    </row>
    <row r="685">
      <c r="A685" t="inlineStr">
        <is>
          <t>REQ00684</t>
        </is>
      </c>
      <c r="B685" t="inlineStr">
        <is>
          <t>2138002QL4C361G66E27</t>
        </is>
      </c>
      <c r="C685" t="inlineStr">
        <is>
          <t>document_refresh</t>
        </is>
      </c>
      <c r="D685" s="2" t="n">
        <v>46307.57222222222</v>
      </c>
      <c r="E685" s="2" t="n">
        <v>46308.69722222222</v>
      </c>
      <c r="F685" t="inlineStr">
        <is>
          <t>M3</t>
        </is>
      </c>
      <c r="G685" t="inlineStr">
        <is>
          <t>C3</t>
        </is>
      </c>
      <c r="H685" s="2" t="n">
        <v>46307.58194444444</v>
      </c>
      <c r="I685" s="2" t="n">
        <v>46308.42152777778</v>
      </c>
      <c r="J685" t="inlineStr">
        <is>
          <t>Completed</t>
        </is>
      </c>
      <c r="K685" t="n">
        <v>5.39</v>
      </c>
      <c r="L685" t="n">
        <v>12</v>
      </c>
      <c r="M685" t="b">
        <v>0</v>
      </c>
      <c r="N685" t="n">
        <v>0</v>
      </c>
      <c r="O685" t="b">
        <v>1</v>
      </c>
      <c r="P685" t="b">
        <v>0</v>
      </c>
      <c r="Q685" t="b">
        <v>1</v>
      </c>
    </row>
    <row r="686">
      <c r="A686" t="inlineStr">
        <is>
          <t>REQ00685</t>
        </is>
      </c>
      <c r="B686" t="inlineStr">
        <is>
          <t>549300Y90KXVYG5E4W08</t>
        </is>
      </c>
      <c r="C686" t="inlineStr">
        <is>
          <t>new_account</t>
        </is>
      </c>
      <c r="D686" s="2" t="n">
        <v>46307.57291666666</v>
      </c>
      <c r="E686" s="2" t="n">
        <v>46309.48958333334</v>
      </c>
      <c r="F686" t="inlineStr">
        <is>
          <t>M1</t>
        </is>
      </c>
      <c r="G686" t="inlineStr">
        <is>
          <t>C3</t>
        </is>
      </c>
      <c r="H686" s="2" t="n">
        <v>46307.60555555556</v>
      </c>
      <c r="I686" s="2" t="n">
        <v>46308.4125</v>
      </c>
      <c r="J686" t="inlineStr">
        <is>
          <t>Completed</t>
        </is>
      </c>
      <c r="K686" t="n">
        <v>5.15</v>
      </c>
      <c r="L686" t="n">
        <v>16</v>
      </c>
      <c r="M686" t="b">
        <v>0</v>
      </c>
      <c r="N686" t="n">
        <v>0</v>
      </c>
      <c r="O686" t="b">
        <v>1</v>
      </c>
      <c r="P686" t="b">
        <v>0</v>
      </c>
      <c r="Q686" t="b">
        <v>1</v>
      </c>
    </row>
    <row r="687">
      <c r="A687" t="inlineStr">
        <is>
          <t>REQ00686</t>
        </is>
      </c>
      <c r="B687" t="inlineStr">
        <is>
          <t>648843AUX86W6Z2JL392</t>
        </is>
      </c>
      <c r="C687" t="inlineStr">
        <is>
          <t>new_account</t>
        </is>
      </c>
      <c r="D687" s="2" t="n">
        <v>46307.57638888889</v>
      </c>
      <c r="E687" s="2" t="n">
        <v>46309.49305555555</v>
      </c>
      <c r="F687" t="inlineStr">
        <is>
          <t>M4</t>
        </is>
      </c>
      <c r="G687" t="inlineStr">
        <is>
          <t>C2</t>
        </is>
      </c>
      <c r="H687" s="2" t="n">
        <v>46307.60208333333</v>
      </c>
      <c r="I687" s="2" t="n">
        <v>46307.61527777778</v>
      </c>
      <c r="J687" t="inlineStr">
        <is>
          <t>Completed</t>
        </is>
      </c>
      <c r="K687" t="n">
        <v>0.93</v>
      </c>
      <c r="L687" t="n">
        <v>16</v>
      </c>
      <c r="M687" t="b">
        <v>0</v>
      </c>
      <c r="N687" t="n">
        <v>0</v>
      </c>
      <c r="O687" t="b">
        <v>1</v>
      </c>
      <c r="P687" t="b">
        <v>0</v>
      </c>
      <c r="Q687" t="b">
        <v>0</v>
      </c>
    </row>
    <row r="688">
      <c r="A688" t="inlineStr">
        <is>
          <t>REQ00687</t>
        </is>
      </c>
      <c r="B688" t="inlineStr">
        <is>
          <t>6488Z24CI3Z524ATN921</t>
        </is>
      </c>
      <c r="C688" t="inlineStr">
        <is>
          <t>new_account</t>
        </is>
      </c>
      <c r="D688" s="2" t="n">
        <v>46307.58125</v>
      </c>
      <c r="E688" s="2" t="n">
        <v>46309.49791666667</v>
      </c>
      <c r="F688" t="inlineStr">
        <is>
          <t>M6</t>
        </is>
      </c>
      <c r="G688" t="inlineStr">
        <is>
          <t>C3</t>
        </is>
      </c>
      <c r="H688" s="2" t="n">
        <v>46307.60902777778</v>
      </c>
      <c r="I688" s="2" t="n">
        <v>46307.62222222222</v>
      </c>
      <c r="J688" t="inlineStr">
        <is>
          <t>Completed</t>
        </is>
      </c>
      <c r="K688" t="n">
        <v>0.98</v>
      </c>
      <c r="L688" t="n">
        <v>16</v>
      </c>
      <c r="M688" t="b">
        <v>0</v>
      </c>
      <c r="N688" t="n">
        <v>0</v>
      </c>
      <c r="O688" t="b">
        <v>1</v>
      </c>
      <c r="P688" t="b">
        <v>0</v>
      </c>
      <c r="Q688" t="b">
        <v>0</v>
      </c>
    </row>
    <row r="689">
      <c r="A689" t="inlineStr">
        <is>
          <t>REQ00688</t>
        </is>
      </c>
      <c r="B689" t="inlineStr">
        <is>
          <t>391200AQ28YJD7CONV09</t>
        </is>
      </c>
      <c r="C689" t="inlineStr">
        <is>
          <t>new_account</t>
        </is>
      </c>
      <c r="D689" s="2" t="n">
        <v>46307.58402777778</v>
      </c>
      <c r="E689" s="2" t="n">
        <v>46309.50069444445</v>
      </c>
      <c r="F689" t="inlineStr">
        <is>
          <t>M3</t>
        </is>
      </c>
      <c r="G689" t="inlineStr">
        <is>
          <t>C3</t>
        </is>
      </c>
      <c r="H689" s="2" t="n">
        <v>46307.61111111111</v>
      </c>
      <c r="I689" s="2" t="n">
        <v>46308.45833333334</v>
      </c>
      <c r="J689" t="inlineStr">
        <is>
          <t>Completed</t>
        </is>
      </c>
      <c r="K689" t="n">
        <v>5.98</v>
      </c>
      <c r="L689" t="n">
        <v>16</v>
      </c>
      <c r="M689" t="b">
        <v>0</v>
      </c>
      <c r="N689" t="n">
        <v>0</v>
      </c>
      <c r="O689" t="b">
        <v>1</v>
      </c>
      <c r="P689" t="b">
        <v>0</v>
      </c>
      <c r="Q689" t="b">
        <v>1</v>
      </c>
    </row>
    <row r="690">
      <c r="A690" t="inlineStr">
        <is>
          <t>REQ00689</t>
        </is>
      </c>
      <c r="B690" t="inlineStr">
        <is>
          <t>549300KY094DGNJWL972</t>
        </is>
      </c>
      <c r="C690" t="inlineStr">
        <is>
          <t>signatory_change</t>
        </is>
      </c>
      <c r="D690" s="2" t="n">
        <v>46307.6</v>
      </c>
      <c r="E690" s="2" t="n">
        <v>46308.55833333333</v>
      </c>
      <c r="F690" t="inlineStr">
        <is>
          <t>M2</t>
        </is>
      </c>
      <c r="G690" t="inlineStr">
        <is>
          <t>C2</t>
        </is>
      </c>
      <c r="H690" s="2" t="n">
        <v>46307.61666666667</v>
      </c>
      <c r="I690" s="2" t="n">
        <v>46308.46319444444</v>
      </c>
      <c r="J690" t="inlineStr">
        <is>
          <t>Completed</t>
        </is>
      </c>
      <c r="K690" t="n">
        <v>5.72</v>
      </c>
      <c r="L690" t="n">
        <v>8</v>
      </c>
      <c r="M690" t="b">
        <v>0</v>
      </c>
      <c r="N690" t="n">
        <v>0</v>
      </c>
      <c r="O690" t="b">
        <v>1</v>
      </c>
      <c r="P690" t="b">
        <v>0</v>
      </c>
      <c r="Q690" t="b">
        <v>1</v>
      </c>
    </row>
    <row r="691">
      <c r="A691" t="inlineStr">
        <is>
          <t>REQ00690</t>
        </is>
      </c>
      <c r="B691" t="inlineStr">
        <is>
          <t>549300TND1WKB3F1JI58</t>
        </is>
      </c>
      <c r="C691" t="inlineStr">
        <is>
          <t>signatory_change</t>
        </is>
      </c>
      <c r="D691" s="2" t="n">
        <v>46307.60208333333</v>
      </c>
      <c r="E691" s="2" t="n">
        <v>46308.56041666667</v>
      </c>
      <c r="F691" t="inlineStr">
        <is>
          <t>M4</t>
        </is>
      </c>
      <c r="G691" t="inlineStr">
        <is>
          <t>C3</t>
        </is>
      </c>
      <c r="H691" s="2" t="n">
        <v>46307.62430555555</v>
      </c>
      <c r="I691" s="2" t="n">
        <v>46308.46666666667</v>
      </c>
      <c r="J691" t="inlineStr">
        <is>
          <t>Completed</t>
        </is>
      </c>
      <c r="K691" t="n">
        <v>5.75</v>
      </c>
      <c r="L691" t="n">
        <v>8</v>
      </c>
      <c r="M691" t="b">
        <v>0</v>
      </c>
      <c r="N691" t="n">
        <v>0</v>
      </c>
      <c r="O691" t="b">
        <v>1</v>
      </c>
      <c r="P691" t="b">
        <v>0</v>
      </c>
      <c r="Q691" t="b">
        <v>1</v>
      </c>
    </row>
    <row r="692">
      <c r="A692" t="inlineStr">
        <is>
          <t>REQ00691</t>
        </is>
      </c>
      <c r="B692" t="inlineStr">
        <is>
          <t>549300IB1TLJZCHEO353</t>
        </is>
      </c>
      <c r="C692" t="inlineStr">
        <is>
          <t>document_refresh</t>
        </is>
      </c>
      <c r="D692" s="2" t="n">
        <v>46307.60347222222</v>
      </c>
      <c r="E692" s="2" t="n">
        <v>46308.72847222222</v>
      </c>
      <c r="F692" t="inlineStr">
        <is>
          <t>M1</t>
        </is>
      </c>
      <c r="G692" t="inlineStr">
        <is>
          <t>C2</t>
        </is>
      </c>
      <c r="H692" s="2" t="n">
        <v>46307.62152777778</v>
      </c>
      <c r="I692" s="2" t="n">
        <v>46308.4875</v>
      </c>
      <c r="J692" t="inlineStr">
        <is>
          <t>Completed</t>
        </is>
      </c>
      <c r="K692" t="n">
        <v>6.22</v>
      </c>
      <c r="L692" t="n">
        <v>12</v>
      </c>
      <c r="M692" t="b">
        <v>0</v>
      </c>
      <c r="N692" t="n">
        <v>0</v>
      </c>
      <c r="O692" t="b">
        <v>1</v>
      </c>
      <c r="P692" t="b">
        <v>0</v>
      </c>
      <c r="Q692" t="b">
        <v>1</v>
      </c>
    </row>
    <row r="693">
      <c r="A693" t="inlineStr">
        <is>
          <t>REQ00692</t>
        </is>
      </c>
      <c r="B693" t="inlineStr">
        <is>
          <t>222100T975WVXB8ZLF90</t>
        </is>
      </c>
      <c r="C693" t="inlineStr">
        <is>
          <t>document_refresh</t>
        </is>
      </c>
      <c r="D693" s="2" t="n">
        <v>46307.60416666666</v>
      </c>
      <c r="E693" s="2" t="n">
        <v>46308.72916666666</v>
      </c>
      <c r="F693" t="inlineStr">
        <is>
          <t>M5</t>
        </is>
      </c>
      <c r="G693" t="inlineStr">
        <is>
          <t>C1</t>
        </is>
      </c>
      <c r="H693" s="2" t="n">
        <v>46307.62222222222</v>
      </c>
      <c r="I693" s="2" t="n">
        <v>46308.38611111111</v>
      </c>
      <c r="J693" t="inlineStr">
        <is>
          <t>Completed</t>
        </is>
      </c>
      <c r="K693" t="n">
        <v>3.76</v>
      </c>
      <c r="L693" t="n">
        <v>12</v>
      </c>
      <c r="M693" t="b">
        <v>0</v>
      </c>
      <c r="N693" t="n">
        <v>0</v>
      </c>
      <c r="O693" t="b">
        <v>1</v>
      </c>
      <c r="P693" t="b">
        <v>0</v>
      </c>
      <c r="Q693" t="b">
        <v>1</v>
      </c>
    </row>
    <row r="694">
      <c r="A694" t="inlineStr">
        <is>
          <t>REQ00693</t>
        </is>
      </c>
      <c r="B694" t="inlineStr">
        <is>
          <t>391200UBM41Y2K0QBQ42</t>
        </is>
      </c>
      <c r="C694" t="inlineStr">
        <is>
          <t>document_refresh</t>
        </is>
      </c>
      <c r="D694" s="2" t="n">
        <v>46307.6125</v>
      </c>
      <c r="E694" s="2" t="n">
        <v>46308.7375</v>
      </c>
      <c r="F694" t="inlineStr">
        <is>
          <t>M6</t>
        </is>
      </c>
      <c r="G694" t="inlineStr">
        <is>
          <t>C1</t>
        </is>
      </c>
      <c r="H694" s="2" t="n">
        <v>46307.62986111111</v>
      </c>
      <c r="I694" s="2" t="n">
        <v>46308.39861111111</v>
      </c>
      <c r="J694" t="inlineStr">
        <is>
          <t>Completed</t>
        </is>
      </c>
      <c r="K694" t="n">
        <v>3.87</v>
      </c>
      <c r="L694" t="n">
        <v>12</v>
      </c>
      <c r="M694" t="b">
        <v>0</v>
      </c>
      <c r="N694" t="n">
        <v>0</v>
      </c>
      <c r="O694" t="b">
        <v>1</v>
      </c>
      <c r="P694" t="b">
        <v>0</v>
      </c>
      <c r="Q694" t="b">
        <v>1</v>
      </c>
    </row>
    <row r="695">
      <c r="A695" t="inlineStr">
        <is>
          <t>REQ00694</t>
        </is>
      </c>
      <c r="B695" t="inlineStr">
        <is>
          <t>724500O0VU6BC8E50224</t>
        </is>
      </c>
      <c r="C695" t="inlineStr">
        <is>
          <t>document_refresh</t>
        </is>
      </c>
      <c r="D695" s="2" t="n">
        <v>46307.61388888889</v>
      </c>
      <c r="E695" s="2" t="n">
        <v>46308.73888888889</v>
      </c>
      <c r="F695" t="inlineStr">
        <is>
          <t>M3</t>
        </is>
      </c>
      <c r="G695" t="inlineStr">
        <is>
          <t>C2</t>
        </is>
      </c>
      <c r="H695" s="2" t="n">
        <v>46307.62847222222</v>
      </c>
      <c r="I695" s="2" t="n">
        <v>46307.63333333333</v>
      </c>
      <c r="J695" t="inlineStr">
        <is>
          <t>Completed</t>
        </is>
      </c>
      <c r="K695" t="n">
        <v>0.46</v>
      </c>
      <c r="L695" t="n">
        <v>12</v>
      </c>
      <c r="M695" t="b">
        <v>0</v>
      </c>
      <c r="N695" t="n">
        <v>0</v>
      </c>
      <c r="O695" t="b">
        <v>1</v>
      </c>
      <c r="P695" t="b">
        <v>0</v>
      </c>
      <c r="Q695" t="b">
        <v>0</v>
      </c>
    </row>
    <row r="696">
      <c r="A696" t="inlineStr">
        <is>
          <t>REQ00695</t>
        </is>
      </c>
      <c r="B696" t="inlineStr">
        <is>
          <t>213800CQ27PW8Y5YU989</t>
        </is>
      </c>
      <c r="C696" t="inlineStr">
        <is>
          <t>data_amendment</t>
        </is>
      </c>
      <c r="D696" s="2" t="n">
        <v>46307.62847222222</v>
      </c>
      <c r="E696" s="2" t="n">
        <v>46308.58680555555</v>
      </c>
      <c r="F696" t="inlineStr">
        <is>
          <t>M2</t>
        </is>
      </c>
      <c r="G696" t="inlineStr">
        <is>
          <t>C3</t>
        </is>
      </c>
      <c r="H696" s="2" t="n">
        <v>46307.64097222222</v>
      </c>
      <c r="I696" s="2" t="n">
        <v>46307.73680555556</v>
      </c>
      <c r="J696" t="inlineStr">
        <is>
          <t>Completed</t>
        </is>
      </c>
      <c r="K696" t="n">
        <v>2.59</v>
      </c>
      <c r="L696" t="n">
        <v>8</v>
      </c>
      <c r="M696" t="b">
        <v>0</v>
      </c>
      <c r="N696" t="n">
        <v>0</v>
      </c>
      <c r="O696" t="b">
        <v>1</v>
      </c>
      <c r="P696" t="b">
        <v>0</v>
      </c>
      <c r="Q696" t="b">
        <v>1</v>
      </c>
    </row>
    <row r="697">
      <c r="A697" t="inlineStr">
        <is>
          <t>REQ00696</t>
        </is>
      </c>
      <c r="B697" t="inlineStr">
        <is>
          <t>969500U661WSGI3EDN70</t>
        </is>
      </c>
      <c r="C697" t="inlineStr">
        <is>
          <t>new_account</t>
        </is>
      </c>
      <c r="D697" s="2" t="n">
        <v>46307.62916666667</v>
      </c>
      <c r="E697" s="2" t="n">
        <v>46309.54583333333</v>
      </c>
      <c r="F697" t="inlineStr">
        <is>
          <t>M1</t>
        </is>
      </c>
      <c r="G697" t="inlineStr">
        <is>
          <t>C1</t>
        </is>
      </c>
      <c r="H697" s="2" t="n">
        <v>46307.65277777778</v>
      </c>
      <c r="I697" s="2" t="n">
        <v>46308.44027777778</v>
      </c>
      <c r="J697" t="inlineStr">
        <is>
          <t>Completed</t>
        </is>
      </c>
      <c r="K697" t="n">
        <v>4.47</v>
      </c>
      <c r="L697" t="n">
        <v>16</v>
      </c>
      <c r="M697" t="b">
        <v>0</v>
      </c>
      <c r="N697" t="n">
        <v>0</v>
      </c>
      <c r="O697" t="b">
        <v>1</v>
      </c>
      <c r="P697" t="b">
        <v>0</v>
      </c>
      <c r="Q697" t="b">
        <v>1</v>
      </c>
    </row>
    <row r="698">
      <c r="A698" t="inlineStr">
        <is>
          <t>REQ00697</t>
        </is>
      </c>
      <c r="B698" t="inlineStr">
        <is>
          <t>724500RVE4YF3NVW4O66</t>
        </is>
      </c>
      <c r="C698" t="inlineStr">
        <is>
          <t>document_refresh</t>
        </is>
      </c>
      <c r="D698" s="2" t="n">
        <v>46307.62986111111</v>
      </c>
      <c r="E698" s="2" t="n">
        <v>46309.37986111111</v>
      </c>
      <c r="F698" t="inlineStr">
        <is>
          <t>M5</t>
        </is>
      </c>
      <c r="G698" t="inlineStr">
        <is>
          <t>C1</t>
        </is>
      </c>
      <c r="H698" s="2" t="n">
        <v>46307.64305555556</v>
      </c>
      <c r="I698" s="2" t="n">
        <v>46308.49305555555</v>
      </c>
      <c r="J698" t="inlineStr">
        <is>
          <t>Completed</t>
        </is>
      </c>
      <c r="K698" t="n">
        <v>5.71</v>
      </c>
      <c r="L698" t="n">
        <v>12</v>
      </c>
      <c r="M698" t="b">
        <v>0</v>
      </c>
      <c r="N698" t="n">
        <v>0</v>
      </c>
      <c r="O698" t="b">
        <v>1</v>
      </c>
      <c r="P698" t="b">
        <v>0</v>
      </c>
      <c r="Q698" t="b">
        <v>1</v>
      </c>
    </row>
    <row r="699">
      <c r="A699" t="inlineStr">
        <is>
          <t>REQ00698</t>
        </is>
      </c>
      <c r="B699" t="inlineStr">
        <is>
          <t>2138001Z8ET6G186QC88</t>
        </is>
      </c>
      <c r="C699" t="inlineStr">
        <is>
          <t>signatory_change</t>
        </is>
      </c>
      <c r="D699" s="2" t="n">
        <v>46307.63402777778</v>
      </c>
      <c r="E699" s="2" t="n">
        <v>46308.59236111111</v>
      </c>
      <c r="F699" t="inlineStr">
        <is>
          <t>M4</t>
        </is>
      </c>
      <c r="G699" t="inlineStr">
        <is>
          <t>C3</t>
        </is>
      </c>
      <c r="H699" s="2" t="n">
        <v>46307.65833333333</v>
      </c>
      <c r="I699" s="2" t="n">
        <v>46307.66527777778</v>
      </c>
      <c r="J699" t="inlineStr">
        <is>
          <t>Completed</t>
        </is>
      </c>
      <c r="K699" t="n">
        <v>0.75</v>
      </c>
      <c r="L699" t="n">
        <v>8</v>
      </c>
      <c r="M699" t="b">
        <v>0</v>
      </c>
      <c r="N699" t="n">
        <v>0</v>
      </c>
      <c r="O699" t="b">
        <v>1</v>
      </c>
      <c r="P699" t="b">
        <v>0</v>
      </c>
      <c r="Q699" t="b">
        <v>0</v>
      </c>
    </row>
    <row r="700">
      <c r="A700" t="inlineStr">
        <is>
          <t>REQ00699</t>
        </is>
      </c>
      <c r="B700" t="inlineStr">
        <is>
          <t>894500JPCUDPXZORYM13</t>
        </is>
      </c>
      <c r="C700" t="inlineStr">
        <is>
          <t>data_amendment</t>
        </is>
      </c>
      <c r="D700" s="2" t="n">
        <v>46307.63611111111</v>
      </c>
      <c r="E700" s="2" t="n">
        <v>46308.59444444445</v>
      </c>
      <c r="F700" t="inlineStr">
        <is>
          <t>M3</t>
        </is>
      </c>
      <c r="G700" t="inlineStr">
        <is>
          <t>C1</t>
        </is>
      </c>
      <c r="H700" s="2" t="n">
        <v>46307.64861111111</v>
      </c>
      <c r="I700" s="2" t="n">
        <v>46308.49791666667</v>
      </c>
      <c r="J700" t="inlineStr">
        <is>
          <t>Completed</t>
        </is>
      </c>
      <c r="K700" t="n">
        <v>5.68</v>
      </c>
      <c r="L700" t="n">
        <v>8</v>
      </c>
      <c r="M700" t="b">
        <v>0</v>
      </c>
      <c r="N700" t="n">
        <v>0</v>
      </c>
      <c r="O700" t="b">
        <v>1</v>
      </c>
      <c r="P700" t="b">
        <v>0</v>
      </c>
      <c r="Q700" t="b">
        <v>1</v>
      </c>
    </row>
    <row r="701">
      <c r="A701" t="inlineStr">
        <is>
          <t>REQ00700</t>
        </is>
      </c>
      <c r="B701" t="inlineStr">
        <is>
          <t>984500C57DE6G80D2A70</t>
        </is>
      </c>
      <c r="C701" t="inlineStr">
        <is>
          <t>new_account</t>
        </is>
      </c>
      <c r="D701" s="2" t="n">
        <v>46307.64027777778</v>
      </c>
      <c r="E701" s="2" t="n">
        <v>46309.55694444444</v>
      </c>
      <c r="F701" t="inlineStr">
        <is>
          <t>M6</t>
        </is>
      </c>
      <c r="G701" t="inlineStr">
        <is>
          <t>C1</t>
        </is>
      </c>
      <c r="H701" s="2" t="n">
        <v>46307.67013888889</v>
      </c>
      <c r="I701" s="2" t="n">
        <v>46307.68194444444</v>
      </c>
      <c r="J701" t="inlineStr">
        <is>
          <t>Completed</t>
        </is>
      </c>
      <c r="K701" t="n">
        <v>1.01</v>
      </c>
      <c r="L701" t="n">
        <v>16</v>
      </c>
      <c r="M701" t="b">
        <v>0</v>
      </c>
      <c r="N701" t="n">
        <v>0</v>
      </c>
      <c r="O701" t="b">
        <v>1</v>
      </c>
      <c r="P701" t="b">
        <v>0</v>
      </c>
      <c r="Q701" t="b">
        <v>0</v>
      </c>
    </row>
    <row r="702">
      <c r="A702" t="inlineStr">
        <is>
          <t>REQ00701</t>
        </is>
      </c>
      <c r="B702" t="inlineStr">
        <is>
          <t>9845004LF7D84BC47388</t>
        </is>
      </c>
      <c r="C702" t="inlineStr">
        <is>
          <t>data_amendment</t>
        </is>
      </c>
      <c r="D702" s="2" t="n">
        <v>46307.64166666667</v>
      </c>
      <c r="E702" s="2" t="n">
        <v>46308.6</v>
      </c>
      <c r="F702" t="inlineStr">
        <is>
          <t>M2</t>
        </is>
      </c>
      <c r="G702" t="inlineStr">
        <is>
          <t>C3</t>
        </is>
      </c>
      <c r="H702" s="2" t="n">
        <v>46307.65416666667</v>
      </c>
      <c r="I702" s="2" t="n">
        <v>46308.52777777778</v>
      </c>
      <c r="J702" t="inlineStr">
        <is>
          <t>Completed</t>
        </is>
      </c>
      <c r="K702" t="n">
        <v>6.26</v>
      </c>
      <c r="L702" t="n">
        <v>8</v>
      </c>
      <c r="M702" t="b">
        <v>0</v>
      </c>
      <c r="N702" t="n">
        <v>0</v>
      </c>
      <c r="O702" t="b">
        <v>1</v>
      </c>
      <c r="P702" t="b">
        <v>0</v>
      </c>
      <c r="Q702" t="b">
        <v>1</v>
      </c>
    </row>
    <row r="703">
      <c r="A703" t="inlineStr">
        <is>
          <t>REQ00702</t>
        </is>
      </c>
      <c r="B703" t="inlineStr">
        <is>
          <t>3358005RPI6SGUH1XJ33</t>
        </is>
      </c>
      <c r="C703" t="inlineStr">
        <is>
          <t>signatory_change</t>
        </is>
      </c>
      <c r="D703" s="2" t="n">
        <v>46307.64305555556</v>
      </c>
      <c r="E703" s="2" t="n">
        <v>46308.60138888889</v>
      </c>
      <c r="F703" t="inlineStr">
        <is>
          <t>M5</t>
        </is>
      </c>
      <c r="G703" t="inlineStr">
        <is>
          <t>C3</t>
        </is>
      </c>
      <c r="H703" s="2" t="n">
        <v>46307.66805555556</v>
      </c>
      <c r="I703" s="2" t="n">
        <v>46307.67708333334</v>
      </c>
      <c r="J703" t="inlineStr">
        <is>
          <t>Completed</t>
        </is>
      </c>
      <c r="K703" t="n">
        <v>0.82</v>
      </c>
      <c r="L703" t="n">
        <v>8</v>
      </c>
      <c r="M703" t="b">
        <v>0</v>
      </c>
      <c r="N703" t="n">
        <v>0</v>
      </c>
      <c r="O703" t="b">
        <v>1</v>
      </c>
      <c r="P703" t="b">
        <v>0</v>
      </c>
      <c r="Q703" t="b">
        <v>0</v>
      </c>
    </row>
    <row r="704">
      <c r="A704" t="inlineStr">
        <is>
          <t>REQ00703</t>
        </is>
      </c>
      <c r="B704" t="inlineStr">
        <is>
          <t>549300HQ0BRRJRSDMZ89</t>
        </is>
      </c>
      <c r="C704" t="inlineStr">
        <is>
          <t>new_account</t>
        </is>
      </c>
      <c r="D704" s="2" t="n">
        <v>46307.64583333334</v>
      </c>
      <c r="E704" s="2" t="n">
        <v>46309.5625</v>
      </c>
      <c r="F704" t="inlineStr">
        <is>
          <t>M3</t>
        </is>
      </c>
      <c r="G704" t="inlineStr">
        <is>
          <t>C1</t>
        </is>
      </c>
      <c r="H704" s="2" t="n">
        <v>46307.68055555555</v>
      </c>
      <c r="I704" s="2" t="n">
        <v>46308.46736111111</v>
      </c>
      <c r="J704" t="inlineStr">
        <is>
          <t>Completed</t>
        </is>
      </c>
      <c r="K704" t="n">
        <v>4.71</v>
      </c>
      <c r="L704" t="n">
        <v>16</v>
      </c>
      <c r="M704" t="b">
        <v>0</v>
      </c>
      <c r="N704" t="n">
        <v>0</v>
      </c>
      <c r="O704" t="b">
        <v>1</v>
      </c>
      <c r="P704" t="b">
        <v>0</v>
      </c>
      <c r="Q704" t="b">
        <v>1</v>
      </c>
    </row>
    <row r="705">
      <c r="A705" t="inlineStr">
        <is>
          <t>REQ00704</t>
        </is>
      </c>
      <c r="B705" t="inlineStr">
        <is>
          <t>54930001ZGEVT44PWG30</t>
        </is>
      </c>
      <c r="C705" t="inlineStr">
        <is>
          <t>document_refresh</t>
        </is>
      </c>
      <c r="D705" s="2" t="n">
        <v>46307.65069444444</v>
      </c>
      <c r="E705" s="2" t="n">
        <v>46309.40069444444</v>
      </c>
      <c r="F705" t="inlineStr">
        <is>
          <t>M1</t>
        </is>
      </c>
      <c r="G705" t="inlineStr">
        <is>
          <t>C3</t>
        </is>
      </c>
      <c r="H705" s="2" t="n">
        <v>46307.66388888889</v>
      </c>
      <c r="I705" s="2" t="n">
        <v>46308.39791666667</v>
      </c>
      <c r="J705" t="inlineStr">
        <is>
          <t>Completed</t>
        </is>
      </c>
      <c r="K705" t="n">
        <v>2.93</v>
      </c>
      <c r="L705" t="n">
        <v>12</v>
      </c>
      <c r="M705" t="b">
        <v>0</v>
      </c>
      <c r="N705" t="n">
        <v>0</v>
      </c>
      <c r="O705" t="b">
        <v>1</v>
      </c>
      <c r="P705" t="b">
        <v>0</v>
      </c>
      <c r="Q705" t="b">
        <v>1</v>
      </c>
    </row>
    <row r="706">
      <c r="A706" t="inlineStr">
        <is>
          <t>REQ00705</t>
        </is>
      </c>
      <c r="B706" t="inlineStr">
        <is>
          <t>213800RCC9RSSRWELZ67</t>
        </is>
      </c>
      <c r="C706" t="inlineStr">
        <is>
          <t>document_refresh</t>
        </is>
      </c>
      <c r="D706" s="2" t="n">
        <v>46307.65069444444</v>
      </c>
      <c r="E706" s="2" t="n">
        <v>46309.40069444444</v>
      </c>
      <c r="F706" t="inlineStr">
        <is>
          <t>M2</t>
        </is>
      </c>
      <c r="G706" t="inlineStr">
        <is>
          <t>C2</t>
        </is>
      </c>
      <c r="H706" s="2" t="n">
        <v>46307.67222222222</v>
      </c>
      <c r="I706" s="2" t="n">
        <v>46307.67847222222</v>
      </c>
      <c r="J706" t="inlineStr">
        <is>
          <t>Completed</t>
        </is>
      </c>
      <c r="K706" t="n">
        <v>0.67</v>
      </c>
      <c r="L706" t="n">
        <v>12</v>
      </c>
      <c r="M706" t="b">
        <v>0</v>
      </c>
      <c r="N706" t="n">
        <v>0</v>
      </c>
      <c r="O706" t="b">
        <v>1</v>
      </c>
      <c r="P706" t="b">
        <v>0</v>
      </c>
      <c r="Q706" t="b">
        <v>0</v>
      </c>
    </row>
    <row r="707">
      <c r="A707" t="inlineStr">
        <is>
          <t>REQ00706</t>
        </is>
      </c>
      <c r="B707" t="inlineStr">
        <is>
          <t>648800VXS81TFILHLV38</t>
        </is>
      </c>
      <c r="C707" t="inlineStr">
        <is>
          <t>data_amendment</t>
        </is>
      </c>
      <c r="D707" s="2" t="n">
        <v>46307.65833333333</v>
      </c>
      <c r="E707" s="2" t="n">
        <v>46308.61666666667</v>
      </c>
      <c r="F707" t="inlineStr">
        <is>
          <t>M4</t>
        </is>
      </c>
      <c r="G707" t="inlineStr">
        <is>
          <t>C2</t>
        </is>
      </c>
      <c r="H707" s="2" t="n">
        <v>46307.66736111111</v>
      </c>
      <c r="I707" s="2" t="n">
        <v>46307.67986111111</v>
      </c>
      <c r="J707" t="inlineStr">
        <is>
          <t>Completed</t>
        </is>
      </c>
      <c r="K707" t="n">
        <v>0.52</v>
      </c>
      <c r="L707" t="n">
        <v>8</v>
      </c>
      <c r="M707" t="b">
        <v>0</v>
      </c>
      <c r="N707" t="n">
        <v>1</v>
      </c>
      <c r="O707" t="b">
        <v>0</v>
      </c>
      <c r="P707" t="b">
        <v>1</v>
      </c>
      <c r="Q707" t="b">
        <v>0</v>
      </c>
    </row>
    <row r="708">
      <c r="A708" t="inlineStr">
        <is>
          <t>REQ00707</t>
        </is>
      </c>
      <c r="B708" t="inlineStr">
        <is>
          <t>6488X8L5V2XK2A2I8770</t>
        </is>
      </c>
      <c r="C708" t="inlineStr">
        <is>
          <t>signatory_change</t>
        </is>
      </c>
      <c r="D708" s="2" t="n">
        <v>46307.67361111111</v>
      </c>
      <c r="E708" s="2" t="n">
        <v>46308.63194444445</v>
      </c>
      <c r="F708" t="inlineStr">
        <is>
          <t>M1</t>
        </is>
      </c>
      <c r="G708" t="inlineStr">
        <is>
          <t>C1</t>
        </is>
      </c>
      <c r="H708" s="2" t="n">
        <v>46307.69444444445</v>
      </c>
      <c r="I708" s="2" t="n">
        <v>46307.70277777778</v>
      </c>
      <c r="J708" t="inlineStr">
        <is>
          <t>Completed</t>
        </is>
      </c>
      <c r="K708" t="n">
        <v>0.71</v>
      </c>
      <c r="L708" t="n">
        <v>8</v>
      </c>
      <c r="M708" t="b">
        <v>0</v>
      </c>
      <c r="N708" t="n">
        <v>0</v>
      </c>
      <c r="O708" t="b">
        <v>1</v>
      </c>
      <c r="P708" t="b">
        <v>0</v>
      </c>
      <c r="Q708" t="b">
        <v>0</v>
      </c>
    </row>
    <row r="709">
      <c r="A709" t="inlineStr">
        <is>
          <t>REQ00708</t>
        </is>
      </c>
      <c r="B709" t="inlineStr">
        <is>
          <t>969500UOIRS21O8C2Q53</t>
        </is>
      </c>
      <c r="C709" t="inlineStr">
        <is>
          <t>document_refresh</t>
        </is>
      </c>
      <c r="D709" s="2" t="n">
        <v>46307.67986111111</v>
      </c>
      <c r="E709" s="2" t="n">
        <v>46309.42986111111</v>
      </c>
      <c r="F709" t="inlineStr">
        <is>
          <t>M4</t>
        </is>
      </c>
      <c r="G709" t="inlineStr">
        <is>
          <t>C3</t>
        </is>
      </c>
      <c r="H709" s="2" t="n">
        <v>46307.69513888889</v>
      </c>
      <c r="I709" s="2" t="n">
        <v>46307.69930555556</v>
      </c>
      <c r="J709" t="inlineStr">
        <is>
          <t>Completed</t>
        </is>
      </c>
      <c r="K709" t="n">
        <v>0.47</v>
      </c>
      <c r="L709" t="n">
        <v>12</v>
      </c>
      <c r="M709" t="b">
        <v>0</v>
      </c>
      <c r="N709" t="n">
        <v>0</v>
      </c>
      <c r="O709" t="b">
        <v>1</v>
      </c>
      <c r="P709" t="b">
        <v>0</v>
      </c>
      <c r="Q709" t="b">
        <v>0</v>
      </c>
    </row>
    <row r="710">
      <c r="A710" t="inlineStr">
        <is>
          <t>REQ00709</t>
        </is>
      </c>
      <c r="B710" t="inlineStr">
        <is>
          <t>52990087IUF0VSLCT729</t>
        </is>
      </c>
      <c r="C710" t="inlineStr">
        <is>
          <t>new_account</t>
        </is>
      </c>
      <c r="D710" s="2" t="n">
        <v>46307.68263888889</v>
      </c>
      <c r="E710" s="2" t="n">
        <v>46309.59930555556</v>
      </c>
      <c r="F710" t="inlineStr">
        <is>
          <t>M5</t>
        </is>
      </c>
      <c r="G710" t="inlineStr">
        <is>
          <t>C2</t>
        </is>
      </c>
      <c r="H710" s="2" t="n">
        <v>46307.71041666667</v>
      </c>
      <c r="I710" s="2" t="n">
        <v>46307.72361111111</v>
      </c>
      <c r="J710" t="inlineStr">
        <is>
          <t>Completed</t>
        </is>
      </c>
      <c r="K710" t="n">
        <v>0.98</v>
      </c>
      <c r="L710" t="n">
        <v>16</v>
      </c>
      <c r="M710" t="b">
        <v>0</v>
      </c>
      <c r="N710" t="n">
        <v>0</v>
      </c>
      <c r="O710" t="b">
        <v>1</v>
      </c>
      <c r="P710" t="b">
        <v>0</v>
      </c>
      <c r="Q710" t="b">
        <v>0</v>
      </c>
    </row>
    <row r="711">
      <c r="A711" t="inlineStr">
        <is>
          <t>REQ00710</t>
        </is>
      </c>
      <c r="B711" t="inlineStr">
        <is>
          <t>724500OLXOGEL0UDXT49</t>
        </is>
      </c>
      <c r="C711" t="inlineStr">
        <is>
          <t>signatory_change</t>
        </is>
      </c>
      <c r="D711" s="2" t="n">
        <v>46307.68333333333</v>
      </c>
      <c r="E711" s="2" t="n">
        <v>46308.64166666667</v>
      </c>
      <c r="F711" t="inlineStr">
        <is>
          <t>M6</t>
        </is>
      </c>
      <c r="G711" t="inlineStr">
        <is>
          <t>C3</t>
        </is>
      </c>
      <c r="H711" s="2" t="n">
        <v>46307.70555555556</v>
      </c>
      <c r="I711" s="2" t="n">
        <v>46307.71458333333</v>
      </c>
      <c r="J711" t="inlineStr">
        <is>
          <t>Completed</t>
        </is>
      </c>
      <c r="K711" t="n">
        <v>0.75</v>
      </c>
      <c r="L711" t="n">
        <v>8</v>
      </c>
      <c r="M711" t="b">
        <v>0</v>
      </c>
      <c r="N711" t="n">
        <v>0</v>
      </c>
      <c r="O711" t="b">
        <v>1</v>
      </c>
      <c r="P711" t="b">
        <v>0</v>
      </c>
      <c r="Q711" t="b">
        <v>0</v>
      </c>
    </row>
    <row r="712">
      <c r="A712" t="inlineStr">
        <is>
          <t>REQ00711</t>
        </is>
      </c>
      <c r="B712" t="inlineStr">
        <is>
          <t>5493003K8G2OYAHZBV95</t>
        </is>
      </c>
      <c r="C712" t="inlineStr">
        <is>
          <t>data_amendment</t>
        </is>
      </c>
      <c r="D712" s="2" t="n">
        <v>46307.7</v>
      </c>
      <c r="E712" s="2" t="n">
        <v>46308.65833333333</v>
      </c>
      <c r="F712" t="inlineStr">
        <is>
          <t>M2</t>
        </is>
      </c>
      <c r="G712" t="inlineStr">
        <is>
          <t>C2</t>
        </is>
      </c>
      <c r="H712" s="2" t="n">
        <v>46307.71111111111</v>
      </c>
      <c r="I712" s="2" t="n">
        <v>46308.53472222222</v>
      </c>
      <c r="J712" t="inlineStr">
        <is>
          <t>Completed</t>
        </is>
      </c>
      <c r="K712" t="n">
        <v>5.03</v>
      </c>
      <c r="L712" t="n">
        <v>8</v>
      </c>
      <c r="M712" t="b">
        <v>0</v>
      </c>
      <c r="N712" t="n">
        <v>0</v>
      </c>
      <c r="O712" t="b">
        <v>1</v>
      </c>
      <c r="P712" t="b">
        <v>0</v>
      </c>
      <c r="Q712" t="b">
        <v>1</v>
      </c>
    </row>
    <row r="713">
      <c r="A713" t="inlineStr">
        <is>
          <t>REQ00712</t>
        </is>
      </c>
      <c r="B713" t="inlineStr">
        <is>
          <t>549300XXD0YL0AER3Z82</t>
        </is>
      </c>
      <c r="C713" t="inlineStr">
        <is>
          <t>document_refresh</t>
        </is>
      </c>
      <c r="D713" s="2" t="n">
        <v>46307.70347222222</v>
      </c>
      <c r="E713" s="2" t="n">
        <v>46309.45347222222</v>
      </c>
      <c r="F713" t="inlineStr">
        <is>
          <t>M3</t>
        </is>
      </c>
      <c r="G713" t="inlineStr">
        <is>
          <t>C1</t>
        </is>
      </c>
      <c r="H713" s="2" t="n">
        <v>46307.71944444445</v>
      </c>
      <c r="I713" s="2" t="n">
        <v>46308.50416666667</v>
      </c>
      <c r="J713" t="inlineStr">
        <is>
          <t>Completed</t>
        </is>
      </c>
      <c r="K713" t="n">
        <v>4.21</v>
      </c>
      <c r="L713" t="n">
        <v>12</v>
      </c>
      <c r="M713" t="b">
        <v>0</v>
      </c>
      <c r="N713" t="n">
        <v>0</v>
      </c>
      <c r="O713" t="b">
        <v>1</v>
      </c>
      <c r="P713" t="b">
        <v>0</v>
      </c>
      <c r="Q713" t="b">
        <v>1</v>
      </c>
    </row>
    <row r="714">
      <c r="A714" t="inlineStr">
        <is>
          <t>REQ00713</t>
        </is>
      </c>
      <c r="B714" t="inlineStr">
        <is>
          <t>549300A78H2KB08MJO32</t>
        </is>
      </c>
      <c r="C714" t="inlineStr">
        <is>
          <t>new_account</t>
        </is>
      </c>
      <c r="D714" s="2" t="n">
        <v>46307.70694444444</v>
      </c>
      <c r="E714" s="2" t="n">
        <v>46309.62361111111</v>
      </c>
      <c r="F714" t="inlineStr">
        <is>
          <t>M1</t>
        </is>
      </c>
      <c r="G714" t="inlineStr">
        <is>
          <t>C3</t>
        </is>
      </c>
      <c r="H714" s="2" t="n">
        <v>46307.74097222222</v>
      </c>
      <c r="I714" s="2" t="n">
        <v>46308.49930555555</v>
      </c>
      <c r="J714" t="inlineStr">
        <is>
          <t>Completed</t>
        </is>
      </c>
      <c r="K714" t="n">
        <v>4.02</v>
      </c>
      <c r="L714" t="n">
        <v>16</v>
      </c>
      <c r="M714" t="b">
        <v>0</v>
      </c>
      <c r="N714" t="n">
        <v>0</v>
      </c>
      <c r="O714" t="b">
        <v>1</v>
      </c>
      <c r="P714" t="b">
        <v>0</v>
      </c>
      <c r="Q714" t="b">
        <v>1</v>
      </c>
    </row>
    <row r="715">
      <c r="A715" t="inlineStr">
        <is>
          <t>REQ00714</t>
        </is>
      </c>
      <c r="B715" t="inlineStr">
        <is>
          <t>213800WVMN4PDX5TOF36</t>
        </is>
      </c>
      <c r="C715" t="inlineStr">
        <is>
          <t>document_refresh</t>
        </is>
      </c>
      <c r="D715" s="2" t="n">
        <v>46307.71597222222</v>
      </c>
      <c r="E715" s="2" t="n">
        <v>46309.46597222222</v>
      </c>
      <c r="F715" t="inlineStr">
        <is>
          <t>M4</t>
        </is>
      </c>
      <c r="G715" t="inlineStr">
        <is>
          <t>C2</t>
        </is>
      </c>
      <c r="H715" s="2" t="n">
        <v>46307.72777777778</v>
      </c>
      <c r="I715" s="2" t="n">
        <v>46308.55555555555</v>
      </c>
      <c r="J715" t="inlineStr">
        <is>
          <t>Completed</t>
        </is>
      </c>
      <c r="K715" t="n">
        <v>5.16</v>
      </c>
      <c r="L715" t="n">
        <v>12</v>
      </c>
      <c r="M715" t="b">
        <v>0</v>
      </c>
      <c r="N715" t="n">
        <v>0</v>
      </c>
      <c r="O715" t="b">
        <v>1</v>
      </c>
      <c r="P715" t="b">
        <v>0</v>
      </c>
      <c r="Q715" t="b">
        <v>1</v>
      </c>
    </row>
    <row r="716">
      <c r="A716" t="inlineStr">
        <is>
          <t>REQ00715</t>
        </is>
      </c>
      <c r="B716" t="inlineStr">
        <is>
          <t>549300YO3R1HI0UEDK46</t>
        </is>
      </c>
      <c r="C716" t="inlineStr">
        <is>
          <t>data_amendment</t>
        </is>
      </c>
      <c r="D716" s="2" t="n">
        <v>46307.71736111111</v>
      </c>
      <c r="E716" s="2" t="n">
        <v>46308.67569444444</v>
      </c>
      <c r="F716" t="inlineStr">
        <is>
          <t>M6</t>
        </is>
      </c>
      <c r="G716" t="inlineStr">
        <is>
          <t>C3</t>
        </is>
      </c>
      <c r="H716" s="2" t="n">
        <v>46307.72777777778</v>
      </c>
      <c r="I716" s="2" t="n">
        <v>46308.51736111111</v>
      </c>
      <c r="J716" t="inlineStr">
        <is>
          <t>Completed</t>
        </is>
      </c>
      <c r="K716" t="n">
        <v>4.19</v>
      </c>
      <c r="L716" t="n">
        <v>8</v>
      </c>
      <c r="M716" t="b">
        <v>0</v>
      </c>
      <c r="N716" t="n">
        <v>1</v>
      </c>
      <c r="O716" t="b">
        <v>0</v>
      </c>
      <c r="P716" t="b">
        <v>1</v>
      </c>
      <c r="Q716" t="b">
        <v>1</v>
      </c>
    </row>
    <row r="717">
      <c r="A717" t="inlineStr">
        <is>
          <t>REQ00716</t>
        </is>
      </c>
      <c r="B717" t="inlineStr">
        <is>
          <t>335800NJS1U34337E508</t>
        </is>
      </c>
      <c r="C717" t="inlineStr">
        <is>
          <t>document_refresh</t>
        </is>
      </c>
      <c r="D717" s="2" t="n">
        <v>46307.72152777778</v>
      </c>
      <c r="E717" s="2" t="n">
        <v>46309.47152777778</v>
      </c>
      <c r="F717" t="inlineStr">
        <is>
          <t>M5</t>
        </is>
      </c>
      <c r="G717" t="inlineStr">
        <is>
          <t>C3</t>
        </is>
      </c>
      <c r="H717" s="2" t="n">
        <v>46307.73125</v>
      </c>
      <c r="I717" s="2" t="n">
        <v>46308.57569444444</v>
      </c>
      <c r="J717" t="inlineStr">
        <is>
          <t>Completed</t>
        </is>
      </c>
      <c r="K717" t="n">
        <v>5.51</v>
      </c>
      <c r="L717" t="n">
        <v>12</v>
      </c>
      <c r="M717" t="b">
        <v>0</v>
      </c>
      <c r="N717" t="n">
        <v>0</v>
      </c>
      <c r="O717" t="b">
        <v>1</v>
      </c>
      <c r="P717" t="b">
        <v>0</v>
      </c>
      <c r="Q717" t="b">
        <v>1</v>
      </c>
    </row>
    <row r="718">
      <c r="A718" t="inlineStr">
        <is>
          <t>REQ00717</t>
        </is>
      </c>
      <c r="B718" t="inlineStr">
        <is>
          <t>213800C679W5NOWZ2K38</t>
        </is>
      </c>
      <c r="C718" t="inlineStr">
        <is>
          <t>document_refresh</t>
        </is>
      </c>
      <c r="D718" s="2" t="n">
        <v>46307.73402777778</v>
      </c>
      <c r="E718" s="2" t="n">
        <v>46309.48402777778</v>
      </c>
      <c r="F718" t="inlineStr">
        <is>
          <t>M2</t>
        </is>
      </c>
      <c r="G718" t="inlineStr">
        <is>
          <t>C3</t>
        </is>
      </c>
      <c r="H718" s="2" t="n">
        <v>46307.74930555555</v>
      </c>
      <c r="I718" s="2" t="n">
        <v>46308.49930555555</v>
      </c>
      <c r="J718" t="inlineStr">
        <is>
          <t>Completed</t>
        </is>
      </c>
      <c r="K718" t="n">
        <v>3.36</v>
      </c>
      <c r="L718" t="n">
        <v>12</v>
      </c>
      <c r="M718" t="b">
        <v>0</v>
      </c>
      <c r="N718" t="n">
        <v>1</v>
      </c>
      <c r="O718" t="b">
        <v>0</v>
      </c>
      <c r="P718" t="b">
        <v>1</v>
      </c>
      <c r="Q718" t="b">
        <v>1</v>
      </c>
    </row>
    <row r="719">
      <c r="A719" t="inlineStr">
        <is>
          <t>REQ00718</t>
        </is>
      </c>
      <c r="B719" t="inlineStr">
        <is>
          <t>213800JABB7RJ8VJWT68</t>
        </is>
      </c>
      <c r="C719" t="inlineStr">
        <is>
          <t>document_refresh</t>
        </is>
      </c>
      <c r="D719" s="2" t="n">
        <v>46307.73541666667</v>
      </c>
      <c r="E719" s="2" t="n">
        <v>46309.48541666667</v>
      </c>
      <c r="F719" t="inlineStr">
        <is>
          <t>M3</t>
        </is>
      </c>
      <c r="G719" t="inlineStr">
        <is>
          <t>C3</t>
        </is>
      </c>
      <c r="H719" s="2" t="n">
        <v>46307.74722222222</v>
      </c>
      <c r="I719" s="2" t="n">
        <v>46308.55763888889</v>
      </c>
      <c r="J719" t="inlineStr">
        <is>
          <t>Completed</t>
        </is>
      </c>
      <c r="K719" t="n">
        <v>4.73</v>
      </c>
      <c r="L719" t="n">
        <v>12</v>
      </c>
      <c r="M719" t="b">
        <v>0</v>
      </c>
      <c r="N719" t="n">
        <v>0</v>
      </c>
      <c r="O719" t="b">
        <v>1</v>
      </c>
      <c r="P719" t="b">
        <v>0</v>
      </c>
      <c r="Q719" t="b">
        <v>1</v>
      </c>
    </row>
    <row r="720">
      <c r="A720" t="inlineStr">
        <is>
          <t>REQ00719</t>
        </is>
      </c>
      <c r="B720" t="inlineStr">
        <is>
          <t>98450075E014AC87AE03</t>
        </is>
      </c>
      <c r="C720" t="inlineStr">
        <is>
          <t>document_refresh</t>
        </is>
      </c>
      <c r="D720" s="2" t="n">
        <v>46307.74236111111</v>
      </c>
      <c r="E720" s="2" t="n">
        <v>46309.49236111111</v>
      </c>
      <c r="F720" t="inlineStr">
        <is>
          <t>M4</t>
        </is>
      </c>
      <c r="G720" t="inlineStr">
        <is>
          <t>C3</t>
        </is>
      </c>
      <c r="H720" s="2" t="n">
        <v>46308.37777777778</v>
      </c>
      <c r="I720" s="2" t="n">
        <v>46308.38472222222</v>
      </c>
      <c r="J720" t="inlineStr">
        <is>
          <t>Completed</t>
        </is>
      </c>
      <c r="K720" t="n">
        <v>0.42</v>
      </c>
      <c r="L720" t="n">
        <v>12</v>
      </c>
      <c r="M720" t="b">
        <v>0</v>
      </c>
      <c r="N720" t="n">
        <v>0</v>
      </c>
      <c r="O720" t="b">
        <v>1</v>
      </c>
      <c r="P720" t="b">
        <v>0</v>
      </c>
      <c r="Q720" t="b">
        <v>0</v>
      </c>
    </row>
    <row r="721">
      <c r="A721" t="inlineStr">
        <is>
          <t>REQ00720</t>
        </is>
      </c>
      <c r="B721" t="inlineStr">
        <is>
          <t>9695008FGXKHMPT1UA46</t>
        </is>
      </c>
      <c r="C721" t="inlineStr">
        <is>
          <t>data_amendment</t>
        </is>
      </c>
      <c r="D721" s="2" t="n">
        <v>46308.37569444445</v>
      </c>
      <c r="E721" s="2" t="n">
        <v>46308.70902777778</v>
      </c>
      <c r="F721" t="inlineStr">
        <is>
          <t>M6</t>
        </is>
      </c>
      <c r="G721" t="inlineStr">
        <is>
          <t>C2</t>
        </is>
      </c>
      <c r="H721" s="2" t="n">
        <v>46308.38541666666</v>
      </c>
      <c r="I721" s="2" t="n">
        <v>46308.54513888889</v>
      </c>
      <c r="J721" t="inlineStr">
        <is>
          <t>Completed</t>
        </is>
      </c>
      <c r="K721" t="n">
        <v>4.07</v>
      </c>
      <c r="L721" t="n">
        <v>8</v>
      </c>
      <c r="M721" t="b">
        <v>0</v>
      </c>
      <c r="N721" t="n">
        <v>0</v>
      </c>
      <c r="O721" t="b">
        <v>1</v>
      </c>
      <c r="P721" t="b">
        <v>0</v>
      </c>
      <c r="Q721" t="b">
        <v>1</v>
      </c>
    </row>
    <row r="722">
      <c r="A722" t="inlineStr">
        <is>
          <t>REQ00721</t>
        </is>
      </c>
      <c r="B722" t="inlineStr">
        <is>
          <t>549300BEBY2ELYZNEX22</t>
        </is>
      </c>
      <c r="C722" t="inlineStr">
        <is>
          <t>signatory_change</t>
        </is>
      </c>
      <c r="D722" s="2" t="n">
        <v>46308.38125</v>
      </c>
      <c r="E722" s="2" t="n">
        <v>46308.71458333333</v>
      </c>
      <c r="F722" t="inlineStr">
        <is>
          <t>M5</t>
        </is>
      </c>
      <c r="G722" t="inlineStr">
        <is>
          <t>C2</t>
        </is>
      </c>
      <c r="H722" s="2" t="n">
        <v>46308.40486111111</v>
      </c>
      <c r="I722" s="2" t="n">
        <v>46308.5</v>
      </c>
      <c r="J722" t="inlineStr">
        <is>
          <t>Completed</t>
        </is>
      </c>
      <c r="K722" t="n">
        <v>2.84</v>
      </c>
      <c r="L722" t="n">
        <v>8</v>
      </c>
      <c r="M722" t="b">
        <v>0</v>
      </c>
      <c r="N722" t="n">
        <v>0</v>
      </c>
      <c r="O722" t="b">
        <v>1</v>
      </c>
      <c r="P722" t="b">
        <v>0</v>
      </c>
      <c r="Q722" t="b">
        <v>1</v>
      </c>
    </row>
    <row r="723">
      <c r="A723" t="inlineStr">
        <is>
          <t>REQ00722</t>
        </is>
      </c>
      <c r="B723" t="inlineStr">
        <is>
          <t>213800MKOTU7JZ82L809</t>
        </is>
      </c>
      <c r="C723" t="inlineStr">
        <is>
          <t>signatory_change</t>
        </is>
      </c>
      <c r="D723" s="2" t="n">
        <v>46308.38541666666</v>
      </c>
      <c r="E723" s="2" t="n">
        <v>46308.71875</v>
      </c>
      <c r="F723" t="inlineStr">
        <is>
          <t>M1</t>
        </is>
      </c>
      <c r="G723" t="inlineStr">
        <is>
          <t>C3</t>
        </is>
      </c>
      <c r="H723" s="2" t="n">
        <v>46308.40763888889</v>
      </c>
      <c r="I723" s="2" t="n">
        <v>46308.58125</v>
      </c>
      <c r="J723" t="inlineStr">
        <is>
          <t>Completed</t>
        </is>
      </c>
      <c r="K723" t="n">
        <v>4.71</v>
      </c>
      <c r="L723" t="n">
        <v>8</v>
      </c>
      <c r="M723" t="b">
        <v>0</v>
      </c>
      <c r="N723" t="n">
        <v>0</v>
      </c>
      <c r="O723" t="b">
        <v>1</v>
      </c>
      <c r="P723" t="b">
        <v>0</v>
      </c>
      <c r="Q723" t="b">
        <v>1</v>
      </c>
    </row>
    <row r="724">
      <c r="A724" t="inlineStr">
        <is>
          <t>REQ00723</t>
        </is>
      </c>
      <c r="B724" t="inlineStr">
        <is>
          <t>8945002QE3JCVUBRM706</t>
        </is>
      </c>
      <c r="C724" t="inlineStr">
        <is>
          <t>document_refresh</t>
        </is>
      </c>
      <c r="D724" s="2" t="n">
        <v>46308.38888888889</v>
      </c>
      <c r="E724" s="2" t="n">
        <v>46309.51388888889</v>
      </c>
      <c r="F724" t="inlineStr">
        <is>
          <t>M3</t>
        </is>
      </c>
      <c r="G724" t="inlineStr">
        <is>
          <t>C2</t>
        </is>
      </c>
      <c r="H724" s="2" t="n">
        <v>46308.40625</v>
      </c>
      <c r="I724" s="2" t="n">
        <v>46308.63472222222</v>
      </c>
      <c r="J724" t="inlineStr">
        <is>
          <t>Completed</t>
        </is>
      </c>
      <c r="K724" t="n">
        <v>5.9</v>
      </c>
      <c r="L724" t="n">
        <v>12</v>
      </c>
      <c r="M724" t="b">
        <v>0</v>
      </c>
      <c r="N724" t="n">
        <v>1</v>
      </c>
      <c r="O724" t="b">
        <v>0</v>
      </c>
      <c r="P724" t="b">
        <v>1</v>
      </c>
      <c r="Q724" t="b">
        <v>1</v>
      </c>
    </row>
    <row r="725">
      <c r="A725" t="inlineStr">
        <is>
          <t>REQ00724</t>
        </is>
      </c>
      <c r="B725" t="inlineStr">
        <is>
          <t>5493001H0CY6GILXHF44</t>
        </is>
      </c>
      <c r="C725" t="inlineStr">
        <is>
          <t>data_amendment</t>
        </is>
      </c>
      <c r="D725" s="2" t="n">
        <v>46308.39652777778</v>
      </c>
      <c r="E725" s="2" t="n">
        <v>46308.72986111111</v>
      </c>
      <c r="F725" t="inlineStr">
        <is>
          <t>M2</t>
        </is>
      </c>
      <c r="G725" t="inlineStr">
        <is>
          <t>C2</t>
        </is>
      </c>
      <c r="H725" s="2" t="n">
        <v>46308.40486111111</v>
      </c>
      <c r="I725" s="2" t="n">
        <v>46308.59652777778</v>
      </c>
      <c r="J725" t="inlineStr">
        <is>
          <t>Completed</t>
        </is>
      </c>
      <c r="K725" t="n">
        <v>4.81</v>
      </c>
      <c r="L725" t="n">
        <v>8</v>
      </c>
      <c r="M725" t="b">
        <v>0</v>
      </c>
      <c r="N725" t="n">
        <v>0</v>
      </c>
      <c r="O725" t="b">
        <v>1</v>
      </c>
      <c r="P725" t="b">
        <v>0</v>
      </c>
      <c r="Q725" t="b">
        <v>1</v>
      </c>
    </row>
    <row r="726">
      <c r="A726" t="inlineStr">
        <is>
          <t>REQ00725</t>
        </is>
      </c>
      <c r="B726" t="inlineStr">
        <is>
          <t>969500LPF0EH71RJBW24</t>
        </is>
      </c>
      <c r="C726" t="inlineStr">
        <is>
          <t>signatory_change</t>
        </is>
      </c>
      <c r="D726" s="2" t="n">
        <v>46308.39791666667</v>
      </c>
      <c r="E726" s="2" t="n">
        <v>46308.73125</v>
      </c>
      <c r="F726" t="inlineStr">
        <is>
          <t>M4</t>
        </is>
      </c>
      <c r="G726" t="inlineStr">
        <is>
          <t>C3</t>
        </is>
      </c>
      <c r="H726" s="2" t="n">
        <v>46308.41944444444</v>
      </c>
      <c r="I726" s="2" t="n">
        <v>46308.6625</v>
      </c>
      <c r="J726" t="inlineStr">
        <is>
          <t>Completed</t>
        </is>
      </c>
      <c r="K726" t="n">
        <v>6.35</v>
      </c>
      <c r="L726" t="n">
        <v>8</v>
      </c>
      <c r="M726" t="b">
        <v>0</v>
      </c>
      <c r="N726" t="n">
        <v>0</v>
      </c>
      <c r="O726" t="b">
        <v>1</v>
      </c>
      <c r="P726" t="b">
        <v>0</v>
      </c>
      <c r="Q726" t="b">
        <v>1</v>
      </c>
    </row>
    <row r="727">
      <c r="A727" t="inlineStr">
        <is>
          <t>REQ00726</t>
        </is>
      </c>
      <c r="B727" t="inlineStr">
        <is>
          <t>8945008F0SAOA3VC7G52</t>
        </is>
      </c>
      <c r="C727" t="inlineStr">
        <is>
          <t>new_account</t>
        </is>
      </c>
      <c r="D727" s="2" t="n">
        <v>46308.40208333333</v>
      </c>
      <c r="E727" s="2" t="n">
        <v>46309.69375</v>
      </c>
      <c r="F727" t="inlineStr">
        <is>
          <t>M6</t>
        </is>
      </c>
      <c r="G727" t="inlineStr">
        <is>
          <t>C2</t>
        </is>
      </c>
      <c r="H727" s="2" t="n">
        <v>46308.43819444445</v>
      </c>
      <c r="I727" s="2" t="n">
        <v>46308.44861111111</v>
      </c>
      <c r="J727" t="inlineStr">
        <is>
          <t>Completed</t>
        </is>
      </c>
      <c r="K727" t="n">
        <v>1.11</v>
      </c>
      <c r="L727" t="n">
        <v>16</v>
      </c>
      <c r="M727" t="b">
        <v>0</v>
      </c>
      <c r="N727" t="n">
        <v>0</v>
      </c>
      <c r="O727" t="b">
        <v>1</v>
      </c>
      <c r="P727" t="b">
        <v>0</v>
      </c>
      <c r="Q727" t="b">
        <v>0</v>
      </c>
    </row>
    <row r="728">
      <c r="A728" t="inlineStr">
        <is>
          <t>REQ00727</t>
        </is>
      </c>
      <c r="B728" t="inlineStr">
        <is>
          <t>335800HC3X21RFUKBQ77</t>
        </is>
      </c>
      <c r="C728" t="inlineStr">
        <is>
          <t>document_refresh</t>
        </is>
      </c>
      <c r="D728" s="2" t="n">
        <v>46308.40277777778</v>
      </c>
      <c r="E728" s="2" t="n">
        <v>46309.52777777778</v>
      </c>
      <c r="F728" t="inlineStr">
        <is>
          <t>M2</t>
        </is>
      </c>
      <c r="G728" t="inlineStr">
        <is>
          <t>C1</t>
        </is>
      </c>
      <c r="H728" s="2" t="n">
        <v>46308.41458333333</v>
      </c>
      <c r="I728" s="2" t="n">
        <v>46308.41944444444</v>
      </c>
      <c r="J728" t="inlineStr">
        <is>
          <t>Completed</t>
        </is>
      </c>
      <c r="K728" t="n">
        <v>0.4</v>
      </c>
      <c r="L728" t="n">
        <v>12</v>
      </c>
      <c r="M728" t="b">
        <v>0</v>
      </c>
      <c r="N728" t="n">
        <v>0</v>
      </c>
      <c r="O728" t="b">
        <v>1</v>
      </c>
      <c r="P728" t="b">
        <v>0</v>
      </c>
      <c r="Q728" t="b">
        <v>0</v>
      </c>
    </row>
    <row r="729">
      <c r="A729" t="inlineStr">
        <is>
          <t>REQ00728</t>
        </is>
      </c>
      <c r="B729" t="inlineStr">
        <is>
          <t>724500OYRE68ABXYY826</t>
        </is>
      </c>
      <c r="C729" t="inlineStr">
        <is>
          <t>document_refresh</t>
        </is>
      </c>
      <c r="D729" s="2" t="n">
        <v>46308.40347222222</v>
      </c>
      <c r="E729" s="2" t="n">
        <v>46309.52847222222</v>
      </c>
      <c r="F729" t="inlineStr">
        <is>
          <t>M5</t>
        </is>
      </c>
      <c r="G729" t="inlineStr">
        <is>
          <t>C2</t>
        </is>
      </c>
      <c r="H729" s="2" t="n">
        <v>46308.41458333333</v>
      </c>
      <c r="I729" s="2" t="n">
        <v>46308.57708333333</v>
      </c>
      <c r="J729" t="inlineStr">
        <is>
          <t>Completed</t>
        </is>
      </c>
      <c r="K729" t="n">
        <v>4.16</v>
      </c>
      <c r="L729" t="n">
        <v>12</v>
      </c>
      <c r="M729" t="b">
        <v>0</v>
      </c>
      <c r="N729" t="n">
        <v>0</v>
      </c>
      <c r="O729" t="b">
        <v>1</v>
      </c>
      <c r="P729" t="b">
        <v>0</v>
      </c>
      <c r="Q729" t="b">
        <v>1</v>
      </c>
    </row>
    <row r="730">
      <c r="A730" t="inlineStr">
        <is>
          <t>REQ00729</t>
        </is>
      </c>
      <c r="B730" t="inlineStr">
        <is>
          <t>969500MHFKZE5KGOVC50</t>
        </is>
      </c>
      <c r="C730" t="inlineStr">
        <is>
          <t>document_refresh</t>
        </is>
      </c>
      <c r="D730" s="2" t="n">
        <v>46308.40347222222</v>
      </c>
      <c r="E730" s="2" t="n">
        <v>46309.52847222222</v>
      </c>
      <c r="F730" t="inlineStr">
        <is>
          <t>M3</t>
        </is>
      </c>
      <c r="G730" t="inlineStr">
        <is>
          <t>C2</t>
        </is>
      </c>
      <c r="H730" s="2" t="n">
        <v>46308.41666666666</v>
      </c>
      <c r="I730" s="2" t="n">
        <v>46308.42083333333</v>
      </c>
      <c r="J730" t="inlineStr">
        <is>
          <t>Completed</t>
        </is>
      </c>
      <c r="K730" t="n">
        <v>0.42</v>
      </c>
      <c r="L730" t="n">
        <v>12</v>
      </c>
      <c r="M730" t="b">
        <v>0</v>
      </c>
      <c r="N730" t="n">
        <v>0</v>
      </c>
      <c r="O730" t="b">
        <v>1</v>
      </c>
      <c r="P730" t="b">
        <v>0</v>
      </c>
      <c r="Q730" t="b">
        <v>0</v>
      </c>
    </row>
    <row r="731">
      <c r="A731" t="inlineStr">
        <is>
          <t>REQ00730</t>
        </is>
      </c>
      <c r="B731" t="inlineStr">
        <is>
          <t>529900BGT6GYPWN4C692</t>
        </is>
      </c>
      <c r="C731" t="inlineStr">
        <is>
          <t>document_refresh</t>
        </is>
      </c>
      <c r="D731" s="2" t="n">
        <v>46308.40555555555</v>
      </c>
      <c r="E731" s="2" t="n">
        <v>46309.53055555555</v>
      </c>
      <c r="F731" t="inlineStr">
        <is>
          <t>M1</t>
        </is>
      </c>
      <c r="G731" t="inlineStr">
        <is>
          <t>C3</t>
        </is>
      </c>
      <c r="H731" s="2" t="n">
        <v>46308.42569444444</v>
      </c>
      <c r="I731" s="2" t="n">
        <v>46308.64583333334</v>
      </c>
      <c r="J731" t="inlineStr">
        <is>
          <t>Completed</t>
        </is>
      </c>
      <c r="K731" t="n">
        <v>5.76</v>
      </c>
      <c r="L731" t="n">
        <v>12</v>
      </c>
      <c r="M731" t="b">
        <v>0</v>
      </c>
      <c r="N731" t="n">
        <v>0</v>
      </c>
      <c r="O731" t="b">
        <v>1</v>
      </c>
      <c r="P731" t="b">
        <v>0</v>
      </c>
      <c r="Q731" t="b">
        <v>1</v>
      </c>
    </row>
    <row r="732">
      <c r="A732" t="inlineStr">
        <is>
          <t>REQ00731</t>
        </is>
      </c>
      <c r="B732" t="inlineStr">
        <is>
          <t>21380065RGABN2NV2Y51</t>
        </is>
      </c>
      <c r="C732" t="inlineStr">
        <is>
          <t>document_refresh</t>
        </is>
      </c>
      <c r="D732" s="2" t="n">
        <v>46308.42013888889</v>
      </c>
      <c r="E732" s="2" t="n">
        <v>46309.54513888889</v>
      </c>
      <c r="F732" t="inlineStr">
        <is>
          <t>M2</t>
        </is>
      </c>
      <c r="G732" t="inlineStr">
        <is>
          <t>C1</t>
        </is>
      </c>
      <c r="H732" s="2" t="n">
        <v>46308.43680555555</v>
      </c>
      <c r="I732" s="2" t="n">
        <v>46308.55416666667</v>
      </c>
      <c r="J732" t="inlineStr">
        <is>
          <t>Completed</t>
        </is>
      </c>
      <c r="K732" t="n">
        <v>3.21</v>
      </c>
      <c r="L732" t="n">
        <v>12</v>
      </c>
      <c r="M732" t="b">
        <v>0</v>
      </c>
      <c r="N732" t="n">
        <v>0</v>
      </c>
      <c r="O732" t="b">
        <v>1</v>
      </c>
      <c r="P732" t="b">
        <v>0</v>
      </c>
      <c r="Q732" t="b">
        <v>1</v>
      </c>
    </row>
    <row r="733">
      <c r="A733" t="inlineStr">
        <is>
          <t>REQ00732</t>
        </is>
      </c>
      <c r="B733" t="inlineStr">
        <is>
          <t>254900TPJNFL3MXMD464</t>
        </is>
      </c>
      <c r="C733" t="inlineStr">
        <is>
          <t>document_refresh</t>
        </is>
      </c>
      <c r="D733" s="2" t="n">
        <v>46308.42777777778</v>
      </c>
      <c r="E733" s="2" t="n">
        <v>46309.55277777778</v>
      </c>
      <c r="F733" t="inlineStr">
        <is>
          <t>M5</t>
        </is>
      </c>
      <c r="G733" t="inlineStr">
        <is>
          <t>C1</t>
        </is>
      </c>
      <c r="H733" s="2" t="n">
        <v>46308.4375</v>
      </c>
      <c r="I733" s="2" t="n">
        <v>46308.65972222222</v>
      </c>
      <c r="J733" t="inlineStr">
        <is>
          <t>Completed</t>
        </is>
      </c>
      <c r="K733" t="n">
        <v>5.57</v>
      </c>
      <c r="L733" t="n">
        <v>12</v>
      </c>
      <c r="M733" t="b">
        <v>0</v>
      </c>
      <c r="N733" t="n">
        <v>0</v>
      </c>
      <c r="O733" t="b">
        <v>1</v>
      </c>
      <c r="P733" t="b">
        <v>0</v>
      </c>
      <c r="Q733" t="b">
        <v>1</v>
      </c>
    </row>
    <row r="734">
      <c r="A734" t="inlineStr">
        <is>
          <t>REQ00733</t>
        </is>
      </c>
      <c r="B734" t="inlineStr">
        <is>
          <t>529900YRDCC0IM37KS73</t>
        </is>
      </c>
      <c r="C734" t="inlineStr">
        <is>
          <t>document_refresh</t>
        </is>
      </c>
      <c r="D734" s="2" t="n">
        <v>46308.43819444445</v>
      </c>
      <c r="E734" s="2" t="n">
        <v>46309.56319444445</v>
      </c>
      <c r="F734" t="inlineStr">
        <is>
          <t>M3</t>
        </is>
      </c>
      <c r="G734" t="inlineStr">
        <is>
          <t>C1</t>
        </is>
      </c>
      <c r="H734" s="2" t="n">
        <v>46308.45277777778</v>
      </c>
      <c r="I734" s="2" t="n">
        <v>46308.54097222222</v>
      </c>
      <c r="J734" t="inlineStr">
        <is>
          <t>Completed</t>
        </is>
      </c>
      <c r="K734" t="n">
        <v>2.46</v>
      </c>
      <c r="L734" t="n">
        <v>12</v>
      </c>
      <c r="M734" t="b">
        <v>0</v>
      </c>
      <c r="N734" t="n">
        <v>0</v>
      </c>
      <c r="O734" t="b">
        <v>1</v>
      </c>
      <c r="P734" t="b">
        <v>0</v>
      </c>
      <c r="Q734" t="b">
        <v>1</v>
      </c>
    </row>
    <row r="735">
      <c r="A735" t="inlineStr">
        <is>
          <t>REQ00734</t>
        </is>
      </c>
      <c r="B735" t="inlineStr">
        <is>
          <t>894500D6E6G5SE4ZGQ37</t>
        </is>
      </c>
      <c r="C735" t="inlineStr">
        <is>
          <t>new_account</t>
        </is>
      </c>
      <c r="D735" s="2" t="n">
        <v>46308.43819444445</v>
      </c>
      <c r="E735" s="2" t="n">
        <v>46309.72986111111</v>
      </c>
      <c r="F735" t="inlineStr">
        <is>
          <t>M4</t>
        </is>
      </c>
      <c r="G735" t="inlineStr">
        <is>
          <t>C2</t>
        </is>
      </c>
      <c r="H735" s="2" t="n">
        <v>46308.46041666667</v>
      </c>
      <c r="I735" s="2" t="n">
        <v>46308.47291666667</v>
      </c>
      <c r="J735" t="inlineStr">
        <is>
          <t>Completed</t>
        </is>
      </c>
      <c r="K735" t="n">
        <v>0.84</v>
      </c>
      <c r="L735" t="n">
        <v>16</v>
      </c>
      <c r="M735" t="b">
        <v>0</v>
      </c>
      <c r="N735" t="n">
        <v>0</v>
      </c>
      <c r="O735" t="b">
        <v>1</v>
      </c>
      <c r="P735" t="b">
        <v>0</v>
      </c>
      <c r="Q735" t="b">
        <v>0</v>
      </c>
    </row>
    <row r="736">
      <c r="A736" t="inlineStr">
        <is>
          <t>REQ00735</t>
        </is>
      </c>
      <c r="B736" t="inlineStr">
        <is>
          <t>635400L5VTBHDFWHPB34</t>
        </is>
      </c>
      <c r="C736" t="inlineStr">
        <is>
          <t>data_amendment</t>
        </is>
      </c>
      <c r="D736" s="2" t="n">
        <v>46308.43958333333</v>
      </c>
      <c r="E736" s="2" t="n">
        <v>46309.39791666667</v>
      </c>
      <c r="F736" t="inlineStr">
        <is>
          <t>M1</t>
        </is>
      </c>
      <c r="G736" t="inlineStr">
        <is>
          <t>C1</t>
        </is>
      </c>
      <c r="H736" s="2" t="n">
        <v>46308.45138888889</v>
      </c>
      <c r="I736" s="2" t="n">
        <v>46308.45555555556</v>
      </c>
      <c r="J736" t="inlineStr">
        <is>
          <t>Completed</t>
        </is>
      </c>
      <c r="K736" t="n">
        <v>0.39</v>
      </c>
      <c r="L736" t="n">
        <v>8</v>
      </c>
      <c r="M736" t="b">
        <v>0</v>
      </c>
      <c r="N736" t="n">
        <v>0</v>
      </c>
      <c r="O736" t="b">
        <v>1</v>
      </c>
      <c r="P736" t="b">
        <v>0</v>
      </c>
      <c r="Q736" t="b">
        <v>0</v>
      </c>
    </row>
    <row r="737">
      <c r="A737" t="inlineStr">
        <is>
          <t>REQ00736</t>
        </is>
      </c>
      <c r="B737" t="inlineStr">
        <is>
          <t>2138001EMVLTABK8X624</t>
        </is>
      </c>
      <c r="C737" t="inlineStr">
        <is>
          <t>signatory_change</t>
        </is>
      </c>
      <c r="D737" s="2" t="n">
        <v>46308.44166666667</v>
      </c>
      <c r="E737" s="2" t="n">
        <v>46309.4</v>
      </c>
      <c r="F737" t="inlineStr">
        <is>
          <t>M2</t>
        </is>
      </c>
      <c r="G737" t="inlineStr">
        <is>
          <t>C1</t>
        </is>
      </c>
      <c r="H737" s="2" t="n">
        <v>46308.46527777778</v>
      </c>
      <c r="I737" s="2" t="n">
        <v>46308.47569444445</v>
      </c>
      <c r="J737" t="inlineStr">
        <is>
          <t>Completed</t>
        </is>
      </c>
      <c r="K737" t="n">
        <v>0.8100000000000001</v>
      </c>
      <c r="L737" t="n">
        <v>8</v>
      </c>
      <c r="M737" t="b">
        <v>0</v>
      </c>
      <c r="N737" t="n">
        <v>0</v>
      </c>
      <c r="O737" t="b">
        <v>1</v>
      </c>
      <c r="P737" t="b">
        <v>0</v>
      </c>
      <c r="Q737" t="b">
        <v>0</v>
      </c>
    </row>
    <row r="738">
      <c r="A738" t="inlineStr">
        <is>
          <t>REQ00737</t>
        </is>
      </c>
      <c r="B738" t="inlineStr">
        <is>
          <t>254900J6WFD0A7MJIR46</t>
        </is>
      </c>
      <c r="C738" t="inlineStr">
        <is>
          <t>signatory_change</t>
        </is>
      </c>
      <c r="D738" s="2" t="n">
        <v>46308.44583333333</v>
      </c>
      <c r="E738" s="2" t="n">
        <v>46309.40416666667</v>
      </c>
      <c r="F738" t="inlineStr">
        <is>
          <t>M5</t>
        </is>
      </c>
      <c r="G738" t="inlineStr">
        <is>
          <t>C1</t>
        </is>
      </c>
      <c r="H738" s="2" t="n">
        <v>46308.46666666667</v>
      </c>
      <c r="I738" s="2" t="n">
        <v>46308.68125</v>
      </c>
      <c r="J738" t="inlineStr">
        <is>
          <t>Completed</t>
        </is>
      </c>
      <c r="K738" t="n">
        <v>5.65</v>
      </c>
      <c r="L738" t="n">
        <v>8</v>
      </c>
      <c r="M738" t="b">
        <v>0</v>
      </c>
      <c r="N738" t="n">
        <v>0</v>
      </c>
      <c r="O738" t="b">
        <v>1</v>
      </c>
      <c r="P738" t="b">
        <v>0</v>
      </c>
      <c r="Q738" t="b">
        <v>1</v>
      </c>
    </row>
    <row r="739">
      <c r="A739" t="inlineStr">
        <is>
          <t>REQ00738</t>
        </is>
      </c>
      <c r="B739" t="inlineStr">
        <is>
          <t>64886KPE1WPO22793Y87</t>
        </is>
      </c>
      <c r="C739" t="inlineStr">
        <is>
          <t>signatory_change</t>
        </is>
      </c>
      <c r="D739" s="2" t="n">
        <v>46308.44652777778</v>
      </c>
      <c r="E739" s="2" t="n">
        <v>46309.40486111111</v>
      </c>
      <c r="F739" t="inlineStr">
        <is>
          <t>M6</t>
        </is>
      </c>
      <c r="G739" t="inlineStr">
        <is>
          <t>C3</t>
        </is>
      </c>
      <c r="H739" s="2" t="n">
        <v>46308.46458333333</v>
      </c>
      <c r="I739" s="2" t="n">
        <v>46308.47430555556</v>
      </c>
      <c r="J739" t="inlineStr">
        <is>
          <t>Completed</t>
        </is>
      </c>
      <c r="K739" t="n">
        <v>0.67</v>
      </c>
      <c r="L739" t="n">
        <v>8</v>
      </c>
      <c r="M739" t="b">
        <v>0</v>
      </c>
      <c r="N739" t="n">
        <v>0</v>
      </c>
      <c r="O739" t="b">
        <v>1</v>
      </c>
      <c r="P739" t="b">
        <v>0</v>
      </c>
      <c r="Q739" t="b">
        <v>0</v>
      </c>
    </row>
    <row r="740">
      <c r="A740" t="inlineStr">
        <is>
          <t>REQ00739</t>
        </is>
      </c>
      <c r="B740" t="inlineStr">
        <is>
          <t>213800ETTBBM5LQ7HF32</t>
        </is>
      </c>
      <c r="C740" t="inlineStr">
        <is>
          <t>new_account</t>
        </is>
      </c>
      <c r="D740" s="2" t="n">
        <v>46308.45416666667</v>
      </c>
      <c r="E740" s="2" t="n">
        <v>46309.74583333333</v>
      </c>
      <c r="F740" t="inlineStr">
        <is>
          <t>M1</t>
        </is>
      </c>
      <c r="G740" t="inlineStr">
        <is>
          <t>C2</t>
        </is>
      </c>
      <c r="H740" s="2" t="n">
        <v>46308.48402777778</v>
      </c>
      <c r="I740" s="2" t="n">
        <v>46308.68125</v>
      </c>
      <c r="J740" t="inlineStr">
        <is>
          <t>Completed</t>
        </is>
      </c>
      <c r="K740" t="n">
        <v>5.44</v>
      </c>
      <c r="L740" t="n">
        <v>16</v>
      </c>
      <c r="M740" t="b">
        <v>0</v>
      </c>
      <c r="N740" t="n">
        <v>0</v>
      </c>
      <c r="O740" t="b">
        <v>1</v>
      </c>
      <c r="P740" t="b">
        <v>0</v>
      </c>
      <c r="Q740" t="b">
        <v>1</v>
      </c>
    </row>
    <row r="741">
      <c r="A741" t="inlineStr">
        <is>
          <t>REQ00740</t>
        </is>
      </c>
      <c r="B741" t="inlineStr">
        <is>
          <t>894500I756KXHF1F1Y60</t>
        </is>
      </c>
      <c r="C741" t="inlineStr">
        <is>
          <t>data_amendment</t>
        </is>
      </c>
      <c r="D741" s="2" t="n">
        <v>46308.45416666667</v>
      </c>
      <c r="E741" s="2" t="n">
        <v>46309.4125</v>
      </c>
      <c r="F741" t="inlineStr">
        <is>
          <t>M3</t>
        </is>
      </c>
      <c r="G741" t="inlineStr">
        <is>
          <t>C3</t>
        </is>
      </c>
      <c r="H741" s="2" t="n">
        <v>46308.46180555555</v>
      </c>
      <c r="I741" s="2" t="n">
        <v>46308.68472222222</v>
      </c>
      <c r="J741" t="inlineStr">
        <is>
          <t>Completed</t>
        </is>
      </c>
      <c r="K741" t="n">
        <v>5.53</v>
      </c>
      <c r="L741" t="n">
        <v>8</v>
      </c>
      <c r="M741" t="b">
        <v>0</v>
      </c>
      <c r="N741" t="n">
        <v>0</v>
      </c>
      <c r="O741" t="b">
        <v>1</v>
      </c>
      <c r="P741" t="b">
        <v>0</v>
      </c>
      <c r="Q741" t="b">
        <v>1</v>
      </c>
    </row>
    <row r="742">
      <c r="A742" t="inlineStr">
        <is>
          <t>REQ00741</t>
        </is>
      </c>
      <c r="B742" t="inlineStr">
        <is>
          <t>894500LQHH0ECHVE6J67</t>
        </is>
      </c>
      <c r="C742" t="inlineStr">
        <is>
          <t>data_amendment</t>
        </is>
      </c>
      <c r="D742" s="2" t="n">
        <v>46308.45486111111</v>
      </c>
      <c r="E742" s="2" t="n">
        <v>46309.41319444445</v>
      </c>
      <c r="F742" t="inlineStr">
        <is>
          <t>M4</t>
        </is>
      </c>
      <c r="G742" t="inlineStr">
        <is>
          <t>C2</t>
        </is>
      </c>
      <c r="H742" s="2" t="n">
        <v>46308.47291666667</v>
      </c>
      <c r="I742" s="2" t="n">
        <v>46308.47708333333</v>
      </c>
      <c r="J742" t="inlineStr">
        <is>
          <t>Completed</t>
        </is>
      </c>
      <c r="K742" t="n">
        <v>0.53</v>
      </c>
      <c r="L742" t="n">
        <v>8</v>
      </c>
      <c r="M742" t="b">
        <v>0</v>
      </c>
      <c r="N742" t="n">
        <v>0</v>
      </c>
      <c r="O742" t="b">
        <v>1</v>
      </c>
      <c r="P742" t="b">
        <v>0</v>
      </c>
      <c r="Q742" t="b">
        <v>0</v>
      </c>
    </row>
    <row r="743">
      <c r="A743" t="inlineStr">
        <is>
          <t>REQ00742</t>
        </is>
      </c>
      <c r="B743" t="inlineStr">
        <is>
          <t>967600579W9LAUUEH190</t>
        </is>
      </c>
      <c r="C743" t="inlineStr">
        <is>
          <t>document_refresh</t>
        </is>
      </c>
      <c r="D743" s="2" t="n">
        <v>46308.4625</v>
      </c>
      <c r="E743" s="2" t="n">
        <v>46309.5875</v>
      </c>
      <c r="F743" t="inlineStr">
        <is>
          <t>M3</t>
        </is>
      </c>
      <c r="G743" t="inlineStr">
        <is>
          <t>C3</t>
        </is>
      </c>
      <c r="H743" s="2" t="n">
        <v>46308.47569444445</v>
      </c>
      <c r="I743" s="2" t="n">
        <v>46308.48055555556</v>
      </c>
      <c r="J743" t="inlineStr">
        <is>
          <t>Completed</t>
        </is>
      </c>
      <c r="K743" t="n">
        <v>0.43</v>
      </c>
      <c r="L743" t="n">
        <v>12</v>
      </c>
      <c r="M743" t="b">
        <v>0</v>
      </c>
      <c r="N743" t="n">
        <v>0</v>
      </c>
      <c r="O743" t="b">
        <v>1</v>
      </c>
      <c r="P743" t="b">
        <v>0</v>
      </c>
      <c r="Q743" t="b">
        <v>0</v>
      </c>
    </row>
    <row r="744">
      <c r="A744" t="inlineStr">
        <is>
          <t>REQ00743</t>
        </is>
      </c>
      <c r="B744" t="inlineStr">
        <is>
          <t>549300T8B0LBEF4WAM70</t>
        </is>
      </c>
      <c r="C744" t="inlineStr">
        <is>
          <t>signatory_change</t>
        </is>
      </c>
      <c r="D744" s="2" t="n">
        <v>46308.46527777778</v>
      </c>
      <c r="E744" s="2" t="n">
        <v>46309.42361111111</v>
      </c>
      <c r="F744" t="inlineStr">
        <is>
          <t>M6</t>
        </is>
      </c>
      <c r="G744" t="inlineStr">
        <is>
          <t>C2</t>
        </is>
      </c>
      <c r="H744" s="2" t="n">
        <v>46308.4875</v>
      </c>
      <c r="I744" s="2" t="n">
        <v>46308.73194444444</v>
      </c>
      <c r="J744" t="inlineStr">
        <is>
          <t>Completed</t>
        </is>
      </c>
      <c r="K744" t="n">
        <v>6.41</v>
      </c>
      <c r="L744" t="n">
        <v>8</v>
      </c>
      <c r="M744" t="b">
        <v>0</v>
      </c>
      <c r="N744" t="n">
        <v>0</v>
      </c>
      <c r="O744" t="b">
        <v>1</v>
      </c>
      <c r="P744" t="b">
        <v>0</v>
      </c>
      <c r="Q744" t="b">
        <v>1</v>
      </c>
    </row>
    <row r="745">
      <c r="A745" t="inlineStr">
        <is>
          <t>REQ00744</t>
        </is>
      </c>
      <c r="B745" t="inlineStr">
        <is>
          <t>549300C3YBDIIMJTBC79</t>
        </is>
      </c>
      <c r="C745" t="inlineStr">
        <is>
          <t>document_refresh</t>
        </is>
      </c>
      <c r="D745" s="2" t="n">
        <v>46308.47083333333</v>
      </c>
      <c r="E745" s="2" t="n">
        <v>46309.59583333333</v>
      </c>
      <c r="F745" t="inlineStr">
        <is>
          <t>M2</t>
        </is>
      </c>
      <c r="G745" t="inlineStr">
        <is>
          <t>C3</t>
        </is>
      </c>
      <c r="H745" s="2" t="n">
        <v>46308.48333333333</v>
      </c>
      <c r="I745" s="2" t="n">
        <v>46308.72986111111</v>
      </c>
      <c r="J745" t="inlineStr">
        <is>
          <t>Completed</t>
        </is>
      </c>
      <c r="K745" t="n">
        <v>6.22</v>
      </c>
      <c r="L745" t="n">
        <v>12</v>
      </c>
      <c r="M745" t="b">
        <v>0</v>
      </c>
      <c r="N745" t="n">
        <v>0</v>
      </c>
      <c r="O745" t="b">
        <v>1</v>
      </c>
      <c r="P745" t="b">
        <v>0</v>
      </c>
      <c r="Q745" t="b">
        <v>1</v>
      </c>
    </row>
    <row r="746">
      <c r="A746" t="inlineStr">
        <is>
          <t>REQ00745</t>
        </is>
      </c>
      <c r="B746" t="inlineStr">
        <is>
          <t>549300GV78QUAJLZKI04</t>
        </is>
      </c>
      <c r="C746" t="inlineStr">
        <is>
          <t>document_refresh</t>
        </is>
      </c>
      <c r="D746" s="2" t="n">
        <v>46308.47083333333</v>
      </c>
      <c r="E746" s="2" t="n">
        <v>46309.59583333333</v>
      </c>
      <c r="F746" t="inlineStr">
        <is>
          <t>M5</t>
        </is>
      </c>
      <c r="G746" t="inlineStr">
        <is>
          <t>C1</t>
        </is>
      </c>
      <c r="H746" s="2" t="n">
        <v>46308.48055555556</v>
      </c>
      <c r="I746" s="2" t="n">
        <v>46308.48680555556</v>
      </c>
      <c r="J746" t="inlineStr">
        <is>
          <t>Completed</t>
        </is>
      </c>
      <c r="K746" t="n">
        <v>0.38</v>
      </c>
      <c r="L746" t="n">
        <v>12</v>
      </c>
      <c r="M746" t="b">
        <v>0</v>
      </c>
      <c r="N746" t="n">
        <v>0</v>
      </c>
      <c r="O746" t="b">
        <v>1</v>
      </c>
      <c r="P746" t="b">
        <v>0</v>
      </c>
      <c r="Q746" t="b">
        <v>0</v>
      </c>
    </row>
    <row r="747">
      <c r="A747" t="inlineStr">
        <is>
          <t>REQ00746</t>
        </is>
      </c>
      <c r="B747" t="inlineStr">
        <is>
          <t>549300X3RGPW2BG9SH46</t>
        </is>
      </c>
      <c r="C747" t="inlineStr">
        <is>
          <t>document_refresh</t>
        </is>
      </c>
      <c r="D747" s="2" t="n">
        <v>46308.47291666667</v>
      </c>
      <c r="E747" s="2" t="n">
        <v>46309.59791666667</v>
      </c>
      <c r="F747" t="inlineStr">
        <is>
          <t>M4</t>
        </is>
      </c>
      <c r="G747" t="inlineStr">
        <is>
          <t>C2</t>
        </is>
      </c>
      <c r="H747" s="2" t="n">
        <v>46308.48611111111</v>
      </c>
      <c r="I747" s="2" t="n">
        <v>46308.70486111111</v>
      </c>
      <c r="J747" t="inlineStr">
        <is>
          <t>Completed</t>
        </is>
      </c>
      <c r="K747" t="n">
        <v>5.56</v>
      </c>
      <c r="L747" t="n">
        <v>12</v>
      </c>
      <c r="M747" t="b">
        <v>0</v>
      </c>
      <c r="N747" t="n">
        <v>0</v>
      </c>
      <c r="O747" t="b">
        <v>1</v>
      </c>
      <c r="P747" t="b">
        <v>0</v>
      </c>
      <c r="Q747" t="b">
        <v>1</v>
      </c>
    </row>
    <row r="748">
      <c r="A748" t="inlineStr">
        <is>
          <t>REQ00747</t>
        </is>
      </c>
      <c r="B748" t="inlineStr">
        <is>
          <t>2549007FI62N15EF9465</t>
        </is>
      </c>
      <c r="C748" t="inlineStr">
        <is>
          <t>new_account</t>
        </is>
      </c>
      <c r="D748" s="2" t="n">
        <v>46308.48472222222</v>
      </c>
      <c r="E748" s="2" t="n">
        <v>46310.40138888889</v>
      </c>
      <c r="F748" t="inlineStr">
        <is>
          <t>M3</t>
        </is>
      </c>
      <c r="G748" t="inlineStr">
        <is>
          <t>C3</t>
        </is>
      </c>
      <c r="H748" s="2" t="n">
        <v>46308.51319444444</v>
      </c>
      <c r="I748" s="2" t="n">
        <v>46309.38680555556</v>
      </c>
      <c r="J748" t="inlineStr">
        <is>
          <t>Completed</t>
        </is>
      </c>
      <c r="K748" t="n">
        <v>6.66</v>
      </c>
      <c r="L748" t="n">
        <v>16</v>
      </c>
      <c r="M748" t="b">
        <v>0</v>
      </c>
      <c r="N748" t="n">
        <v>0</v>
      </c>
      <c r="O748" t="b">
        <v>1</v>
      </c>
      <c r="P748" t="b">
        <v>0</v>
      </c>
      <c r="Q748" t="b">
        <v>1</v>
      </c>
    </row>
    <row r="749">
      <c r="A749" t="inlineStr">
        <is>
          <t>REQ00748</t>
        </is>
      </c>
      <c r="B749" t="inlineStr">
        <is>
          <t>54930057NQWL6O5NHZ93</t>
        </is>
      </c>
      <c r="C749" t="inlineStr">
        <is>
          <t>data_amendment</t>
        </is>
      </c>
      <c r="D749" s="2" t="n">
        <v>46308.49305555555</v>
      </c>
      <c r="E749" s="2" t="n">
        <v>46309.45138888889</v>
      </c>
      <c r="F749" t="inlineStr">
        <is>
          <t>M5</t>
        </is>
      </c>
      <c r="G749" t="inlineStr">
        <is>
          <t>C3</t>
        </is>
      </c>
      <c r="H749" s="2" t="n">
        <v>46308.50277777778</v>
      </c>
      <c r="I749" s="2" t="n">
        <v>46308.59652777778</v>
      </c>
      <c r="J749" t="inlineStr">
        <is>
          <t>Completed</t>
        </is>
      </c>
      <c r="K749" t="n">
        <v>2.48</v>
      </c>
      <c r="L749" t="n">
        <v>8</v>
      </c>
      <c r="M749" t="b">
        <v>0</v>
      </c>
      <c r="N749" t="n">
        <v>0</v>
      </c>
      <c r="O749" t="b">
        <v>1</v>
      </c>
      <c r="P749" t="b">
        <v>0</v>
      </c>
      <c r="Q749" t="b">
        <v>1</v>
      </c>
    </row>
    <row r="750">
      <c r="A750" t="inlineStr">
        <is>
          <t>REQ00749</t>
        </is>
      </c>
      <c r="B750" t="inlineStr">
        <is>
          <t>894500BA6B025ZEF0R89</t>
        </is>
      </c>
      <c r="C750" t="inlineStr">
        <is>
          <t>document_refresh</t>
        </is>
      </c>
      <c r="D750" s="2" t="n">
        <v>46308.49930555555</v>
      </c>
      <c r="E750" s="2" t="n">
        <v>46309.62430555555</v>
      </c>
      <c r="F750" t="inlineStr">
        <is>
          <t>M2</t>
        </is>
      </c>
      <c r="G750" t="inlineStr">
        <is>
          <t>C2</t>
        </is>
      </c>
      <c r="H750" s="2" t="n">
        <v>46308.51527777778</v>
      </c>
      <c r="I750" s="2" t="n">
        <v>46308.52152777778</v>
      </c>
      <c r="J750" t="inlineStr">
        <is>
          <t>Completed</t>
        </is>
      </c>
      <c r="K750" t="n">
        <v>0.53</v>
      </c>
      <c r="L750" t="n">
        <v>12</v>
      </c>
      <c r="M750" t="b">
        <v>0</v>
      </c>
      <c r="N750" t="n">
        <v>0</v>
      </c>
      <c r="O750" t="b">
        <v>1</v>
      </c>
      <c r="P750" t="b">
        <v>0</v>
      </c>
      <c r="Q750" t="b">
        <v>0</v>
      </c>
    </row>
    <row r="751">
      <c r="A751" t="inlineStr">
        <is>
          <t>REQ00750</t>
        </is>
      </c>
      <c r="B751" t="inlineStr">
        <is>
          <t>969500QMIJM34SJBAF66</t>
        </is>
      </c>
      <c r="C751" t="inlineStr">
        <is>
          <t>new_account</t>
        </is>
      </c>
      <c r="D751" s="2" t="n">
        <v>46308.50069444445</v>
      </c>
      <c r="E751" s="2" t="n">
        <v>46310.41736111111</v>
      </c>
      <c r="F751" t="inlineStr">
        <is>
          <t>M1</t>
        </is>
      </c>
      <c r="G751" t="inlineStr">
        <is>
          <t>C1</t>
        </is>
      </c>
      <c r="H751" s="2" t="n">
        <v>46308.52569444444</v>
      </c>
      <c r="I751" s="2" t="n">
        <v>46309.38680555556</v>
      </c>
      <c r="J751" t="inlineStr">
        <is>
          <t>Completed</t>
        </is>
      </c>
      <c r="K751" t="n">
        <v>6.27</v>
      </c>
      <c r="L751" t="n">
        <v>16</v>
      </c>
      <c r="M751" t="b">
        <v>0</v>
      </c>
      <c r="N751" t="n">
        <v>1</v>
      </c>
      <c r="O751" t="b">
        <v>0</v>
      </c>
      <c r="P751" t="b">
        <v>1</v>
      </c>
      <c r="Q751" t="b">
        <v>1</v>
      </c>
    </row>
    <row r="752">
      <c r="A752" t="inlineStr">
        <is>
          <t>REQ00751</t>
        </is>
      </c>
      <c r="B752" t="inlineStr">
        <is>
          <t>969500O0WKM930XAIQ96</t>
        </is>
      </c>
      <c r="C752" t="inlineStr">
        <is>
          <t>document_refresh</t>
        </is>
      </c>
      <c r="D752" s="2" t="n">
        <v>46308.51041666666</v>
      </c>
      <c r="E752" s="2" t="n">
        <v>46309.63541666666</v>
      </c>
      <c r="F752" t="inlineStr">
        <is>
          <t>M4</t>
        </is>
      </c>
      <c r="G752" t="inlineStr">
        <is>
          <t>C1</t>
        </is>
      </c>
      <c r="H752" s="2" t="n">
        <v>46308.52013888889</v>
      </c>
      <c r="I752" s="2" t="n">
        <v>46308.52708333333</v>
      </c>
      <c r="J752" t="inlineStr">
        <is>
          <t>Completed</t>
        </is>
      </c>
      <c r="K752" t="n">
        <v>0.4</v>
      </c>
      <c r="L752" t="n">
        <v>12</v>
      </c>
      <c r="M752" t="b">
        <v>0</v>
      </c>
      <c r="N752" t="n">
        <v>0</v>
      </c>
      <c r="O752" t="b">
        <v>1</v>
      </c>
      <c r="P752" t="b">
        <v>0</v>
      </c>
      <c r="Q752" t="b">
        <v>0</v>
      </c>
    </row>
    <row r="753">
      <c r="A753" t="inlineStr">
        <is>
          <t>REQ00752</t>
        </is>
      </c>
      <c r="B753" t="inlineStr">
        <is>
          <t>39120052E3T6H553Y703</t>
        </is>
      </c>
      <c r="C753" t="inlineStr">
        <is>
          <t>new_account</t>
        </is>
      </c>
      <c r="D753" s="2" t="n">
        <v>46308.52222222222</v>
      </c>
      <c r="E753" s="2" t="n">
        <v>46310.43888888889</v>
      </c>
      <c r="F753" t="inlineStr">
        <is>
          <t>M6</t>
        </is>
      </c>
      <c r="G753" t="inlineStr">
        <is>
          <t>C2</t>
        </is>
      </c>
      <c r="H753" s="2" t="n">
        <v>46308.5625</v>
      </c>
      <c r="I753" s="2" t="n">
        <v>46308.57083333333</v>
      </c>
      <c r="J753" t="inlineStr">
        <is>
          <t>Completed</t>
        </is>
      </c>
      <c r="K753" t="n">
        <v>1.17</v>
      </c>
      <c r="L753" t="n">
        <v>16</v>
      </c>
      <c r="M753" t="b">
        <v>0</v>
      </c>
      <c r="N753" t="n">
        <v>0</v>
      </c>
      <c r="O753" t="b">
        <v>1</v>
      </c>
      <c r="P753" t="b">
        <v>0</v>
      </c>
      <c r="Q753" t="b">
        <v>0</v>
      </c>
    </row>
    <row r="754">
      <c r="A754" t="inlineStr">
        <is>
          <t>REQ00753</t>
        </is>
      </c>
      <c r="B754" t="inlineStr">
        <is>
          <t>9695008X270O2AFWPY72</t>
        </is>
      </c>
      <c r="C754" t="inlineStr">
        <is>
          <t>new_account</t>
        </is>
      </c>
      <c r="D754" s="2" t="n">
        <v>46308.52361111111</v>
      </c>
      <c r="E754" s="2" t="n">
        <v>46310.44027777778</v>
      </c>
      <c r="F754" t="inlineStr">
        <is>
          <t>M5</t>
        </is>
      </c>
      <c r="G754" t="inlineStr">
        <is>
          <t>C3</t>
        </is>
      </c>
      <c r="H754" s="2" t="n">
        <v>46308.55763888889</v>
      </c>
      <c r="I754" s="2" t="n">
        <v>46309.40694444445</v>
      </c>
      <c r="J754" t="inlineStr">
        <is>
          <t>Completed</t>
        </is>
      </c>
      <c r="K754" t="n">
        <v>6.21</v>
      </c>
      <c r="L754" t="n">
        <v>16</v>
      </c>
      <c r="M754" t="b">
        <v>0</v>
      </c>
      <c r="N754" t="n">
        <v>0</v>
      </c>
      <c r="O754" t="b">
        <v>1</v>
      </c>
      <c r="P754" t="b">
        <v>0</v>
      </c>
      <c r="Q754" t="b">
        <v>1</v>
      </c>
    </row>
    <row r="755">
      <c r="A755" t="inlineStr">
        <is>
          <t>REQ00754</t>
        </is>
      </c>
      <c r="B755" t="inlineStr">
        <is>
          <t>549300TYGON465OIJ316</t>
        </is>
      </c>
      <c r="C755" t="inlineStr">
        <is>
          <t>document_refresh</t>
        </is>
      </c>
      <c r="D755" s="2" t="n">
        <v>46308.52986111111</v>
      </c>
      <c r="E755" s="2" t="n">
        <v>46309.65486111111</v>
      </c>
      <c r="F755" t="inlineStr">
        <is>
          <t>M3</t>
        </is>
      </c>
      <c r="G755" t="inlineStr">
        <is>
          <t>C3</t>
        </is>
      </c>
      <c r="H755" s="2" t="n">
        <v>46308.54444444444</v>
      </c>
      <c r="I755" s="2" t="n">
        <v>46308.66944444444</v>
      </c>
      <c r="J755" t="inlineStr">
        <is>
          <t>Completed</t>
        </is>
      </c>
      <c r="K755" t="n">
        <v>3.36</v>
      </c>
      <c r="L755" t="n">
        <v>12</v>
      </c>
      <c r="M755" t="b">
        <v>0</v>
      </c>
      <c r="N755" t="n">
        <v>0</v>
      </c>
      <c r="O755" t="b">
        <v>1</v>
      </c>
      <c r="P755" t="b">
        <v>0</v>
      </c>
      <c r="Q755" t="b">
        <v>1</v>
      </c>
    </row>
    <row r="756">
      <c r="A756" t="inlineStr">
        <is>
          <t>REQ00755</t>
        </is>
      </c>
      <c r="B756" t="inlineStr">
        <is>
          <t>894500DXY6F14L9KL212</t>
        </is>
      </c>
      <c r="C756" t="inlineStr">
        <is>
          <t>data_amendment</t>
        </is>
      </c>
      <c r="D756" s="2" t="n">
        <v>46308.53194444445</v>
      </c>
      <c r="E756" s="2" t="n">
        <v>46309.49027777778</v>
      </c>
      <c r="F756" t="inlineStr">
        <is>
          <t>M2</t>
        </is>
      </c>
      <c r="G756" t="inlineStr">
        <is>
          <t>C3</t>
        </is>
      </c>
      <c r="H756" s="2" t="n">
        <v>46308.54097222222</v>
      </c>
      <c r="I756" s="2" t="n">
        <v>46308.54444444444</v>
      </c>
      <c r="J756" t="inlineStr">
        <is>
          <t>Completed</t>
        </is>
      </c>
      <c r="K756" t="n">
        <v>0.29</v>
      </c>
      <c r="L756" t="n">
        <v>8</v>
      </c>
      <c r="M756" t="b">
        <v>0</v>
      </c>
      <c r="N756" t="n">
        <v>0</v>
      </c>
      <c r="O756" t="b">
        <v>1</v>
      </c>
      <c r="P756" t="b">
        <v>0</v>
      </c>
      <c r="Q756" t="b">
        <v>0</v>
      </c>
    </row>
    <row r="757">
      <c r="A757" t="inlineStr">
        <is>
          <t>REQ00756</t>
        </is>
      </c>
      <c r="B757" t="inlineStr">
        <is>
          <t>254900MKGSD8AHVY9191</t>
        </is>
      </c>
      <c r="C757" t="inlineStr">
        <is>
          <t>document_refresh</t>
        </is>
      </c>
      <c r="D757" s="2" t="n">
        <v>46308.53333333333</v>
      </c>
      <c r="E757" s="2" t="n">
        <v>46309.65833333333</v>
      </c>
      <c r="F757" t="inlineStr">
        <is>
          <t>M4</t>
        </is>
      </c>
      <c r="G757" t="inlineStr">
        <is>
          <t>C3</t>
        </is>
      </c>
      <c r="H757" s="2" t="n">
        <v>46308.55</v>
      </c>
      <c r="I757" s="2" t="n">
        <v>46308.74305555555</v>
      </c>
      <c r="J757" t="inlineStr">
        <is>
          <t>Completed</t>
        </is>
      </c>
      <c r="K757" t="n">
        <v>5.04</v>
      </c>
      <c r="L757" t="n">
        <v>12</v>
      </c>
      <c r="M757" t="b">
        <v>0</v>
      </c>
      <c r="N757" t="n">
        <v>0</v>
      </c>
      <c r="O757" t="b">
        <v>1</v>
      </c>
      <c r="P757" t="b">
        <v>0</v>
      </c>
      <c r="Q757" t="b">
        <v>1</v>
      </c>
    </row>
    <row r="758">
      <c r="A758" t="inlineStr">
        <is>
          <t>REQ00757</t>
        </is>
      </c>
      <c r="B758" t="inlineStr">
        <is>
          <t>254900SVHHSUWT5XKA63</t>
        </is>
      </c>
      <c r="C758" t="inlineStr">
        <is>
          <t>data_amendment</t>
        </is>
      </c>
      <c r="D758" s="2" t="n">
        <v>46308.53402777778</v>
      </c>
      <c r="E758" s="2" t="n">
        <v>46309.49236111111</v>
      </c>
      <c r="F758" t="inlineStr">
        <is>
          <t>M1</t>
        </is>
      </c>
      <c r="G758" t="inlineStr">
        <is>
          <t>C2</t>
        </is>
      </c>
      <c r="H758" s="2" t="n">
        <v>46308.54305555556</v>
      </c>
      <c r="I758" s="2" t="n">
        <v>46308.64027777778</v>
      </c>
      <c r="J758" t="inlineStr">
        <is>
          <t>Completed</t>
        </is>
      </c>
      <c r="K758" t="n">
        <v>2.56</v>
      </c>
      <c r="L758" t="n">
        <v>8</v>
      </c>
      <c r="M758" t="b">
        <v>0</v>
      </c>
      <c r="N758" t="n">
        <v>0</v>
      </c>
      <c r="O758" t="b">
        <v>1</v>
      </c>
      <c r="P758" t="b">
        <v>0</v>
      </c>
      <c r="Q758" t="b">
        <v>1</v>
      </c>
    </row>
    <row r="759">
      <c r="A759" t="inlineStr">
        <is>
          <t>REQ00758</t>
        </is>
      </c>
      <c r="B759" t="inlineStr">
        <is>
          <t>7245004OWB8SC2G8T818</t>
        </is>
      </c>
      <c r="C759" t="inlineStr">
        <is>
          <t>signatory_change</t>
        </is>
      </c>
      <c r="D759" s="2" t="n">
        <v>46308.53472222222</v>
      </c>
      <c r="E759" s="2" t="n">
        <v>46309.49305555555</v>
      </c>
      <c r="F759" t="inlineStr">
        <is>
          <t>M2</t>
        </is>
      </c>
      <c r="G759" t="inlineStr">
        <is>
          <t>C1</t>
        </is>
      </c>
      <c r="H759" s="2" t="n">
        <v>46308.55972222222</v>
      </c>
      <c r="I759" s="2" t="n">
        <v>46309.42777777778</v>
      </c>
      <c r="J759" t="inlineStr">
        <is>
          <t>Completed</t>
        </is>
      </c>
      <c r="K759" t="n">
        <v>6.43</v>
      </c>
      <c r="L759" t="n">
        <v>8</v>
      </c>
      <c r="M759" t="b">
        <v>0</v>
      </c>
      <c r="N759" t="n">
        <v>0</v>
      </c>
      <c r="O759" t="b">
        <v>1</v>
      </c>
      <c r="P759" t="b">
        <v>0</v>
      </c>
      <c r="Q759" t="b">
        <v>1</v>
      </c>
    </row>
    <row r="760">
      <c r="A760" t="inlineStr">
        <is>
          <t>REQ00759</t>
        </is>
      </c>
      <c r="B760" t="inlineStr">
        <is>
          <t>967600PBY9K76S0M3Y64</t>
        </is>
      </c>
      <c r="C760" t="inlineStr">
        <is>
          <t>document_refresh</t>
        </is>
      </c>
      <c r="D760" s="2" t="n">
        <v>46308.53680555556</v>
      </c>
      <c r="E760" s="2" t="n">
        <v>46309.66180555556</v>
      </c>
      <c r="F760" t="inlineStr">
        <is>
          <t>M1</t>
        </is>
      </c>
      <c r="G760" t="inlineStr">
        <is>
          <t>C1</t>
        </is>
      </c>
      <c r="H760" s="2" t="n">
        <v>46308.56041666667</v>
      </c>
      <c r="I760" s="2" t="n">
        <v>46308.56458333333</v>
      </c>
      <c r="J760" t="inlineStr">
        <is>
          <t>Completed</t>
        </is>
      </c>
      <c r="K760" t="n">
        <v>0.66</v>
      </c>
      <c r="L760" t="n">
        <v>12</v>
      </c>
      <c r="M760" t="b">
        <v>0</v>
      </c>
      <c r="N760" t="n">
        <v>0</v>
      </c>
      <c r="O760" t="b">
        <v>1</v>
      </c>
      <c r="P760" t="b">
        <v>0</v>
      </c>
      <c r="Q760" t="b">
        <v>0</v>
      </c>
    </row>
    <row r="761">
      <c r="A761" t="inlineStr">
        <is>
          <t>REQ00760</t>
        </is>
      </c>
      <c r="B761" t="inlineStr">
        <is>
          <t>724500AC0H81GCUEQE37</t>
        </is>
      </c>
      <c r="C761" t="inlineStr">
        <is>
          <t>new_account</t>
        </is>
      </c>
      <c r="D761" s="2" t="n">
        <v>46308.54583333333</v>
      </c>
      <c r="E761" s="2" t="n">
        <v>46310.4625</v>
      </c>
      <c r="F761" t="inlineStr">
        <is>
          <t>M3</t>
        </is>
      </c>
      <c r="G761" t="inlineStr">
        <is>
          <t>C1</t>
        </is>
      </c>
      <c r="H761" s="2" t="n">
        <v>46308.58472222222</v>
      </c>
      <c r="I761" s="2" t="n">
        <v>46309.42222222222</v>
      </c>
      <c r="J761" t="inlineStr">
        <is>
          <t>Completed</t>
        </is>
      </c>
      <c r="K761" t="n">
        <v>6.03</v>
      </c>
      <c r="L761" t="n">
        <v>16</v>
      </c>
      <c r="M761" t="b">
        <v>0</v>
      </c>
      <c r="N761" t="n">
        <v>0</v>
      </c>
      <c r="O761" t="b">
        <v>1</v>
      </c>
      <c r="P761" t="b">
        <v>0</v>
      </c>
      <c r="Q761" t="b">
        <v>1</v>
      </c>
    </row>
    <row r="762">
      <c r="A762" t="inlineStr">
        <is>
          <t>REQ00761</t>
        </is>
      </c>
      <c r="B762" t="inlineStr">
        <is>
          <t>33580068XXAGCMPYDK58</t>
        </is>
      </c>
      <c r="C762" t="inlineStr">
        <is>
          <t>signatory_change</t>
        </is>
      </c>
      <c r="D762" s="2" t="n">
        <v>46308.54652777778</v>
      </c>
      <c r="E762" s="2" t="n">
        <v>46309.50486111111</v>
      </c>
      <c r="F762" t="inlineStr">
        <is>
          <t>M4</t>
        </is>
      </c>
      <c r="G762" t="inlineStr">
        <is>
          <t>C1</t>
        </is>
      </c>
      <c r="H762" s="2" t="n">
        <v>46308.57569444444</v>
      </c>
      <c r="I762" s="2" t="n">
        <v>46308.58402777778</v>
      </c>
      <c r="J762" t="inlineStr">
        <is>
          <t>Completed</t>
        </is>
      </c>
      <c r="K762" t="n">
        <v>0.9</v>
      </c>
      <c r="L762" t="n">
        <v>8</v>
      </c>
      <c r="M762" t="b">
        <v>0</v>
      </c>
      <c r="N762" t="n">
        <v>0</v>
      </c>
      <c r="O762" t="b">
        <v>1</v>
      </c>
      <c r="P762" t="b">
        <v>0</v>
      </c>
      <c r="Q762" t="b">
        <v>0</v>
      </c>
    </row>
    <row r="763">
      <c r="A763" t="inlineStr">
        <is>
          <t>REQ00762</t>
        </is>
      </c>
      <c r="B763" t="inlineStr">
        <is>
          <t>213800MGG5VXTBGDNG74</t>
        </is>
      </c>
      <c r="C763" t="inlineStr">
        <is>
          <t>document_refresh</t>
        </is>
      </c>
      <c r="D763" s="2" t="n">
        <v>46308.54791666667</v>
      </c>
      <c r="E763" s="2" t="n">
        <v>46309.67291666667</v>
      </c>
      <c r="F763" t="inlineStr">
        <is>
          <t>M5</t>
        </is>
      </c>
      <c r="G763" t="inlineStr">
        <is>
          <t>C1</t>
        </is>
      </c>
      <c r="H763" s="2" t="n">
        <v>46308.56875</v>
      </c>
      <c r="I763" s="2" t="n">
        <v>46308.57430555556</v>
      </c>
      <c r="J763" t="inlineStr">
        <is>
          <t>Completed</t>
        </is>
      </c>
      <c r="K763" t="n">
        <v>0.63</v>
      </c>
      <c r="L763" t="n">
        <v>12</v>
      </c>
      <c r="M763" t="b">
        <v>0</v>
      </c>
      <c r="N763" t="n">
        <v>0</v>
      </c>
      <c r="O763" t="b">
        <v>1</v>
      </c>
      <c r="P763" t="b">
        <v>0</v>
      </c>
      <c r="Q763" t="b">
        <v>0</v>
      </c>
    </row>
    <row r="764">
      <c r="A764" t="inlineStr">
        <is>
          <t>REQ00763</t>
        </is>
      </c>
      <c r="B764" t="inlineStr">
        <is>
          <t>5299006ZE6FE01CTOA67</t>
        </is>
      </c>
      <c r="C764" t="inlineStr">
        <is>
          <t>new_account</t>
        </is>
      </c>
      <c r="D764" s="2" t="n">
        <v>46308.55069444444</v>
      </c>
      <c r="E764" s="2" t="n">
        <v>46310.46736111111</v>
      </c>
      <c r="F764" t="inlineStr">
        <is>
          <t>M2</t>
        </is>
      </c>
      <c r="G764" t="inlineStr">
        <is>
          <t>C2</t>
        </is>
      </c>
      <c r="H764" s="2" t="n">
        <v>46308.58888888889</v>
      </c>
      <c r="I764" s="2" t="n">
        <v>46309.40277777778</v>
      </c>
      <c r="J764" t="inlineStr">
        <is>
          <t>Completed</t>
        </is>
      </c>
      <c r="K764" t="n">
        <v>5.45</v>
      </c>
      <c r="L764" t="n">
        <v>16</v>
      </c>
      <c r="M764" t="b">
        <v>0</v>
      </c>
      <c r="N764" t="n">
        <v>0</v>
      </c>
      <c r="O764" t="b">
        <v>1</v>
      </c>
      <c r="P764" t="b">
        <v>0</v>
      </c>
      <c r="Q764" t="b">
        <v>1</v>
      </c>
    </row>
    <row r="765">
      <c r="A765" t="inlineStr">
        <is>
          <t>REQ00764</t>
        </is>
      </c>
      <c r="B765" t="inlineStr">
        <is>
          <t>549300TM4XZWCPJ3HH45</t>
        </is>
      </c>
      <c r="C765" t="inlineStr">
        <is>
          <t>data_amendment</t>
        </is>
      </c>
      <c r="D765" s="2" t="n">
        <v>46308.55763888889</v>
      </c>
      <c r="E765" s="2" t="n">
        <v>46309.51597222222</v>
      </c>
      <c r="F765" t="inlineStr">
        <is>
          <t>M1</t>
        </is>
      </c>
      <c r="G765" t="inlineStr">
        <is>
          <t>C3</t>
        </is>
      </c>
      <c r="H765" s="2" t="n">
        <v>46308.56736111111</v>
      </c>
      <c r="I765" s="2" t="n">
        <v>46308.57083333333</v>
      </c>
      <c r="J765" t="inlineStr">
        <is>
          <t>Completed</t>
        </is>
      </c>
      <c r="K765" t="n">
        <v>0.31</v>
      </c>
      <c r="L765" t="n">
        <v>8</v>
      </c>
      <c r="M765" t="b">
        <v>0</v>
      </c>
      <c r="N765" t="n">
        <v>0</v>
      </c>
      <c r="O765" t="b">
        <v>1</v>
      </c>
      <c r="P765" t="b">
        <v>0</v>
      </c>
      <c r="Q765" t="b">
        <v>0</v>
      </c>
    </row>
    <row r="766">
      <c r="A766" t="inlineStr">
        <is>
          <t>REQ00765</t>
        </is>
      </c>
      <c r="B766" t="inlineStr">
        <is>
          <t>9845009B1BE7DEE45494</t>
        </is>
      </c>
      <c r="C766" t="inlineStr">
        <is>
          <t>new_account</t>
        </is>
      </c>
      <c r="D766" s="2" t="n">
        <v>46308.55902777778</v>
      </c>
      <c r="E766" s="2" t="n">
        <v>46310.47569444445</v>
      </c>
      <c r="F766" t="inlineStr">
        <is>
          <t>M6</t>
        </is>
      </c>
      <c r="G766" t="inlineStr">
        <is>
          <t>C1</t>
        </is>
      </c>
      <c r="H766" s="2" t="n">
        <v>46308.59861111111</v>
      </c>
      <c r="I766" s="2" t="n">
        <v>46309.44097222222</v>
      </c>
      <c r="J766" t="inlineStr">
        <is>
          <t>Completed</t>
        </is>
      </c>
      <c r="K766" t="n">
        <v>6.16</v>
      </c>
      <c r="L766" t="n">
        <v>16</v>
      </c>
      <c r="M766" t="b">
        <v>0</v>
      </c>
      <c r="N766" t="n">
        <v>0</v>
      </c>
      <c r="O766" t="b">
        <v>1</v>
      </c>
      <c r="P766" t="b">
        <v>0</v>
      </c>
      <c r="Q766" t="b">
        <v>1</v>
      </c>
    </row>
    <row r="767">
      <c r="A767" t="inlineStr">
        <is>
          <t>REQ00766</t>
        </is>
      </c>
      <c r="B767" t="inlineStr">
        <is>
          <t>2138002V4OOLXCKART46</t>
        </is>
      </c>
      <c r="C767" t="inlineStr">
        <is>
          <t>signatory_change</t>
        </is>
      </c>
      <c r="D767" s="2" t="n">
        <v>46308.55972222222</v>
      </c>
      <c r="E767" s="2" t="n">
        <v>46309.51805555556</v>
      </c>
      <c r="F767" t="inlineStr">
        <is>
          <t>M1</t>
        </is>
      </c>
      <c r="G767" t="inlineStr">
        <is>
          <t>C1</t>
        </is>
      </c>
      <c r="H767" s="2" t="n">
        <v>46308.58402777778</v>
      </c>
      <c r="I767" s="2" t="n">
        <v>46309.46041666667</v>
      </c>
      <c r="J767" t="inlineStr">
        <is>
          <t>Completed</t>
        </is>
      </c>
      <c r="K767" t="n">
        <v>6.62</v>
      </c>
      <c r="L767" t="n">
        <v>8</v>
      </c>
      <c r="M767" t="b">
        <v>0</v>
      </c>
      <c r="N767" t="n">
        <v>0</v>
      </c>
      <c r="O767" t="b">
        <v>1</v>
      </c>
      <c r="P767" t="b">
        <v>0</v>
      </c>
      <c r="Q767" t="b">
        <v>1</v>
      </c>
    </row>
    <row r="768">
      <c r="A768" t="inlineStr">
        <is>
          <t>REQ00767</t>
        </is>
      </c>
      <c r="B768" t="inlineStr">
        <is>
          <t>2549003M1TXT0U17BT81</t>
        </is>
      </c>
      <c r="C768" t="inlineStr">
        <is>
          <t>data_amendment</t>
        </is>
      </c>
      <c r="D768" s="2" t="n">
        <v>46308.5625</v>
      </c>
      <c r="E768" s="2" t="n">
        <v>46309.52083333334</v>
      </c>
      <c r="F768" t="inlineStr">
        <is>
          <t>M5</t>
        </is>
      </c>
      <c r="G768" t="inlineStr">
        <is>
          <t>C2</t>
        </is>
      </c>
      <c r="H768" s="2" t="n">
        <v>46308.58194444444</v>
      </c>
      <c r="I768" s="2" t="n">
        <v>46309.38125</v>
      </c>
      <c r="J768" t="inlineStr">
        <is>
          <t>Completed</t>
        </is>
      </c>
      <c r="K768" t="n">
        <v>4.66</v>
      </c>
      <c r="L768" t="n">
        <v>8</v>
      </c>
      <c r="M768" t="b">
        <v>0</v>
      </c>
      <c r="N768" t="n">
        <v>0</v>
      </c>
      <c r="O768" t="b">
        <v>1</v>
      </c>
      <c r="P768" t="b">
        <v>0</v>
      </c>
      <c r="Q768" t="b">
        <v>1</v>
      </c>
    </row>
    <row r="769">
      <c r="A769" t="inlineStr">
        <is>
          <t>REQ00768</t>
        </is>
      </c>
      <c r="B769" t="inlineStr">
        <is>
          <t>549300M8PDRS6SXDM436</t>
        </is>
      </c>
      <c r="C769" t="inlineStr">
        <is>
          <t>new_account</t>
        </is>
      </c>
      <c r="D769" s="2" t="n">
        <v>46308.56388888889</v>
      </c>
      <c r="E769" s="2" t="n">
        <v>46310.48055555556</v>
      </c>
      <c r="F769" t="inlineStr">
        <is>
          <t>M4</t>
        </is>
      </c>
      <c r="G769" t="inlineStr">
        <is>
          <t>C2</t>
        </is>
      </c>
      <c r="H769" s="2" t="n">
        <v>46308.60972222222</v>
      </c>
      <c r="I769" s="2" t="n">
        <v>46309.45347222222</v>
      </c>
      <c r="J769" t="inlineStr">
        <is>
          <t>Completed</t>
        </is>
      </c>
      <c r="K769" t="n">
        <v>6.35</v>
      </c>
      <c r="L769" t="n">
        <v>16</v>
      </c>
      <c r="M769" t="b">
        <v>0</v>
      </c>
      <c r="N769" t="n">
        <v>0</v>
      </c>
      <c r="O769" t="b">
        <v>1</v>
      </c>
      <c r="P769" t="b">
        <v>0</v>
      </c>
      <c r="Q769" t="b">
        <v>1</v>
      </c>
    </row>
    <row r="770">
      <c r="A770" t="inlineStr">
        <is>
          <t>REQ00769</t>
        </is>
      </c>
      <c r="B770" t="inlineStr">
        <is>
          <t>391200OA92W5NGTXY128</t>
        </is>
      </c>
      <c r="C770" t="inlineStr">
        <is>
          <t>new_account</t>
        </is>
      </c>
      <c r="D770" s="2" t="n">
        <v>46308.56458333333</v>
      </c>
      <c r="E770" s="2" t="n">
        <v>46310.48125</v>
      </c>
      <c r="F770" t="inlineStr">
        <is>
          <t>M5</t>
        </is>
      </c>
      <c r="G770" t="inlineStr">
        <is>
          <t>C1</t>
        </is>
      </c>
      <c r="H770" s="2" t="n">
        <v>46308.61111111111</v>
      </c>
      <c r="I770" s="2" t="n">
        <v>46308.62083333333</v>
      </c>
      <c r="J770" t="inlineStr">
        <is>
          <t>Completed</t>
        </is>
      </c>
      <c r="K770" t="n">
        <v>1.34</v>
      </c>
      <c r="L770" t="n">
        <v>16</v>
      </c>
      <c r="M770" t="b">
        <v>0</v>
      </c>
      <c r="N770" t="n">
        <v>0</v>
      </c>
      <c r="O770" t="b">
        <v>1</v>
      </c>
      <c r="P770" t="b">
        <v>0</v>
      </c>
      <c r="Q770" t="b">
        <v>0</v>
      </c>
    </row>
    <row r="771">
      <c r="A771" t="inlineStr">
        <is>
          <t>REQ00770</t>
        </is>
      </c>
      <c r="B771" t="inlineStr">
        <is>
          <t>724500OBYBFLNZZV4C38</t>
        </is>
      </c>
      <c r="C771" t="inlineStr">
        <is>
          <t>data_amendment</t>
        </is>
      </c>
      <c r="D771" s="2" t="n">
        <v>46308.58819444444</v>
      </c>
      <c r="E771" s="2" t="n">
        <v>46309.54652777778</v>
      </c>
      <c r="F771" t="inlineStr">
        <is>
          <t>M1</t>
        </is>
      </c>
      <c r="G771" t="inlineStr">
        <is>
          <t>C1</t>
        </is>
      </c>
      <c r="H771" s="2" t="n">
        <v>46308.59722222222</v>
      </c>
      <c r="I771" s="2" t="n">
        <v>46308.60277777778</v>
      </c>
      <c r="J771" t="inlineStr">
        <is>
          <t>Completed</t>
        </is>
      </c>
      <c r="K771" t="n">
        <v>0.35</v>
      </c>
      <c r="L771" t="n">
        <v>8</v>
      </c>
      <c r="M771" t="b">
        <v>0</v>
      </c>
      <c r="N771" t="n">
        <v>0</v>
      </c>
      <c r="O771" t="b">
        <v>1</v>
      </c>
      <c r="P771" t="b">
        <v>0</v>
      </c>
      <c r="Q771" t="b">
        <v>0</v>
      </c>
    </row>
    <row r="772">
      <c r="A772" t="inlineStr">
        <is>
          <t>REQ00771</t>
        </is>
      </c>
      <c r="B772" t="inlineStr">
        <is>
          <t>213800PZ25M4LDITGF17</t>
        </is>
      </c>
      <c r="C772" t="inlineStr">
        <is>
          <t>data_amendment</t>
        </is>
      </c>
      <c r="D772" s="2" t="n">
        <v>46308.59305555555</v>
      </c>
      <c r="E772" s="2" t="n">
        <v>46309.55138888889</v>
      </c>
      <c r="F772" t="inlineStr">
        <is>
          <t>M3</t>
        </is>
      </c>
      <c r="G772" t="inlineStr">
        <is>
          <t>C2</t>
        </is>
      </c>
      <c r="H772" s="2" t="n">
        <v>46308.60625</v>
      </c>
      <c r="I772" s="2" t="n">
        <v>46308.60972222222</v>
      </c>
      <c r="J772" t="inlineStr">
        <is>
          <t>Completed</t>
        </is>
      </c>
      <c r="K772" t="n">
        <v>0.39</v>
      </c>
      <c r="L772" t="n">
        <v>8</v>
      </c>
      <c r="M772" t="b">
        <v>0</v>
      </c>
      <c r="N772" t="n">
        <v>0</v>
      </c>
      <c r="O772" t="b">
        <v>1</v>
      </c>
      <c r="P772" t="b">
        <v>0</v>
      </c>
      <c r="Q772" t="b">
        <v>0</v>
      </c>
    </row>
    <row r="773">
      <c r="A773" t="inlineStr">
        <is>
          <t>REQ00772</t>
        </is>
      </c>
      <c r="B773" t="inlineStr">
        <is>
          <t>984500F4A37DFBA4BB85</t>
        </is>
      </c>
      <c r="C773" t="inlineStr">
        <is>
          <t>document_refresh</t>
        </is>
      </c>
      <c r="D773" s="2" t="n">
        <v>46308.59305555555</v>
      </c>
      <c r="E773" s="2" t="n">
        <v>46309.71805555555</v>
      </c>
      <c r="F773" t="inlineStr">
        <is>
          <t>M2</t>
        </is>
      </c>
      <c r="G773" t="inlineStr">
        <is>
          <t>C3</t>
        </is>
      </c>
      <c r="H773" s="2" t="n">
        <v>46308.60347222222</v>
      </c>
      <c r="I773" s="2" t="n">
        <v>46308.60833333333</v>
      </c>
      <c r="J773" t="inlineStr">
        <is>
          <t>Completed</t>
        </is>
      </c>
      <c r="K773" t="n">
        <v>0.36</v>
      </c>
      <c r="L773" t="n">
        <v>12</v>
      </c>
      <c r="M773" t="b">
        <v>0</v>
      </c>
      <c r="N773" t="n">
        <v>0</v>
      </c>
      <c r="O773" t="b">
        <v>1</v>
      </c>
      <c r="P773" t="b">
        <v>0</v>
      </c>
      <c r="Q773" t="b">
        <v>0</v>
      </c>
    </row>
    <row r="774">
      <c r="A774" t="inlineStr">
        <is>
          <t>REQ00773</t>
        </is>
      </c>
      <c r="B774" t="inlineStr">
        <is>
          <t>894500SS8HT2A0AP2T30</t>
        </is>
      </c>
      <c r="C774" t="inlineStr">
        <is>
          <t>document_refresh</t>
        </is>
      </c>
      <c r="D774" s="2" t="n">
        <v>46308.59375</v>
      </c>
      <c r="E774" s="2" t="n">
        <v>46309.71875</v>
      </c>
      <c r="F774" t="inlineStr">
        <is>
          <t>M1</t>
        </is>
      </c>
      <c r="G774" t="inlineStr">
        <is>
          <t>C3</t>
        </is>
      </c>
      <c r="H774" s="2" t="n">
        <v>46308.6125</v>
      </c>
      <c r="I774" s="2" t="n">
        <v>46308.61805555555</v>
      </c>
      <c r="J774" t="inlineStr">
        <is>
          <t>Completed</t>
        </is>
      </c>
      <c r="K774" t="n">
        <v>0.58</v>
      </c>
      <c r="L774" t="n">
        <v>12</v>
      </c>
      <c r="M774" t="b">
        <v>0</v>
      </c>
      <c r="N774" t="n">
        <v>0</v>
      </c>
      <c r="O774" t="b">
        <v>1</v>
      </c>
      <c r="P774" t="b">
        <v>0</v>
      </c>
      <c r="Q774" t="b">
        <v>0</v>
      </c>
    </row>
    <row r="775">
      <c r="A775" t="inlineStr">
        <is>
          <t>REQ00774</t>
        </is>
      </c>
      <c r="B775" t="inlineStr">
        <is>
          <t>894500JPCUDPXZORYM13</t>
        </is>
      </c>
      <c r="C775" t="inlineStr">
        <is>
          <t>document_refresh</t>
        </is>
      </c>
      <c r="D775" s="2" t="n">
        <v>46308.59513888889</v>
      </c>
      <c r="E775" s="2" t="n">
        <v>46309.72013888889</v>
      </c>
      <c r="F775" t="inlineStr">
        <is>
          <t>M6</t>
        </is>
      </c>
      <c r="G775" t="inlineStr">
        <is>
          <t>C1</t>
        </is>
      </c>
      <c r="H775" s="2" t="n">
        <v>46308.61458333334</v>
      </c>
      <c r="I775" s="2" t="n">
        <v>46309.38819444444</v>
      </c>
      <c r="J775" t="inlineStr">
        <is>
          <t>Completed</t>
        </is>
      </c>
      <c r="K775" t="n">
        <v>4.03</v>
      </c>
      <c r="L775" t="n">
        <v>12</v>
      </c>
      <c r="M775" t="b">
        <v>0</v>
      </c>
      <c r="N775" t="n">
        <v>0</v>
      </c>
      <c r="O775" t="b">
        <v>1</v>
      </c>
      <c r="P775" t="b">
        <v>0</v>
      </c>
      <c r="Q775" t="b">
        <v>1</v>
      </c>
    </row>
    <row r="776">
      <c r="A776" t="inlineStr">
        <is>
          <t>REQ00775</t>
        </is>
      </c>
      <c r="B776" t="inlineStr">
        <is>
          <t>635400IDVZFM7YPKHY80</t>
        </is>
      </c>
      <c r="C776" t="inlineStr">
        <is>
          <t>document_refresh</t>
        </is>
      </c>
      <c r="D776" s="2" t="n">
        <v>46308.59583333333</v>
      </c>
      <c r="E776" s="2" t="n">
        <v>46309.72083333333</v>
      </c>
      <c r="F776" t="inlineStr">
        <is>
          <t>M2</t>
        </is>
      </c>
      <c r="G776" t="inlineStr">
        <is>
          <t>C3</t>
        </is>
      </c>
      <c r="H776" s="2" t="n">
        <v>46308.61944444444</v>
      </c>
      <c r="I776" s="2" t="n">
        <v>46308.625</v>
      </c>
      <c r="J776" t="inlineStr">
        <is>
          <t>Completed</t>
        </is>
      </c>
      <c r="K776" t="n">
        <v>0.6899999999999999</v>
      </c>
      <c r="L776" t="n">
        <v>12</v>
      </c>
      <c r="M776" t="b">
        <v>0</v>
      </c>
      <c r="N776" t="n">
        <v>0</v>
      </c>
      <c r="O776" t="b">
        <v>1</v>
      </c>
      <c r="P776" t="b">
        <v>0</v>
      </c>
      <c r="Q776" t="b">
        <v>0</v>
      </c>
    </row>
    <row r="777">
      <c r="A777" t="inlineStr">
        <is>
          <t>REQ00776</t>
        </is>
      </c>
      <c r="B777" t="inlineStr">
        <is>
          <t>254900BY2VSOA9108G47</t>
        </is>
      </c>
      <c r="C777" t="inlineStr">
        <is>
          <t>new_account</t>
        </is>
      </c>
      <c r="D777" s="2" t="n">
        <v>46308.59722222222</v>
      </c>
      <c r="E777" s="2" t="n">
        <v>46310.51388888889</v>
      </c>
      <c r="F777" t="inlineStr">
        <is>
          <t>M3</t>
        </is>
      </c>
      <c r="G777" t="inlineStr">
        <is>
          <t>C2</t>
        </is>
      </c>
      <c r="H777" s="2" t="n">
        <v>46308.62777777778</v>
      </c>
      <c r="I777" s="2" t="n">
        <v>46309.425</v>
      </c>
      <c r="J777" t="inlineStr">
        <is>
          <t>Completed</t>
        </is>
      </c>
      <c r="K777" t="n">
        <v>4.87</v>
      </c>
      <c r="L777" t="n">
        <v>16</v>
      </c>
      <c r="M777" t="b">
        <v>0</v>
      </c>
      <c r="N777" t="n">
        <v>0</v>
      </c>
      <c r="O777" t="b">
        <v>1</v>
      </c>
      <c r="P777" t="b">
        <v>0</v>
      </c>
      <c r="Q777" t="b">
        <v>1</v>
      </c>
    </row>
    <row r="778">
      <c r="A778" t="inlineStr">
        <is>
          <t>REQ00777</t>
        </is>
      </c>
      <c r="B778" t="inlineStr">
        <is>
          <t>254900B10RQNGAVMT050</t>
        </is>
      </c>
      <c r="C778" t="inlineStr">
        <is>
          <t>signatory_change</t>
        </is>
      </c>
      <c r="D778" s="2" t="n">
        <v>46308.60347222222</v>
      </c>
      <c r="E778" s="2" t="n">
        <v>46309.56180555555</v>
      </c>
      <c r="F778" t="inlineStr">
        <is>
          <t>M4</t>
        </is>
      </c>
      <c r="G778" t="inlineStr">
        <is>
          <t>C1</t>
        </is>
      </c>
      <c r="H778" s="2" t="n">
        <v>46308.63263888889</v>
      </c>
      <c r="I778" s="2" t="n">
        <v>46308.65347222222</v>
      </c>
      <c r="J778" t="inlineStr">
        <is>
          <t>Completed</t>
        </is>
      </c>
      <c r="K778" t="n">
        <v>1.2</v>
      </c>
      <c r="L778" t="n">
        <v>8</v>
      </c>
      <c r="M778" t="b">
        <v>0</v>
      </c>
      <c r="N778" t="n">
        <v>1</v>
      </c>
      <c r="O778" t="b">
        <v>0</v>
      </c>
      <c r="P778" t="b">
        <v>1</v>
      </c>
      <c r="Q778" t="b">
        <v>0</v>
      </c>
    </row>
    <row r="779">
      <c r="A779" t="inlineStr">
        <is>
          <t>REQ00778</t>
        </is>
      </c>
      <c r="B779" t="inlineStr">
        <is>
          <t>5493008XMNWVHZZJAX40</t>
        </is>
      </c>
      <c r="C779" t="inlineStr">
        <is>
          <t>data_amendment</t>
        </is>
      </c>
      <c r="D779" s="2" t="n">
        <v>46308.60625</v>
      </c>
      <c r="E779" s="2" t="n">
        <v>46309.56458333333</v>
      </c>
      <c r="F779" t="inlineStr">
        <is>
          <t>M5</t>
        </is>
      </c>
      <c r="G779" t="inlineStr">
        <is>
          <t>C2</t>
        </is>
      </c>
      <c r="H779" s="2" t="n">
        <v>46308.62291666667</v>
      </c>
      <c r="I779" s="2" t="n">
        <v>46309.41666666666</v>
      </c>
      <c r="J779" t="inlineStr">
        <is>
          <t>Completed</t>
        </is>
      </c>
      <c r="K779" t="n">
        <v>4.45</v>
      </c>
      <c r="L779" t="n">
        <v>8</v>
      </c>
      <c r="M779" t="b">
        <v>0</v>
      </c>
      <c r="N779" t="n">
        <v>0</v>
      </c>
      <c r="O779" t="b">
        <v>1</v>
      </c>
      <c r="P779" t="b">
        <v>0</v>
      </c>
      <c r="Q779" t="b">
        <v>1</v>
      </c>
    </row>
    <row r="780">
      <c r="A780" t="inlineStr">
        <is>
          <t>REQ00779</t>
        </is>
      </c>
      <c r="B780" t="inlineStr">
        <is>
          <t>391200BYZXLE7DP9MJ80</t>
        </is>
      </c>
      <c r="C780" t="inlineStr">
        <is>
          <t>signatory_change</t>
        </is>
      </c>
      <c r="D780" s="2" t="n">
        <v>46308.61597222222</v>
      </c>
      <c r="E780" s="2" t="n">
        <v>46309.57430555556</v>
      </c>
      <c r="F780" t="inlineStr">
        <is>
          <t>M1</t>
        </is>
      </c>
      <c r="G780" t="inlineStr">
        <is>
          <t>C1</t>
        </is>
      </c>
      <c r="H780" s="2" t="n">
        <v>46308.64236111111</v>
      </c>
      <c r="I780" s="2" t="n">
        <v>46308.64861111111</v>
      </c>
      <c r="J780" t="inlineStr">
        <is>
          <t>Completed</t>
        </is>
      </c>
      <c r="K780" t="n">
        <v>0.78</v>
      </c>
      <c r="L780" t="n">
        <v>8</v>
      </c>
      <c r="M780" t="b">
        <v>0</v>
      </c>
      <c r="N780" t="n">
        <v>0</v>
      </c>
      <c r="O780" t="b">
        <v>1</v>
      </c>
      <c r="P780" t="b">
        <v>0</v>
      </c>
      <c r="Q780" t="b">
        <v>0</v>
      </c>
    </row>
    <row r="781">
      <c r="A781" t="inlineStr">
        <is>
          <t>REQ00780</t>
        </is>
      </c>
      <c r="B781" t="inlineStr">
        <is>
          <t>213800P1X4NZPI7C3J67</t>
        </is>
      </c>
      <c r="C781" t="inlineStr">
        <is>
          <t>document_refresh</t>
        </is>
      </c>
      <c r="D781" s="2" t="n">
        <v>46308.61597222222</v>
      </c>
      <c r="E781" s="2" t="n">
        <v>46309.74097222222</v>
      </c>
      <c r="F781" t="inlineStr">
        <is>
          <t>M6</t>
        </is>
      </c>
      <c r="G781" t="inlineStr">
        <is>
          <t>C1</t>
        </is>
      </c>
      <c r="H781" s="2" t="n">
        <v>46308.62986111111</v>
      </c>
      <c r="I781" s="2" t="n">
        <v>46309.47847222222</v>
      </c>
      <c r="J781" t="inlineStr">
        <is>
          <t>Completed</t>
        </is>
      </c>
      <c r="K781" t="n">
        <v>5.7</v>
      </c>
      <c r="L781" t="n">
        <v>12</v>
      </c>
      <c r="M781" t="b">
        <v>0</v>
      </c>
      <c r="N781" t="n">
        <v>0</v>
      </c>
      <c r="O781" t="b">
        <v>1</v>
      </c>
      <c r="P781" t="b">
        <v>0</v>
      </c>
      <c r="Q781" t="b">
        <v>1</v>
      </c>
    </row>
    <row r="782">
      <c r="A782" t="inlineStr">
        <is>
          <t>REQ00781</t>
        </is>
      </c>
      <c r="B782" t="inlineStr">
        <is>
          <t>648815EK4122LWD8LT20</t>
        </is>
      </c>
      <c r="C782" t="inlineStr">
        <is>
          <t>new_account</t>
        </is>
      </c>
      <c r="D782" s="2" t="n">
        <v>46308.62083333333</v>
      </c>
      <c r="E782" s="2" t="n">
        <v>46310.5375</v>
      </c>
      <c r="F782" t="inlineStr">
        <is>
          <t>M2</t>
        </is>
      </c>
      <c r="G782" t="inlineStr">
        <is>
          <t>C2</t>
        </is>
      </c>
      <c r="H782" s="2" t="n">
        <v>46308.65347222222</v>
      </c>
      <c r="I782" s="2" t="n">
        <v>46308.66319444445</v>
      </c>
      <c r="J782" t="inlineStr">
        <is>
          <t>Completed</t>
        </is>
      </c>
      <c r="K782" t="n">
        <v>1.01</v>
      </c>
      <c r="L782" t="n">
        <v>16</v>
      </c>
      <c r="M782" t="b">
        <v>0</v>
      </c>
      <c r="N782" t="n">
        <v>0</v>
      </c>
      <c r="O782" t="b">
        <v>1</v>
      </c>
      <c r="P782" t="b">
        <v>0</v>
      </c>
      <c r="Q782" t="b">
        <v>0</v>
      </c>
    </row>
    <row r="783">
      <c r="A783" t="inlineStr">
        <is>
          <t>REQ00782</t>
        </is>
      </c>
      <c r="B783" t="inlineStr">
        <is>
          <t>549300HW5H74SIDB2U14</t>
        </is>
      </c>
      <c r="C783" t="inlineStr">
        <is>
          <t>document_refresh</t>
        </is>
      </c>
      <c r="D783" s="2" t="n">
        <v>46308.62708333333</v>
      </c>
      <c r="E783" s="2" t="n">
        <v>46310.37708333333</v>
      </c>
      <c r="F783" t="inlineStr">
        <is>
          <t>M5</t>
        </is>
      </c>
      <c r="G783" t="inlineStr">
        <is>
          <t>C1</t>
        </is>
      </c>
      <c r="H783" s="2" t="n">
        <v>46308.6375</v>
      </c>
      <c r="I783" s="2" t="n">
        <v>46308.74722222222</v>
      </c>
      <c r="J783" t="inlineStr">
        <is>
          <t>Completed</t>
        </is>
      </c>
      <c r="K783" t="n">
        <v>2.88</v>
      </c>
      <c r="L783" t="n">
        <v>12</v>
      </c>
      <c r="M783" t="b">
        <v>0</v>
      </c>
      <c r="N783" t="n">
        <v>0</v>
      </c>
      <c r="O783" t="b">
        <v>1</v>
      </c>
      <c r="P783" t="b">
        <v>0</v>
      </c>
      <c r="Q783" t="b">
        <v>1</v>
      </c>
    </row>
    <row r="784">
      <c r="A784" t="inlineStr">
        <is>
          <t>REQ00783</t>
        </is>
      </c>
      <c r="B784" t="inlineStr">
        <is>
          <t>549300EH8WC99RT2M350</t>
        </is>
      </c>
      <c r="C784" t="inlineStr">
        <is>
          <t>new_account</t>
        </is>
      </c>
      <c r="D784" s="2" t="n">
        <v>46308.63402777778</v>
      </c>
      <c r="E784" s="2" t="n">
        <v>46310.55069444444</v>
      </c>
      <c r="F784" t="inlineStr">
        <is>
          <t>M3</t>
        </is>
      </c>
      <c r="G784" t="inlineStr">
        <is>
          <t>C3</t>
        </is>
      </c>
      <c r="H784" s="2" t="n">
        <v>46308.66944444444</v>
      </c>
      <c r="I784" s="2" t="n">
        <v>46309.48472222222</v>
      </c>
      <c r="J784" t="inlineStr">
        <is>
          <t>Completed</t>
        </is>
      </c>
      <c r="K784" t="n">
        <v>5.41</v>
      </c>
      <c r="L784" t="n">
        <v>16</v>
      </c>
      <c r="M784" t="b">
        <v>0</v>
      </c>
      <c r="N784" t="n">
        <v>0</v>
      </c>
      <c r="O784" t="b">
        <v>1</v>
      </c>
      <c r="P784" t="b">
        <v>0</v>
      </c>
      <c r="Q784" t="b">
        <v>1</v>
      </c>
    </row>
    <row r="785">
      <c r="A785" t="inlineStr">
        <is>
          <t>REQ00784</t>
        </is>
      </c>
      <c r="B785" t="inlineStr">
        <is>
          <t>724500BBUA2NUSE61911</t>
        </is>
      </c>
      <c r="C785" t="inlineStr">
        <is>
          <t>signatory_change</t>
        </is>
      </c>
      <c r="D785" s="2" t="n">
        <v>46308.64097222222</v>
      </c>
      <c r="E785" s="2" t="n">
        <v>46309.59930555556</v>
      </c>
      <c r="F785" t="inlineStr">
        <is>
          <t>M6</t>
        </is>
      </c>
      <c r="G785" t="inlineStr">
        <is>
          <t>C2</t>
        </is>
      </c>
      <c r="H785" s="2" t="n">
        <v>46308.66388888889</v>
      </c>
      <c r="I785" s="2" t="n">
        <v>46308.66875</v>
      </c>
      <c r="J785" t="inlineStr">
        <is>
          <t>Completed</t>
        </is>
      </c>
      <c r="K785" t="n">
        <v>0.67</v>
      </c>
      <c r="L785" t="n">
        <v>8</v>
      </c>
      <c r="M785" t="b">
        <v>0</v>
      </c>
      <c r="N785" t="n">
        <v>0</v>
      </c>
      <c r="O785" t="b">
        <v>1</v>
      </c>
      <c r="P785" t="b">
        <v>0</v>
      </c>
      <c r="Q785" t="b">
        <v>0</v>
      </c>
    </row>
    <row r="786">
      <c r="A786" t="inlineStr">
        <is>
          <t>REQ00785</t>
        </is>
      </c>
      <c r="B786" t="inlineStr">
        <is>
          <t>M6MLSZY0BRQOIVE40J85</t>
        </is>
      </c>
      <c r="C786" t="inlineStr">
        <is>
          <t>signatory_change</t>
        </is>
      </c>
      <c r="D786" s="2" t="n">
        <v>46308.64444444444</v>
      </c>
      <c r="E786" s="2" t="n">
        <v>46309.60277777778</v>
      </c>
      <c r="F786" t="inlineStr">
        <is>
          <t>M4</t>
        </is>
      </c>
      <c r="G786" t="inlineStr">
        <is>
          <t>C3</t>
        </is>
      </c>
      <c r="H786" s="2" t="n">
        <v>46308.67152777778</v>
      </c>
      <c r="I786" s="2" t="n">
        <v>46308.67916666667</v>
      </c>
      <c r="J786" t="inlineStr">
        <is>
          <t>Completed</t>
        </is>
      </c>
      <c r="K786" t="n">
        <v>0.83</v>
      </c>
      <c r="L786" t="n">
        <v>8</v>
      </c>
      <c r="M786" t="b">
        <v>0</v>
      </c>
      <c r="N786" t="n">
        <v>0</v>
      </c>
      <c r="O786" t="b">
        <v>1</v>
      </c>
      <c r="P786" t="b">
        <v>0</v>
      </c>
      <c r="Q786" t="b">
        <v>0</v>
      </c>
    </row>
    <row r="787">
      <c r="A787" t="inlineStr">
        <is>
          <t>REQ00786</t>
        </is>
      </c>
      <c r="B787" t="inlineStr">
        <is>
          <t>648800KLQCXY07MR8S88</t>
        </is>
      </c>
      <c r="C787" t="inlineStr">
        <is>
          <t>document_refresh</t>
        </is>
      </c>
      <c r="D787" s="2" t="n">
        <v>46308.64444444444</v>
      </c>
      <c r="E787" s="2" t="n">
        <v>46310.39444444444</v>
      </c>
      <c r="F787" t="inlineStr">
        <is>
          <t>M5</t>
        </is>
      </c>
      <c r="G787" t="inlineStr">
        <is>
          <t>C1</t>
        </is>
      </c>
      <c r="H787" s="2" t="n">
        <v>46308.65625</v>
      </c>
      <c r="I787" s="2" t="n">
        <v>46308.66527777778</v>
      </c>
      <c r="J787" t="inlineStr">
        <is>
          <t>Completed</t>
        </is>
      </c>
      <c r="K787" t="n">
        <v>0.51</v>
      </c>
      <c r="L787" t="n">
        <v>12</v>
      </c>
      <c r="M787" t="b">
        <v>0</v>
      </c>
      <c r="N787" t="n">
        <v>0</v>
      </c>
      <c r="O787" t="b">
        <v>1</v>
      </c>
      <c r="P787" t="b">
        <v>0</v>
      </c>
      <c r="Q787" t="b">
        <v>0</v>
      </c>
    </row>
    <row r="788">
      <c r="A788" t="inlineStr">
        <is>
          <t>REQ00787</t>
        </is>
      </c>
      <c r="B788" t="inlineStr">
        <is>
          <t>54930068ZI40S0FHJY11</t>
        </is>
      </c>
      <c r="C788" t="inlineStr">
        <is>
          <t>document_refresh</t>
        </is>
      </c>
      <c r="D788" s="2" t="n">
        <v>46308.64652777778</v>
      </c>
      <c r="E788" s="2" t="n">
        <v>46310.39652777778</v>
      </c>
      <c r="F788" t="inlineStr">
        <is>
          <t>M1</t>
        </is>
      </c>
      <c r="G788" t="inlineStr">
        <is>
          <t>C1</t>
        </is>
      </c>
      <c r="H788" s="2" t="n">
        <v>46308.65833333333</v>
      </c>
      <c r="I788" s="2" t="n">
        <v>46309.38055555556</v>
      </c>
      <c r="J788" t="inlineStr">
        <is>
          <t>Completed</t>
        </is>
      </c>
      <c r="K788" t="n">
        <v>2.61</v>
      </c>
      <c r="L788" t="n">
        <v>12</v>
      </c>
      <c r="M788" t="b">
        <v>0</v>
      </c>
      <c r="N788" t="n">
        <v>0</v>
      </c>
      <c r="O788" t="b">
        <v>1</v>
      </c>
      <c r="P788" t="b">
        <v>0</v>
      </c>
      <c r="Q788" t="b">
        <v>1</v>
      </c>
    </row>
    <row r="789">
      <c r="A789" t="inlineStr">
        <is>
          <t>REQ00788</t>
        </is>
      </c>
      <c r="B789" t="inlineStr">
        <is>
          <t>724500UI5B1E1Y7UJS48</t>
        </is>
      </c>
      <c r="C789" t="inlineStr">
        <is>
          <t>signatory_change</t>
        </is>
      </c>
      <c r="D789" s="2" t="n">
        <v>46308.64861111111</v>
      </c>
      <c r="E789" s="2" t="n">
        <v>46309.60694444444</v>
      </c>
      <c r="F789" t="inlineStr">
        <is>
          <t>M2</t>
        </is>
      </c>
      <c r="G789" t="inlineStr">
        <is>
          <t>C1</t>
        </is>
      </c>
      <c r="H789" s="2" t="n">
        <v>46308.66875</v>
      </c>
      <c r="I789" s="2" t="n">
        <v>46308.67569444444</v>
      </c>
      <c r="J789" t="inlineStr">
        <is>
          <t>Completed</t>
        </is>
      </c>
      <c r="K789" t="n">
        <v>0.64</v>
      </c>
      <c r="L789" t="n">
        <v>8</v>
      </c>
      <c r="M789" t="b">
        <v>0</v>
      </c>
      <c r="N789" t="n">
        <v>0</v>
      </c>
      <c r="O789" t="b">
        <v>1</v>
      </c>
      <c r="P789" t="b">
        <v>0</v>
      </c>
      <c r="Q789" t="b">
        <v>0</v>
      </c>
    </row>
    <row r="790">
      <c r="A790" t="inlineStr">
        <is>
          <t>REQ00789</t>
        </is>
      </c>
      <c r="B790" t="inlineStr">
        <is>
          <t>724500BSSFPTHRZ4R181</t>
        </is>
      </c>
      <c r="C790" t="inlineStr">
        <is>
          <t>signatory_change</t>
        </is>
      </c>
      <c r="D790" s="2" t="n">
        <v>46308.66458333333</v>
      </c>
      <c r="E790" s="2" t="n">
        <v>46309.62291666667</v>
      </c>
      <c r="F790" t="inlineStr">
        <is>
          <t>M5</t>
        </is>
      </c>
      <c r="G790" t="inlineStr">
        <is>
          <t>C1</t>
        </is>
      </c>
      <c r="H790" s="2" t="n">
        <v>46308.68055555555</v>
      </c>
      <c r="I790" s="2" t="n">
        <v>46308.69791666666</v>
      </c>
      <c r="J790" t="inlineStr">
        <is>
          <t>Completed</t>
        </is>
      </c>
      <c r="K790" t="n">
        <v>0.8</v>
      </c>
      <c r="L790" t="n">
        <v>8</v>
      </c>
      <c r="M790" t="b">
        <v>0</v>
      </c>
      <c r="N790" t="n">
        <v>1</v>
      </c>
      <c r="O790" t="b">
        <v>0</v>
      </c>
      <c r="P790" t="b">
        <v>1</v>
      </c>
      <c r="Q790" t="b">
        <v>0</v>
      </c>
    </row>
    <row r="791">
      <c r="A791" t="inlineStr">
        <is>
          <t>REQ00790</t>
        </is>
      </c>
      <c r="B791" t="inlineStr">
        <is>
          <t>529900XV6TFCYR5AGO05</t>
        </is>
      </c>
      <c r="C791" t="inlineStr">
        <is>
          <t>signatory_change</t>
        </is>
      </c>
      <c r="D791" s="2" t="n">
        <v>46308.66597222222</v>
      </c>
      <c r="E791" s="2" t="n">
        <v>46309.62430555555</v>
      </c>
      <c r="F791" t="inlineStr">
        <is>
          <t>M1</t>
        </is>
      </c>
      <c r="G791" t="inlineStr">
        <is>
          <t>C3</t>
        </is>
      </c>
      <c r="H791" s="2" t="n">
        <v>46308.68263888889</v>
      </c>
      <c r="I791" s="2" t="n">
        <v>46308.69166666667</v>
      </c>
      <c r="J791" t="inlineStr">
        <is>
          <t>Completed</t>
        </is>
      </c>
      <c r="K791" t="n">
        <v>0.62</v>
      </c>
      <c r="L791" t="n">
        <v>8</v>
      </c>
      <c r="M791" t="b">
        <v>0</v>
      </c>
      <c r="N791" t="n">
        <v>0</v>
      </c>
      <c r="O791" t="b">
        <v>1</v>
      </c>
      <c r="P791" t="b">
        <v>0</v>
      </c>
      <c r="Q791" t="b">
        <v>0</v>
      </c>
    </row>
    <row r="792">
      <c r="A792" t="inlineStr">
        <is>
          <t>REQ00791</t>
        </is>
      </c>
      <c r="B792" t="inlineStr">
        <is>
          <t>8945006615GUHWAU1588</t>
        </is>
      </c>
      <c r="C792" t="inlineStr">
        <is>
          <t>document_refresh</t>
        </is>
      </c>
      <c r="D792" s="2" t="n">
        <v>46308.66666666666</v>
      </c>
      <c r="E792" s="2" t="n">
        <v>46310.41666666666</v>
      </c>
      <c r="F792" t="inlineStr">
        <is>
          <t>M6</t>
        </is>
      </c>
      <c r="G792" t="inlineStr">
        <is>
          <t>C2</t>
        </is>
      </c>
      <c r="H792" s="2" t="n">
        <v>46308.67986111111</v>
      </c>
      <c r="I792" s="2" t="n">
        <v>46308.68611111111</v>
      </c>
      <c r="J792" t="inlineStr">
        <is>
          <t>Completed</t>
        </is>
      </c>
      <c r="K792" t="n">
        <v>0.47</v>
      </c>
      <c r="L792" t="n">
        <v>12</v>
      </c>
      <c r="M792" t="b">
        <v>0</v>
      </c>
      <c r="N792" t="n">
        <v>0</v>
      </c>
      <c r="O792" t="b">
        <v>1</v>
      </c>
      <c r="P792" t="b">
        <v>0</v>
      </c>
      <c r="Q792" t="b">
        <v>0</v>
      </c>
    </row>
    <row r="793">
      <c r="A793" t="inlineStr">
        <is>
          <t>REQ00792</t>
        </is>
      </c>
      <c r="B793" t="inlineStr">
        <is>
          <t>549300JLXHRDLUC09994</t>
        </is>
      </c>
      <c r="C793" t="inlineStr">
        <is>
          <t>document_refresh</t>
        </is>
      </c>
      <c r="D793" s="2" t="n">
        <v>46308.66875</v>
      </c>
      <c r="E793" s="2" t="n">
        <v>46310.41875</v>
      </c>
      <c r="F793" t="inlineStr">
        <is>
          <t>M2</t>
        </is>
      </c>
      <c r="G793" t="inlineStr">
        <is>
          <t>C2</t>
        </is>
      </c>
      <c r="H793" s="2" t="n">
        <v>46308.68263888889</v>
      </c>
      <c r="I793" s="2" t="n">
        <v>46309.50138888889</v>
      </c>
      <c r="J793" t="inlineStr">
        <is>
          <t>Completed</t>
        </is>
      </c>
      <c r="K793" t="n">
        <v>4.99</v>
      </c>
      <c r="L793" t="n">
        <v>12</v>
      </c>
      <c r="M793" t="b">
        <v>0</v>
      </c>
      <c r="N793" t="n">
        <v>0</v>
      </c>
      <c r="O793" t="b">
        <v>1</v>
      </c>
      <c r="P793" t="b">
        <v>0</v>
      </c>
      <c r="Q793" t="b">
        <v>1</v>
      </c>
    </row>
    <row r="794">
      <c r="A794" t="inlineStr">
        <is>
          <t>REQ00793</t>
        </is>
      </c>
      <c r="B794" t="inlineStr">
        <is>
          <t>529900I3VXEKDIQSJR50</t>
        </is>
      </c>
      <c r="C794" t="inlineStr">
        <is>
          <t>document_refresh</t>
        </is>
      </c>
      <c r="D794" s="2" t="n">
        <v>46308.67847222222</v>
      </c>
      <c r="E794" s="2" t="n">
        <v>46310.42847222222</v>
      </c>
      <c r="F794" t="inlineStr">
        <is>
          <t>M3</t>
        </is>
      </c>
      <c r="G794" t="inlineStr">
        <is>
          <t>C1</t>
        </is>
      </c>
      <c r="H794" s="2" t="n">
        <v>46308.69444444445</v>
      </c>
      <c r="I794" s="2" t="n">
        <v>46308.7</v>
      </c>
      <c r="J794" t="inlineStr">
        <is>
          <t>Completed</t>
        </is>
      </c>
      <c r="K794" t="n">
        <v>0.52</v>
      </c>
      <c r="L794" t="n">
        <v>12</v>
      </c>
      <c r="M794" t="b">
        <v>0</v>
      </c>
      <c r="N794" t="n">
        <v>0</v>
      </c>
      <c r="O794" t="b">
        <v>1</v>
      </c>
      <c r="P794" t="b">
        <v>0</v>
      </c>
      <c r="Q794" t="b">
        <v>0</v>
      </c>
    </row>
    <row r="795">
      <c r="A795" t="inlineStr">
        <is>
          <t>REQ00794</t>
        </is>
      </c>
      <c r="B795" t="inlineStr">
        <is>
          <t>724500JOCDVQ99NYXI66</t>
        </is>
      </c>
      <c r="C795" t="inlineStr">
        <is>
          <t>new_account</t>
        </is>
      </c>
      <c r="D795" s="2" t="n">
        <v>46308.68611111111</v>
      </c>
      <c r="E795" s="2" t="n">
        <v>46310.60277777778</v>
      </c>
      <c r="F795" t="inlineStr">
        <is>
          <t>M4</t>
        </is>
      </c>
      <c r="G795" t="inlineStr">
        <is>
          <t>C1</t>
        </is>
      </c>
      <c r="H795" s="2" t="n">
        <v>46308.72083333333</v>
      </c>
      <c r="I795" s="2" t="n">
        <v>46308.72847222222</v>
      </c>
      <c r="J795" t="inlineStr">
        <is>
          <t>Completed</t>
        </is>
      </c>
      <c r="K795" t="n">
        <v>1.02</v>
      </c>
      <c r="L795" t="n">
        <v>16</v>
      </c>
      <c r="M795" t="b">
        <v>0</v>
      </c>
      <c r="N795" t="n">
        <v>0</v>
      </c>
      <c r="O795" t="b">
        <v>1</v>
      </c>
      <c r="P795" t="b">
        <v>0</v>
      </c>
      <c r="Q795" t="b">
        <v>0</v>
      </c>
    </row>
    <row r="796">
      <c r="A796" t="inlineStr">
        <is>
          <t>REQ00795</t>
        </is>
      </c>
      <c r="B796" t="inlineStr">
        <is>
          <t>724500C89KJ197PEW058</t>
        </is>
      </c>
      <c r="C796" t="inlineStr">
        <is>
          <t>document_refresh</t>
        </is>
      </c>
      <c r="D796" s="2" t="n">
        <v>46308.68611111111</v>
      </c>
      <c r="E796" s="2" t="n">
        <v>46310.43611111111</v>
      </c>
      <c r="F796" t="inlineStr">
        <is>
          <t>M6</t>
        </is>
      </c>
      <c r="G796" t="inlineStr">
        <is>
          <t>C3</t>
        </is>
      </c>
      <c r="H796" s="2" t="n">
        <v>46308.69722222222</v>
      </c>
      <c r="I796" s="2" t="n">
        <v>46309.57083333333</v>
      </c>
      <c r="J796" t="inlineStr">
        <is>
          <t>Completed</t>
        </is>
      </c>
      <c r="K796" t="n">
        <v>6.23</v>
      </c>
      <c r="L796" t="n">
        <v>12</v>
      </c>
      <c r="M796" t="b">
        <v>0</v>
      </c>
      <c r="N796" t="n">
        <v>0</v>
      </c>
      <c r="O796" t="b">
        <v>1</v>
      </c>
      <c r="P796" t="b">
        <v>0</v>
      </c>
      <c r="Q796" t="b">
        <v>1</v>
      </c>
    </row>
    <row r="797">
      <c r="A797" t="inlineStr">
        <is>
          <t>REQ00796</t>
        </is>
      </c>
      <c r="B797" t="inlineStr">
        <is>
          <t>894500LSHUCDGWPV9R66</t>
        </is>
      </c>
      <c r="C797" t="inlineStr">
        <is>
          <t>signatory_change</t>
        </is>
      </c>
      <c r="D797" s="2" t="n">
        <v>46308.68680555555</v>
      </c>
      <c r="E797" s="2" t="n">
        <v>46309.64513888889</v>
      </c>
      <c r="F797" t="inlineStr">
        <is>
          <t>M5</t>
        </is>
      </c>
      <c r="G797" t="inlineStr">
        <is>
          <t>C3</t>
        </is>
      </c>
      <c r="H797" s="2" t="n">
        <v>46308.70833333334</v>
      </c>
      <c r="I797" s="2" t="n">
        <v>46309.43888888889</v>
      </c>
      <c r="J797" t="inlineStr">
        <is>
          <t>Completed</t>
        </is>
      </c>
      <c r="K797" t="n">
        <v>3.05</v>
      </c>
      <c r="L797" t="n">
        <v>8</v>
      </c>
      <c r="M797" t="b">
        <v>0</v>
      </c>
      <c r="N797" t="n">
        <v>0</v>
      </c>
      <c r="O797" t="b">
        <v>1</v>
      </c>
      <c r="P797" t="b">
        <v>0</v>
      </c>
      <c r="Q797" t="b">
        <v>1</v>
      </c>
    </row>
    <row r="798">
      <c r="A798" t="inlineStr">
        <is>
          <t>REQ00797</t>
        </is>
      </c>
      <c r="B798" t="inlineStr">
        <is>
          <t>967600G8CBDJA3K7XR57</t>
        </is>
      </c>
      <c r="C798" t="inlineStr">
        <is>
          <t>data_amendment</t>
        </is>
      </c>
      <c r="D798" s="2" t="n">
        <v>46308.68819444445</v>
      </c>
      <c r="E798" s="2" t="n">
        <v>46309.64652777778</v>
      </c>
      <c r="F798" t="inlineStr">
        <is>
          <t>M2</t>
        </is>
      </c>
      <c r="G798" t="inlineStr">
        <is>
          <t>C3</t>
        </is>
      </c>
      <c r="H798" s="2" t="n">
        <v>46308.69652777778</v>
      </c>
      <c r="I798" s="2" t="n">
        <v>46309.53611111111</v>
      </c>
      <c r="J798" t="inlineStr">
        <is>
          <t>Completed</t>
        </is>
      </c>
      <c r="K798" t="n">
        <v>5.34</v>
      </c>
      <c r="L798" t="n">
        <v>8</v>
      </c>
      <c r="M798" t="b">
        <v>0</v>
      </c>
      <c r="N798" t="n">
        <v>0</v>
      </c>
      <c r="O798" t="b">
        <v>1</v>
      </c>
      <c r="P798" t="b">
        <v>0</v>
      </c>
      <c r="Q798" t="b">
        <v>1</v>
      </c>
    </row>
    <row r="799">
      <c r="A799" t="inlineStr">
        <is>
          <t>REQ00798</t>
        </is>
      </c>
      <c r="B799" t="inlineStr">
        <is>
          <t>5493001NH23M7XVQWD76</t>
        </is>
      </c>
      <c r="C799" t="inlineStr">
        <is>
          <t>document_refresh</t>
        </is>
      </c>
      <c r="D799" s="2" t="n">
        <v>46308.7</v>
      </c>
      <c r="E799" s="2" t="n">
        <v>46310.45</v>
      </c>
      <c r="F799" t="inlineStr">
        <is>
          <t>M1</t>
        </is>
      </c>
      <c r="G799" t="inlineStr">
        <is>
          <t>C3</t>
        </is>
      </c>
      <c r="H799" s="2" t="n">
        <v>46308.71319444444</v>
      </c>
      <c r="I799" s="2" t="n">
        <v>46309.55</v>
      </c>
      <c r="J799" t="inlineStr">
        <is>
          <t>Completed</t>
        </is>
      </c>
      <c r="K799" t="n">
        <v>5.41</v>
      </c>
      <c r="L799" t="n">
        <v>12</v>
      </c>
      <c r="M799" t="b">
        <v>0</v>
      </c>
      <c r="N799" t="n">
        <v>0</v>
      </c>
      <c r="O799" t="b">
        <v>1</v>
      </c>
      <c r="P799" t="b">
        <v>0</v>
      </c>
      <c r="Q799" t="b">
        <v>1</v>
      </c>
    </row>
    <row r="800">
      <c r="A800" t="inlineStr">
        <is>
          <t>REQ00799</t>
        </is>
      </c>
      <c r="B800" t="inlineStr">
        <is>
          <t>52990023UIEY5LTO7991</t>
        </is>
      </c>
      <c r="C800" t="inlineStr">
        <is>
          <t>document_refresh</t>
        </is>
      </c>
      <c r="D800" s="2" t="n">
        <v>46308.70416666667</v>
      </c>
      <c r="E800" s="2" t="n">
        <v>46310.45416666667</v>
      </c>
      <c r="F800" t="inlineStr">
        <is>
          <t>M3</t>
        </is>
      </c>
      <c r="G800" t="inlineStr">
        <is>
          <t>C1</t>
        </is>
      </c>
      <c r="H800" s="2" t="n">
        <v>46308.71527777778</v>
      </c>
      <c r="I800" s="2" t="n">
        <v>46309.52777777778</v>
      </c>
      <c r="J800" t="inlineStr">
        <is>
          <t>Completed</t>
        </is>
      </c>
      <c r="K800" t="n">
        <v>4.76</v>
      </c>
      <c r="L800" t="n">
        <v>12</v>
      </c>
      <c r="M800" t="b">
        <v>0</v>
      </c>
      <c r="N800" t="n">
        <v>0</v>
      </c>
      <c r="O800" t="b">
        <v>1</v>
      </c>
      <c r="P800" t="b">
        <v>0</v>
      </c>
      <c r="Q800" t="b">
        <v>1</v>
      </c>
    </row>
    <row r="801">
      <c r="A801" t="inlineStr">
        <is>
          <t>REQ00800</t>
        </is>
      </c>
      <c r="B801" t="inlineStr">
        <is>
          <t>7245001X64RLBT2X0242</t>
        </is>
      </c>
      <c r="C801" t="inlineStr">
        <is>
          <t>new_account</t>
        </is>
      </c>
      <c r="D801" s="2" t="n">
        <v>46308.70555555556</v>
      </c>
      <c r="E801" s="2" t="n">
        <v>46310.62222222222</v>
      </c>
      <c r="F801" t="inlineStr">
        <is>
          <t>M2</t>
        </is>
      </c>
      <c r="G801" t="inlineStr">
        <is>
          <t>C2</t>
        </is>
      </c>
      <c r="H801" s="2" t="n">
        <v>46308.73819444444</v>
      </c>
      <c r="I801" s="2" t="n">
        <v>46309.37569444445</v>
      </c>
      <c r="J801" t="inlineStr">
        <is>
          <t>Completed</t>
        </is>
      </c>
      <c r="K801" t="n">
        <v>1.09</v>
      </c>
      <c r="L801" t="n">
        <v>16</v>
      </c>
      <c r="M801" t="b">
        <v>0</v>
      </c>
      <c r="N801" t="n">
        <v>0</v>
      </c>
      <c r="O801" t="b">
        <v>1</v>
      </c>
      <c r="P801" t="b">
        <v>0</v>
      </c>
      <c r="Q801" t="b">
        <v>0</v>
      </c>
    </row>
    <row r="802">
      <c r="A802" t="inlineStr">
        <is>
          <t>REQ00801</t>
        </is>
      </c>
      <c r="B802" t="inlineStr">
        <is>
          <t>6488P8TFB470Y0JM4124</t>
        </is>
      </c>
      <c r="C802" t="inlineStr">
        <is>
          <t>data_amendment</t>
        </is>
      </c>
      <c r="D802" s="2" t="n">
        <v>46308.70763888889</v>
      </c>
      <c r="E802" s="2" t="n">
        <v>46309.66597222222</v>
      </c>
      <c r="F802" t="inlineStr">
        <is>
          <t>M6</t>
        </is>
      </c>
      <c r="G802" t="inlineStr">
        <is>
          <t>C3</t>
        </is>
      </c>
      <c r="H802" s="2" t="n">
        <v>46308.71736111111</v>
      </c>
      <c r="I802" s="2" t="n">
        <v>46308.72083333333</v>
      </c>
      <c r="J802" t="inlineStr">
        <is>
          <t>Completed</t>
        </is>
      </c>
      <c r="K802" t="n">
        <v>0.32</v>
      </c>
      <c r="L802" t="n">
        <v>8</v>
      </c>
      <c r="M802" t="b">
        <v>0</v>
      </c>
      <c r="N802" t="n">
        <v>0</v>
      </c>
      <c r="O802" t="b">
        <v>1</v>
      </c>
      <c r="P802" t="b">
        <v>0</v>
      </c>
      <c r="Q802" t="b">
        <v>0</v>
      </c>
    </row>
    <row r="803">
      <c r="A803" t="inlineStr">
        <is>
          <t>REQ00802</t>
        </is>
      </c>
      <c r="B803" t="inlineStr">
        <is>
          <t>969500B4RXTC4ODBUI25</t>
        </is>
      </c>
      <c r="C803" t="inlineStr">
        <is>
          <t>data_amendment</t>
        </is>
      </c>
      <c r="D803" s="2" t="n">
        <v>46308.71458333333</v>
      </c>
      <c r="E803" s="2" t="n">
        <v>46309.67291666667</v>
      </c>
      <c r="F803" t="inlineStr">
        <is>
          <t>M5</t>
        </is>
      </c>
      <c r="G803" t="inlineStr">
        <is>
          <t>C1</t>
        </is>
      </c>
      <c r="H803" s="2" t="n">
        <v>46308.72777777778</v>
      </c>
      <c r="I803" s="2" t="n">
        <v>46309.57430555556</v>
      </c>
      <c r="J803" t="inlineStr">
        <is>
          <t>Completed</t>
        </is>
      </c>
      <c r="K803" t="n">
        <v>5.63</v>
      </c>
      <c r="L803" t="n">
        <v>8</v>
      </c>
      <c r="M803" t="b">
        <v>0</v>
      </c>
      <c r="N803" t="n">
        <v>0</v>
      </c>
      <c r="O803" t="b">
        <v>1</v>
      </c>
      <c r="P803" t="b">
        <v>0</v>
      </c>
      <c r="Q803" t="b">
        <v>1</v>
      </c>
    </row>
    <row r="804">
      <c r="A804" t="inlineStr">
        <is>
          <t>REQ00803</t>
        </is>
      </c>
      <c r="B804" t="inlineStr">
        <is>
          <t>969500LPXSOU8CO6GX03</t>
        </is>
      </c>
      <c r="C804" t="inlineStr">
        <is>
          <t>data_amendment</t>
        </is>
      </c>
      <c r="D804" s="2" t="n">
        <v>46308.71736111111</v>
      </c>
      <c r="E804" s="2" t="n">
        <v>46309.67569444444</v>
      </c>
      <c r="F804" t="inlineStr">
        <is>
          <t>M1</t>
        </is>
      </c>
      <c r="G804" t="inlineStr">
        <is>
          <t>C3</t>
        </is>
      </c>
      <c r="H804" s="2" t="n">
        <v>46308.72986111111</v>
      </c>
      <c r="I804" s="2" t="n">
        <v>46308.73541666667</v>
      </c>
      <c r="J804" t="inlineStr">
        <is>
          <t>Completed</t>
        </is>
      </c>
      <c r="K804" t="n">
        <v>0.43</v>
      </c>
      <c r="L804" t="n">
        <v>8</v>
      </c>
      <c r="M804" t="b">
        <v>0</v>
      </c>
      <c r="N804" t="n">
        <v>0</v>
      </c>
      <c r="O804" t="b">
        <v>1</v>
      </c>
      <c r="P804" t="b">
        <v>0</v>
      </c>
      <c r="Q804" t="b">
        <v>0</v>
      </c>
    </row>
    <row r="805">
      <c r="A805" t="inlineStr">
        <is>
          <t>REQ00804</t>
        </is>
      </c>
      <c r="B805" t="inlineStr">
        <is>
          <t>549300J204QFLWUU4E78</t>
        </is>
      </c>
      <c r="C805" t="inlineStr">
        <is>
          <t>new_account</t>
        </is>
      </c>
      <c r="D805" s="2" t="n">
        <v>46308.71875</v>
      </c>
      <c r="E805" s="2" t="n">
        <v>46310.63541666666</v>
      </c>
      <c r="F805" t="inlineStr">
        <is>
          <t>M3</t>
        </is>
      </c>
      <c r="G805" t="inlineStr">
        <is>
          <t>C2</t>
        </is>
      </c>
      <c r="H805" s="2" t="n">
        <v>46308.74097222222</v>
      </c>
      <c r="I805" s="2" t="n">
        <v>46309.46666666667</v>
      </c>
      <c r="J805" t="inlineStr">
        <is>
          <t>Completed</t>
        </is>
      </c>
      <c r="K805" t="n">
        <v>2.95</v>
      </c>
      <c r="L805" t="n">
        <v>16</v>
      </c>
      <c r="M805" t="b">
        <v>0</v>
      </c>
      <c r="N805" t="n">
        <v>0</v>
      </c>
      <c r="O805" t="b">
        <v>1</v>
      </c>
      <c r="P805" t="b">
        <v>0</v>
      </c>
      <c r="Q805" t="b">
        <v>1</v>
      </c>
    </row>
    <row r="806">
      <c r="A806" t="inlineStr">
        <is>
          <t>REQ00805</t>
        </is>
      </c>
      <c r="B806" t="inlineStr">
        <is>
          <t>5299006PEATYM9ONJJ34</t>
        </is>
      </c>
      <c r="C806" t="inlineStr">
        <is>
          <t>document_refresh</t>
        </is>
      </c>
      <c r="D806" s="2" t="n">
        <v>46308.71944444445</v>
      </c>
      <c r="E806" s="2" t="n">
        <v>46310.46944444445</v>
      </c>
      <c r="F806" t="inlineStr">
        <is>
          <t>M6</t>
        </is>
      </c>
      <c r="G806" t="inlineStr">
        <is>
          <t>C3</t>
        </is>
      </c>
      <c r="H806" s="2" t="n">
        <v>46308.73194444444</v>
      </c>
      <c r="I806" s="2" t="n">
        <v>46309.50902777778</v>
      </c>
      <c r="J806" t="inlineStr">
        <is>
          <t>Completed</t>
        </is>
      </c>
      <c r="K806" t="n">
        <v>3.96</v>
      </c>
      <c r="L806" t="n">
        <v>12</v>
      </c>
      <c r="M806" t="b">
        <v>0</v>
      </c>
      <c r="N806" t="n">
        <v>0</v>
      </c>
      <c r="O806" t="b">
        <v>1</v>
      </c>
      <c r="P806" t="b">
        <v>0</v>
      </c>
      <c r="Q806" t="b">
        <v>1</v>
      </c>
    </row>
    <row r="807">
      <c r="A807" t="inlineStr">
        <is>
          <t>REQ00806</t>
        </is>
      </c>
      <c r="B807" t="inlineStr">
        <is>
          <t>5299000XDGEF2ROG4C03</t>
        </is>
      </c>
      <c r="C807" t="inlineStr">
        <is>
          <t>new_account</t>
        </is>
      </c>
      <c r="D807" s="2" t="n">
        <v>46308.72291666667</v>
      </c>
      <c r="E807" s="2" t="n">
        <v>46310.63958333333</v>
      </c>
      <c r="F807" t="inlineStr">
        <is>
          <t>M4</t>
        </is>
      </c>
      <c r="G807" t="inlineStr">
        <is>
          <t>C2</t>
        </is>
      </c>
      <c r="H807" s="2" t="n">
        <v>46309.38472222222</v>
      </c>
      <c r="I807" s="2" t="n">
        <v>46309.62291666667</v>
      </c>
      <c r="J807" t="inlineStr">
        <is>
          <t>Completed</t>
        </is>
      </c>
      <c r="K807" t="n">
        <v>6.61</v>
      </c>
      <c r="L807" t="n">
        <v>16</v>
      </c>
      <c r="M807" t="b">
        <v>0</v>
      </c>
      <c r="N807" t="n">
        <v>0</v>
      </c>
      <c r="O807" t="b">
        <v>1</v>
      </c>
      <c r="P807" t="b">
        <v>0</v>
      </c>
      <c r="Q807" t="b">
        <v>1</v>
      </c>
    </row>
    <row r="808">
      <c r="A808" t="inlineStr">
        <is>
          <t>REQ00807</t>
        </is>
      </c>
      <c r="B808" t="inlineStr">
        <is>
          <t>335800SLQ1SFPAGNRJ67</t>
        </is>
      </c>
      <c r="C808" t="inlineStr">
        <is>
          <t>signatory_change</t>
        </is>
      </c>
      <c r="D808" s="2" t="n">
        <v>46308.72986111111</v>
      </c>
      <c r="E808" s="2" t="n">
        <v>46309.68819444445</v>
      </c>
      <c r="F808" t="inlineStr">
        <is>
          <t>M5</t>
        </is>
      </c>
      <c r="G808" t="inlineStr">
        <is>
          <t>C2</t>
        </is>
      </c>
      <c r="H808" s="2" t="n">
        <v>46309.37986111111</v>
      </c>
      <c r="I808" s="2" t="n">
        <v>46309.60208333333</v>
      </c>
      <c r="J808" t="inlineStr">
        <is>
          <t>Completed</t>
        </is>
      </c>
      <c r="K808" t="n">
        <v>5.93</v>
      </c>
      <c r="L808" t="n">
        <v>8</v>
      </c>
      <c r="M808" t="b">
        <v>0</v>
      </c>
      <c r="N808" t="n">
        <v>0</v>
      </c>
      <c r="O808" t="b">
        <v>1</v>
      </c>
      <c r="P808" t="b">
        <v>0</v>
      </c>
      <c r="Q808" t="b">
        <v>1</v>
      </c>
    </row>
    <row r="809">
      <c r="A809" t="inlineStr">
        <is>
          <t>REQ00808</t>
        </is>
      </c>
      <c r="B809" t="inlineStr">
        <is>
          <t>529900TR04YIEY6Q5T18</t>
        </is>
      </c>
      <c r="C809" t="inlineStr">
        <is>
          <t>data_amendment</t>
        </is>
      </c>
      <c r="D809" s="2" t="n">
        <v>46308.73402777778</v>
      </c>
      <c r="E809" s="2" t="n">
        <v>46309.69236111111</v>
      </c>
      <c r="F809" t="inlineStr">
        <is>
          <t>M1</t>
        </is>
      </c>
      <c r="G809" t="inlineStr">
        <is>
          <t>C3</t>
        </is>
      </c>
      <c r="H809" s="2" t="n">
        <v>46308.74236111111</v>
      </c>
      <c r="I809" s="2" t="n">
        <v>46309.59375</v>
      </c>
      <c r="J809" t="inlineStr">
        <is>
          <t>Completed</t>
        </is>
      </c>
      <c r="K809" t="n">
        <v>5.63</v>
      </c>
      <c r="L809" t="n">
        <v>8</v>
      </c>
      <c r="M809" t="b">
        <v>0</v>
      </c>
      <c r="N809" t="n">
        <v>0</v>
      </c>
      <c r="O809" t="b">
        <v>1</v>
      </c>
      <c r="P809" t="b">
        <v>0</v>
      </c>
      <c r="Q809" t="b">
        <v>1</v>
      </c>
    </row>
    <row r="810">
      <c r="A810" t="inlineStr">
        <is>
          <t>REQ00809</t>
        </is>
      </c>
      <c r="B810" t="inlineStr">
        <is>
          <t>549300CPJ0194Y221V58</t>
        </is>
      </c>
      <c r="C810" t="inlineStr">
        <is>
          <t>signatory_change</t>
        </is>
      </c>
      <c r="D810" s="2" t="n">
        <v>46308.73611111111</v>
      </c>
      <c r="E810" s="2" t="n">
        <v>46309.69444444445</v>
      </c>
      <c r="F810" t="inlineStr">
        <is>
          <t>M6</t>
        </is>
      </c>
      <c r="G810" t="inlineStr">
        <is>
          <t>C3</t>
        </is>
      </c>
      <c r="H810" s="2" t="n">
        <v>46309.38680555556</v>
      </c>
      <c r="I810" s="2" t="n">
        <v>46309.52291666667</v>
      </c>
      <c r="J810" t="inlineStr">
        <is>
          <t>Completed</t>
        </is>
      </c>
      <c r="K810" t="n">
        <v>3.88</v>
      </c>
      <c r="L810" t="n">
        <v>8</v>
      </c>
      <c r="M810" t="b">
        <v>0</v>
      </c>
      <c r="N810" t="n">
        <v>0</v>
      </c>
      <c r="O810" t="b">
        <v>1</v>
      </c>
      <c r="P810" t="b">
        <v>0</v>
      </c>
      <c r="Q810" t="b">
        <v>1</v>
      </c>
    </row>
    <row r="811">
      <c r="A811" t="inlineStr">
        <is>
          <t>REQ00810</t>
        </is>
      </c>
      <c r="B811" t="inlineStr">
        <is>
          <t>21380098ZRQE8WDBD711</t>
        </is>
      </c>
      <c r="C811" t="inlineStr">
        <is>
          <t>document_refresh</t>
        </is>
      </c>
      <c r="D811" s="2" t="n">
        <v>46308.73888888889</v>
      </c>
      <c r="E811" s="2" t="n">
        <v>46310.48888888889</v>
      </c>
      <c r="F811" t="inlineStr">
        <is>
          <t>M2</t>
        </is>
      </c>
      <c r="G811" t="inlineStr">
        <is>
          <t>C3</t>
        </is>
      </c>
      <c r="H811" s="2" t="n">
        <v>46309.38055555556</v>
      </c>
      <c r="I811" s="2" t="n">
        <v>46309.54097222222</v>
      </c>
      <c r="J811" t="inlineStr">
        <is>
          <t>Completed</t>
        </is>
      </c>
      <c r="K811" t="n">
        <v>4.26</v>
      </c>
      <c r="L811" t="n">
        <v>12</v>
      </c>
      <c r="M811" t="b">
        <v>0</v>
      </c>
      <c r="N811" t="n">
        <v>0</v>
      </c>
      <c r="O811" t="b">
        <v>1</v>
      </c>
      <c r="P811" t="b">
        <v>0</v>
      </c>
      <c r="Q811" t="b">
        <v>1</v>
      </c>
    </row>
    <row r="812">
      <c r="A812" t="inlineStr">
        <is>
          <t>REQ00811</t>
        </is>
      </c>
      <c r="B812" t="inlineStr">
        <is>
          <t>724500R5LXM81RLA9B51</t>
        </is>
      </c>
      <c r="C812" t="inlineStr">
        <is>
          <t>document_refresh</t>
        </is>
      </c>
      <c r="D812" s="2" t="n">
        <v>46308.74375</v>
      </c>
      <c r="E812" s="2" t="n">
        <v>46310.49375</v>
      </c>
      <c r="F812" t="inlineStr">
        <is>
          <t>M3</t>
        </is>
      </c>
      <c r="G812" t="inlineStr">
        <is>
          <t>C2</t>
        </is>
      </c>
      <c r="H812" s="2" t="n">
        <v>46309.38472222222</v>
      </c>
      <c r="I812" s="2" t="n">
        <v>46309.40208333333</v>
      </c>
      <c r="J812" t="inlineStr">
        <is>
          <t>Completed</t>
        </is>
      </c>
      <c r="K812" t="n">
        <v>0.8100000000000001</v>
      </c>
      <c r="L812" t="n">
        <v>12</v>
      </c>
      <c r="M812" t="b">
        <v>0</v>
      </c>
      <c r="N812" t="n">
        <v>1</v>
      </c>
      <c r="O812" t="b">
        <v>0</v>
      </c>
      <c r="P812" t="b">
        <v>1</v>
      </c>
      <c r="Q812" t="b">
        <v>0</v>
      </c>
    </row>
    <row r="813">
      <c r="A813" t="inlineStr">
        <is>
          <t>REQ00812</t>
        </is>
      </c>
      <c r="B813" t="inlineStr">
        <is>
          <t>724500NTUC008NB64J32</t>
        </is>
      </c>
      <c r="C813" t="inlineStr">
        <is>
          <t>document_refresh</t>
        </is>
      </c>
      <c r="D813" s="2" t="n">
        <v>46308.74722222222</v>
      </c>
      <c r="E813" s="2" t="n">
        <v>46310.49722222222</v>
      </c>
      <c r="F813" t="inlineStr">
        <is>
          <t>M1</t>
        </is>
      </c>
      <c r="G813" t="inlineStr">
        <is>
          <t>C3</t>
        </is>
      </c>
      <c r="H813" s="2" t="n">
        <v>46309.39027777778</v>
      </c>
      <c r="I813" s="2" t="n">
        <v>46309.39583333334</v>
      </c>
      <c r="J813" t="inlineStr">
        <is>
          <t>Completed</t>
        </is>
      </c>
      <c r="K813" t="n">
        <v>0.57</v>
      </c>
      <c r="L813" t="n">
        <v>12</v>
      </c>
      <c r="M813" t="b">
        <v>0</v>
      </c>
      <c r="N813" t="n">
        <v>0</v>
      </c>
      <c r="O813" t="b">
        <v>1</v>
      </c>
      <c r="P813" t="b">
        <v>0</v>
      </c>
      <c r="Q813" t="b">
        <v>0</v>
      </c>
    </row>
    <row r="814">
      <c r="A814" t="inlineStr">
        <is>
          <t>REQ00813</t>
        </is>
      </c>
      <c r="B814" t="inlineStr">
        <is>
          <t>9845008982F77867F303</t>
        </is>
      </c>
      <c r="C814" t="inlineStr">
        <is>
          <t>document_refresh</t>
        </is>
      </c>
      <c r="D814" s="2" t="n">
        <v>46309.37638888889</v>
      </c>
      <c r="E814" s="2" t="n">
        <v>46310.50138888889</v>
      </c>
      <c r="F814" t="inlineStr">
        <is>
          <t>M5</t>
        </is>
      </c>
      <c r="G814" t="inlineStr">
        <is>
          <t>C1</t>
        </is>
      </c>
      <c r="H814" s="2" t="n">
        <v>46309.39166666667</v>
      </c>
      <c r="I814" s="2" t="n">
        <v>46309.39652777778</v>
      </c>
      <c r="J814" t="inlineStr">
        <is>
          <t>Completed</t>
        </is>
      </c>
      <c r="K814" t="n">
        <v>0.49</v>
      </c>
      <c r="L814" t="n">
        <v>12</v>
      </c>
      <c r="M814" t="b">
        <v>0</v>
      </c>
      <c r="N814" t="n">
        <v>0</v>
      </c>
      <c r="O814" t="b">
        <v>1</v>
      </c>
      <c r="P814" t="b">
        <v>0</v>
      </c>
      <c r="Q814" t="b">
        <v>0</v>
      </c>
    </row>
    <row r="815">
      <c r="A815" t="inlineStr">
        <is>
          <t>REQ00814</t>
        </is>
      </c>
      <c r="B815" t="inlineStr">
        <is>
          <t>2M6ZH5ETTH2JQI4FUL40</t>
        </is>
      </c>
      <c r="C815" t="inlineStr">
        <is>
          <t>document_refresh</t>
        </is>
      </c>
      <c r="D815" s="2" t="n">
        <v>46309.38055555556</v>
      </c>
      <c r="E815" s="2" t="n">
        <v>46310.50555555556</v>
      </c>
      <c r="F815" t="inlineStr">
        <is>
          <t>M2</t>
        </is>
      </c>
      <c r="G815" t="inlineStr">
        <is>
          <t>C1</t>
        </is>
      </c>
      <c r="H815" s="2" t="n">
        <v>46309.39305555556</v>
      </c>
      <c r="I815" s="2" t="n">
        <v>46309.5375</v>
      </c>
      <c r="J815" t="inlineStr">
        <is>
          <t>Completed</t>
        </is>
      </c>
      <c r="K815" t="n">
        <v>3.77</v>
      </c>
      <c r="L815" t="n">
        <v>12</v>
      </c>
      <c r="M815" t="b">
        <v>0</v>
      </c>
      <c r="N815" t="n">
        <v>0</v>
      </c>
      <c r="O815" t="b">
        <v>1</v>
      </c>
      <c r="P815" t="b">
        <v>0</v>
      </c>
      <c r="Q815" t="b">
        <v>1</v>
      </c>
    </row>
    <row r="816">
      <c r="A816" t="inlineStr">
        <is>
          <t>REQ00815</t>
        </is>
      </c>
      <c r="B816" t="inlineStr">
        <is>
          <t>391200EXOPJCXNFJIX16</t>
        </is>
      </c>
      <c r="C816" t="inlineStr">
        <is>
          <t>document_refresh</t>
        </is>
      </c>
      <c r="D816" s="2" t="n">
        <v>46309.38125</v>
      </c>
      <c r="E816" s="2" t="n">
        <v>46310.50625</v>
      </c>
      <c r="F816" t="inlineStr">
        <is>
          <t>M3</t>
        </is>
      </c>
      <c r="G816" t="inlineStr">
        <is>
          <t>C2</t>
        </is>
      </c>
      <c r="H816" s="2" t="n">
        <v>46309.40277777778</v>
      </c>
      <c r="I816" s="2" t="n">
        <v>46309.61388888889</v>
      </c>
      <c r="J816" t="inlineStr">
        <is>
          <t>Completed</t>
        </is>
      </c>
      <c r="K816" t="n">
        <v>5.58</v>
      </c>
      <c r="L816" t="n">
        <v>12</v>
      </c>
      <c r="M816" t="b">
        <v>0</v>
      </c>
      <c r="N816" t="n">
        <v>0</v>
      </c>
      <c r="O816" t="b">
        <v>1</v>
      </c>
      <c r="P816" t="b">
        <v>0</v>
      </c>
      <c r="Q816" t="b">
        <v>1</v>
      </c>
    </row>
    <row r="817">
      <c r="A817" t="inlineStr">
        <is>
          <t>REQ00816</t>
        </is>
      </c>
      <c r="B817" t="inlineStr">
        <is>
          <t>259400T2L5LRYSLS4H50</t>
        </is>
      </c>
      <c r="C817" t="inlineStr">
        <is>
          <t>document_refresh</t>
        </is>
      </c>
      <c r="D817" s="2" t="n">
        <v>46309.3875</v>
      </c>
      <c r="E817" s="2" t="n">
        <v>46310.5125</v>
      </c>
      <c r="F817" t="inlineStr">
        <is>
          <t>M4</t>
        </is>
      </c>
      <c r="G817" t="inlineStr">
        <is>
          <t>C1</t>
        </is>
      </c>
      <c r="H817" s="2" t="n">
        <v>46309.40138888889</v>
      </c>
      <c r="I817" s="2" t="n">
        <v>46309.40555555555</v>
      </c>
      <c r="J817" t="inlineStr">
        <is>
          <t>Completed</t>
        </is>
      </c>
      <c r="K817" t="n">
        <v>0.44</v>
      </c>
      <c r="L817" t="n">
        <v>12</v>
      </c>
      <c r="M817" t="b">
        <v>0</v>
      </c>
      <c r="N817" t="n">
        <v>0</v>
      </c>
      <c r="O817" t="b">
        <v>1</v>
      </c>
      <c r="P817" t="b">
        <v>0</v>
      </c>
      <c r="Q817" t="b">
        <v>0</v>
      </c>
    </row>
    <row r="818">
      <c r="A818" t="inlineStr">
        <is>
          <t>REQ00817</t>
        </is>
      </c>
      <c r="B818" t="inlineStr">
        <is>
          <t>254900H7O3WVGYYZKO79</t>
        </is>
      </c>
      <c r="C818" t="inlineStr">
        <is>
          <t>document_refresh</t>
        </is>
      </c>
      <c r="D818" s="2" t="n">
        <v>46309.39097222222</v>
      </c>
      <c r="E818" s="2" t="n">
        <v>46310.51597222222</v>
      </c>
      <c r="F818" t="inlineStr">
        <is>
          <t>M6</t>
        </is>
      </c>
      <c r="G818" t="inlineStr">
        <is>
          <t>C2</t>
        </is>
      </c>
      <c r="H818" s="2" t="n">
        <v>46309.40277777778</v>
      </c>
      <c r="I818" s="2" t="n">
        <v>46309.40972222222</v>
      </c>
      <c r="J818" t="inlineStr">
        <is>
          <t>Completed</t>
        </is>
      </c>
      <c r="K818" t="n">
        <v>0.45</v>
      </c>
      <c r="L818" t="n">
        <v>12</v>
      </c>
      <c r="M818" t="b">
        <v>0</v>
      </c>
      <c r="N818" t="n">
        <v>0</v>
      </c>
      <c r="O818" t="b">
        <v>1</v>
      </c>
      <c r="P818" t="b">
        <v>0</v>
      </c>
      <c r="Q818" t="b">
        <v>0</v>
      </c>
    </row>
    <row r="819">
      <c r="A819" t="inlineStr">
        <is>
          <t>REQ00818</t>
        </is>
      </c>
      <c r="B819" t="inlineStr">
        <is>
          <t>724500IPQLWKSEAH0R81</t>
        </is>
      </c>
      <c r="C819" t="inlineStr">
        <is>
          <t>new_account</t>
        </is>
      </c>
      <c r="D819" s="2" t="n">
        <v>46309.39861111111</v>
      </c>
      <c r="E819" s="2" t="n">
        <v>46310.69027777778</v>
      </c>
      <c r="F819" t="inlineStr">
        <is>
          <t>M1</t>
        </is>
      </c>
      <c r="G819" t="inlineStr">
        <is>
          <t>C2</t>
        </is>
      </c>
      <c r="H819" s="2" t="n">
        <v>46309.42916666667</v>
      </c>
      <c r="I819" s="2" t="n">
        <v>46309.54236111111</v>
      </c>
      <c r="J819" t="inlineStr">
        <is>
          <t>Completed</t>
        </is>
      </c>
      <c r="K819" t="n">
        <v>3.46</v>
      </c>
      <c r="L819" t="n">
        <v>16</v>
      </c>
      <c r="M819" t="b">
        <v>0</v>
      </c>
      <c r="N819" t="n">
        <v>0</v>
      </c>
      <c r="O819" t="b">
        <v>1</v>
      </c>
      <c r="P819" t="b">
        <v>0</v>
      </c>
      <c r="Q819" t="b">
        <v>1</v>
      </c>
    </row>
    <row r="820">
      <c r="A820" t="inlineStr">
        <is>
          <t>REQ00819</t>
        </is>
      </c>
      <c r="B820" t="inlineStr">
        <is>
          <t>549300W4368K1P4OCM34</t>
        </is>
      </c>
      <c r="C820" t="inlineStr">
        <is>
          <t>new_account</t>
        </is>
      </c>
      <c r="D820" s="2" t="n">
        <v>46309.4</v>
      </c>
      <c r="E820" s="2" t="n">
        <v>46310.69166666667</v>
      </c>
      <c r="F820" t="inlineStr">
        <is>
          <t>M5</t>
        </is>
      </c>
      <c r="G820" t="inlineStr">
        <is>
          <t>C3</t>
        </is>
      </c>
      <c r="H820" s="2" t="n">
        <v>46309.43611111111</v>
      </c>
      <c r="I820" s="2" t="n">
        <v>46309.69097222222</v>
      </c>
      <c r="J820" t="inlineStr">
        <is>
          <t>Completed</t>
        </is>
      </c>
      <c r="K820" t="n">
        <v>6.98</v>
      </c>
      <c r="L820" t="n">
        <v>16</v>
      </c>
      <c r="M820" t="b">
        <v>0</v>
      </c>
      <c r="N820" t="n">
        <v>0</v>
      </c>
      <c r="O820" t="b">
        <v>1</v>
      </c>
      <c r="P820" t="b">
        <v>0</v>
      </c>
      <c r="Q820" t="b">
        <v>1</v>
      </c>
    </row>
    <row r="821">
      <c r="A821" t="inlineStr">
        <is>
          <t>REQ00820</t>
        </is>
      </c>
      <c r="B821" t="inlineStr">
        <is>
          <t>254900ERVYL5CVICIM63</t>
        </is>
      </c>
      <c r="C821" t="inlineStr">
        <is>
          <t>new_account</t>
        </is>
      </c>
      <c r="D821" s="2" t="n">
        <v>46309.40069444444</v>
      </c>
      <c r="E821" s="2" t="n">
        <v>46310.69236111111</v>
      </c>
      <c r="F821" t="inlineStr">
        <is>
          <t>M2</t>
        </is>
      </c>
      <c r="G821" t="inlineStr">
        <is>
          <t>C2</t>
        </is>
      </c>
      <c r="H821" s="2" t="n">
        <v>46309.42708333334</v>
      </c>
      <c r="I821" s="2" t="n">
        <v>46309.43888888889</v>
      </c>
      <c r="J821" t="inlineStr">
        <is>
          <t>Completed</t>
        </is>
      </c>
      <c r="K821" t="n">
        <v>0.91</v>
      </c>
      <c r="L821" t="n">
        <v>16</v>
      </c>
      <c r="M821" t="b">
        <v>0</v>
      </c>
      <c r="N821" t="n">
        <v>0</v>
      </c>
      <c r="O821" t="b">
        <v>1</v>
      </c>
      <c r="P821" t="b">
        <v>0</v>
      </c>
      <c r="Q821" t="b">
        <v>0</v>
      </c>
    </row>
    <row r="822">
      <c r="A822" t="inlineStr">
        <is>
          <t>REQ00821</t>
        </is>
      </c>
      <c r="B822" t="inlineStr">
        <is>
          <t>213800T6AAZCB3RPGV30</t>
        </is>
      </c>
      <c r="C822" t="inlineStr">
        <is>
          <t>data_amendment</t>
        </is>
      </c>
      <c r="D822" s="2" t="n">
        <v>46309.40069444444</v>
      </c>
      <c r="E822" s="2" t="n">
        <v>46309.73402777778</v>
      </c>
      <c r="F822" t="inlineStr">
        <is>
          <t>M4</t>
        </is>
      </c>
      <c r="G822" t="inlineStr">
        <is>
          <t>C3</t>
        </is>
      </c>
      <c r="H822" s="2" t="n">
        <v>46309.41388888889</v>
      </c>
      <c r="I822" s="2" t="n">
        <v>46309.42013888889</v>
      </c>
      <c r="J822" t="inlineStr">
        <is>
          <t>Completed</t>
        </is>
      </c>
      <c r="K822" t="n">
        <v>0.47</v>
      </c>
      <c r="L822" t="n">
        <v>8</v>
      </c>
      <c r="M822" t="b">
        <v>0</v>
      </c>
      <c r="N822" t="n">
        <v>0</v>
      </c>
      <c r="O822" t="b">
        <v>1</v>
      </c>
      <c r="P822" t="b">
        <v>0</v>
      </c>
      <c r="Q822" t="b">
        <v>0</v>
      </c>
    </row>
    <row r="823">
      <c r="A823" t="inlineStr">
        <is>
          <t>REQ00822</t>
        </is>
      </c>
      <c r="B823" t="inlineStr">
        <is>
          <t>9845008F4361EFE99847</t>
        </is>
      </c>
      <c r="C823" t="inlineStr">
        <is>
          <t>data_amendment</t>
        </is>
      </c>
      <c r="D823" s="2" t="n">
        <v>46309.40069444444</v>
      </c>
      <c r="E823" s="2" t="n">
        <v>46309.73402777778</v>
      </c>
      <c r="F823" t="inlineStr">
        <is>
          <t>M3</t>
        </is>
      </c>
      <c r="G823" t="inlineStr">
        <is>
          <t>C3</t>
        </is>
      </c>
      <c r="H823" s="2" t="n">
        <v>46309.41111111111</v>
      </c>
      <c r="I823" s="2" t="n">
        <v>46309.41527777778</v>
      </c>
      <c r="J823" t="inlineStr">
        <is>
          <t>Completed</t>
        </is>
      </c>
      <c r="K823" t="n">
        <v>0.36</v>
      </c>
      <c r="L823" t="n">
        <v>8</v>
      </c>
      <c r="M823" t="b">
        <v>0</v>
      </c>
      <c r="N823" t="n">
        <v>0</v>
      </c>
      <c r="O823" t="b">
        <v>1</v>
      </c>
      <c r="P823" t="b">
        <v>0</v>
      </c>
      <c r="Q823" t="b">
        <v>0</v>
      </c>
    </row>
    <row r="824">
      <c r="A824" t="inlineStr">
        <is>
          <t>REQ00823</t>
        </is>
      </c>
      <c r="B824" t="inlineStr">
        <is>
          <t>335800FHZKNK6WB3OG68</t>
        </is>
      </c>
      <c r="C824" t="inlineStr">
        <is>
          <t>document_refresh</t>
        </is>
      </c>
      <c r="D824" s="2" t="n">
        <v>46309.40138888889</v>
      </c>
      <c r="E824" s="2" t="n">
        <v>46310.52638888889</v>
      </c>
      <c r="F824" t="inlineStr">
        <is>
          <t>M6</t>
        </is>
      </c>
      <c r="G824" t="inlineStr">
        <is>
          <t>C3</t>
        </is>
      </c>
      <c r="H824" s="2" t="n">
        <v>46309.41736111111</v>
      </c>
      <c r="I824" s="2" t="n">
        <v>46309.425</v>
      </c>
      <c r="J824" t="inlineStr">
        <is>
          <t>Completed</t>
        </is>
      </c>
      <c r="K824" t="n">
        <v>0.57</v>
      </c>
      <c r="L824" t="n">
        <v>12</v>
      </c>
      <c r="M824" t="b">
        <v>0</v>
      </c>
      <c r="N824" t="n">
        <v>0</v>
      </c>
      <c r="O824" t="b">
        <v>1</v>
      </c>
      <c r="P824" t="b">
        <v>0</v>
      </c>
      <c r="Q824" t="b">
        <v>0</v>
      </c>
    </row>
    <row r="825">
      <c r="A825" t="inlineStr">
        <is>
          <t>REQ00824</t>
        </is>
      </c>
      <c r="B825" t="inlineStr">
        <is>
          <t>9845001E498F5AB4H603</t>
        </is>
      </c>
      <c r="C825" t="inlineStr">
        <is>
          <t>document_refresh</t>
        </is>
      </c>
      <c r="D825" s="2" t="n">
        <v>46309.40277777778</v>
      </c>
      <c r="E825" s="2" t="n">
        <v>46310.52777777778</v>
      </c>
      <c r="F825" t="inlineStr">
        <is>
          <t>M3</t>
        </is>
      </c>
      <c r="G825" t="inlineStr">
        <is>
          <t>C3</t>
        </is>
      </c>
      <c r="H825" s="2" t="n">
        <v>46309.42638888889</v>
      </c>
      <c r="I825" s="2" t="n">
        <v>46309.43125</v>
      </c>
      <c r="J825" t="inlineStr">
        <is>
          <t>Completed</t>
        </is>
      </c>
      <c r="K825" t="n">
        <v>0.6899999999999999</v>
      </c>
      <c r="L825" t="n">
        <v>12</v>
      </c>
      <c r="M825" t="b">
        <v>0</v>
      </c>
      <c r="N825" t="n">
        <v>0</v>
      </c>
      <c r="O825" t="b">
        <v>1</v>
      </c>
      <c r="P825" t="b">
        <v>0</v>
      </c>
      <c r="Q825" t="b">
        <v>0</v>
      </c>
    </row>
    <row r="826">
      <c r="A826" t="inlineStr">
        <is>
          <t>REQ00825</t>
        </is>
      </c>
      <c r="B826" t="inlineStr">
        <is>
          <t>7245006ESUAISCVPC858</t>
        </is>
      </c>
      <c r="C826" t="inlineStr">
        <is>
          <t>data_amendment</t>
        </is>
      </c>
      <c r="D826" s="2" t="n">
        <v>46309.40486111111</v>
      </c>
      <c r="E826" s="2" t="n">
        <v>46309.73819444444</v>
      </c>
      <c r="F826" t="inlineStr">
        <is>
          <t>M4</t>
        </is>
      </c>
      <c r="G826" t="inlineStr">
        <is>
          <t>C1</t>
        </is>
      </c>
      <c r="H826" s="2" t="n">
        <v>46309.42638888889</v>
      </c>
      <c r="I826" s="2" t="n">
        <v>46309.51597222222</v>
      </c>
      <c r="J826" t="inlineStr">
        <is>
          <t>Completed</t>
        </is>
      </c>
      <c r="K826" t="n">
        <v>2.66</v>
      </c>
      <c r="L826" t="n">
        <v>8</v>
      </c>
      <c r="M826" t="b">
        <v>0</v>
      </c>
      <c r="N826" t="n">
        <v>0</v>
      </c>
      <c r="O826" t="b">
        <v>1</v>
      </c>
      <c r="P826" t="b">
        <v>0</v>
      </c>
      <c r="Q826" t="b">
        <v>1</v>
      </c>
    </row>
    <row r="827">
      <c r="A827" t="inlineStr">
        <is>
          <t>REQ00826</t>
        </is>
      </c>
      <c r="B827" t="inlineStr">
        <is>
          <t>969500AGRM6SHA87SU42</t>
        </is>
      </c>
      <c r="C827" t="inlineStr">
        <is>
          <t>data_amendment</t>
        </is>
      </c>
      <c r="D827" s="2" t="n">
        <v>46309.41041666667</v>
      </c>
      <c r="E827" s="2" t="n">
        <v>46309.74375</v>
      </c>
      <c r="F827" t="inlineStr">
        <is>
          <t>M6</t>
        </is>
      </c>
      <c r="G827" t="inlineStr">
        <is>
          <t>C2</t>
        </is>
      </c>
      <c r="H827" s="2" t="n">
        <v>46309.42916666667</v>
      </c>
      <c r="I827" s="2" t="n">
        <v>46309.55625</v>
      </c>
      <c r="J827" t="inlineStr">
        <is>
          <t>Completed</t>
        </is>
      </c>
      <c r="K827" t="n">
        <v>3.5</v>
      </c>
      <c r="L827" t="n">
        <v>8</v>
      </c>
      <c r="M827" t="b">
        <v>0</v>
      </c>
      <c r="N827" t="n">
        <v>0</v>
      </c>
      <c r="O827" t="b">
        <v>1</v>
      </c>
      <c r="P827" t="b">
        <v>0</v>
      </c>
      <c r="Q827" t="b">
        <v>1</v>
      </c>
    </row>
    <row r="828">
      <c r="A828" t="inlineStr">
        <is>
          <t>REQ00827</t>
        </is>
      </c>
      <c r="B828" t="inlineStr">
        <is>
          <t>529900FEKHE4FB9BKV59</t>
        </is>
      </c>
      <c r="C828" t="inlineStr">
        <is>
          <t>data_amendment</t>
        </is>
      </c>
      <c r="D828" s="2" t="n">
        <v>46309.4125</v>
      </c>
      <c r="E828" s="2" t="n">
        <v>46309.74583333333</v>
      </c>
      <c r="F828" t="inlineStr">
        <is>
          <t>M3</t>
        </is>
      </c>
      <c r="G828" t="inlineStr">
        <is>
          <t>C1</t>
        </is>
      </c>
      <c r="H828" s="2" t="n">
        <v>46309.43333333333</v>
      </c>
      <c r="I828" s="2" t="n">
        <v>46309.55416666667</v>
      </c>
      <c r="J828" t="inlineStr">
        <is>
          <t>Completed</t>
        </is>
      </c>
      <c r="K828" t="n">
        <v>3.41</v>
      </c>
      <c r="L828" t="n">
        <v>8</v>
      </c>
      <c r="M828" t="b">
        <v>0</v>
      </c>
      <c r="N828" t="n">
        <v>0</v>
      </c>
      <c r="O828" t="b">
        <v>1</v>
      </c>
      <c r="P828" t="b">
        <v>0</v>
      </c>
      <c r="Q828" t="b">
        <v>1</v>
      </c>
    </row>
    <row r="829">
      <c r="A829" t="inlineStr">
        <is>
          <t>REQ00828</t>
        </is>
      </c>
      <c r="B829" t="inlineStr">
        <is>
          <t>335800WCNRJKJXSTDS49</t>
        </is>
      </c>
      <c r="C829" t="inlineStr">
        <is>
          <t>document_refresh</t>
        </is>
      </c>
      <c r="D829" s="2" t="n">
        <v>46309.43402777778</v>
      </c>
      <c r="E829" s="2" t="n">
        <v>46310.55902777778</v>
      </c>
      <c r="F829" t="inlineStr">
        <is>
          <t>M4</t>
        </is>
      </c>
      <c r="G829" t="inlineStr">
        <is>
          <t>C3</t>
        </is>
      </c>
      <c r="H829" s="2" t="n">
        <v>46309.44930555556</v>
      </c>
      <c r="I829" s="2" t="n">
        <v>46309.45416666667</v>
      </c>
      <c r="J829" t="inlineStr">
        <is>
          <t>Completed</t>
        </is>
      </c>
      <c r="K829" t="n">
        <v>0.49</v>
      </c>
      <c r="L829" t="n">
        <v>12</v>
      </c>
      <c r="M829" t="b">
        <v>0</v>
      </c>
      <c r="N829" t="n">
        <v>0</v>
      </c>
      <c r="O829" t="b">
        <v>1</v>
      </c>
      <c r="P829" t="b">
        <v>0</v>
      </c>
      <c r="Q829" t="b">
        <v>0</v>
      </c>
    </row>
    <row r="830">
      <c r="A830" t="inlineStr">
        <is>
          <t>REQ00829</t>
        </is>
      </c>
      <c r="B830" t="inlineStr">
        <is>
          <t>391200X39IXBFYP49D55</t>
        </is>
      </c>
      <c r="C830" t="inlineStr">
        <is>
          <t>data_amendment</t>
        </is>
      </c>
      <c r="D830" s="2" t="n">
        <v>46309.44305555556</v>
      </c>
      <c r="E830" s="2" t="n">
        <v>46310.40138888889</v>
      </c>
      <c r="F830" t="inlineStr">
        <is>
          <t>M2</t>
        </is>
      </c>
      <c r="G830" t="inlineStr">
        <is>
          <t>C1</t>
        </is>
      </c>
      <c r="H830" s="2" t="n">
        <v>46309.45555555556</v>
      </c>
      <c r="I830" s="2" t="n">
        <v>46309.58055555556</v>
      </c>
      <c r="J830" t="inlineStr">
        <is>
          <t>Completed</t>
        </is>
      </c>
      <c r="K830" t="n">
        <v>3.3</v>
      </c>
      <c r="L830" t="n">
        <v>8</v>
      </c>
      <c r="M830" t="b">
        <v>0</v>
      </c>
      <c r="N830" t="n">
        <v>0</v>
      </c>
      <c r="O830" t="b">
        <v>1</v>
      </c>
      <c r="P830" t="b">
        <v>0</v>
      </c>
      <c r="Q830" t="b">
        <v>1</v>
      </c>
    </row>
    <row r="831">
      <c r="A831" t="inlineStr">
        <is>
          <t>REQ00830</t>
        </is>
      </c>
      <c r="B831" t="inlineStr">
        <is>
          <t>549300WZSQBFUNSVFZ04</t>
        </is>
      </c>
      <c r="C831" t="inlineStr">
        <is>
          <t>document_refresh</t>
        </is>
      </c>
      <c r="D831" s="2" t="n">
        <v>46309.44930555556</v>
      </c>
      <c r="E831" s="2" t="n">
        <v>46310.57430555556</v>
      </c>
      <c r="F831" t="inlineStr">
        <is>
          <t>M6</t>
        </is>
      </c>
      <c r="G831" t="inlineStr">
        <is>
          <t>C2</t>
        </is>
      </c>
      <c r="H831" s="2" t="n">
        <v>46309.45972222222</v>
      </c>
      <c r="I831" s="2" t="n">
        <v>46309.70763888889</v>
      </c>
      <c r="J831" t="inlineStr">
        <is>
          <t>Completed</t>
        </is>
      </c>
      <c r="K831" t="n">
        <v>6.2</v>
      </c>
      <c r="L831" t="n">
        <v>12</v>
      </c>
      <c r="M831" t="b">
        <v>0</v>
      </c>
      <c r="N831" t="n">
        <v>0</v>
      </c>
      <c r="O831" t="b">
        <v>1</v>
      </c>
      <c r="P831" t="b">
        <v>0</v>
      </c>
      <c r="Q831" t="b">
        <v>1</v>
      </c>
    </row>
    <row r="832">
      <c r="A832" t="inlineStr">
        <is>
          <t>REQ00831</t>
        </is>
      </c>
      <c r="B832" t="inlineStr">
        <is>
          <t>549300AV0OY3BL4FCI17</t>
        </is>
      </c>
      <c r="C832" t="inlineStr">
        <is>
          <t>new_account</t>
        </is>
      </c>
      <c r="D832" s="2" t="n">
        <v>46309.44930555556</v>
      </c>
      <c r="E832" s="2" t="n">
        <v>46310.74097222222</v>
      </c>
      <c r="F832" t="inlineStr">
        <is>
          <t>M1</t>
        </is>
      </c>
      <c r="G832" t="inlineStr">
        <is>
          <t>C2</t>
        </is>
      </c>
      <c r="H832" s="2" t="n">
        <v>46309.47361111111</v>
      </c>
      <c r="I832" s="2" t="n">
        <v>46309.59097222222</v>
      </c>
      <c r="J832" t="inlineStr">
        <is>
          <t>Completed</t>
        </is>
      </c>
      <c r="K832" t="n">
        <v>3.4</v>
      </c>
      <c r="L832" t="n">
        <v>16</v>
      </c>
      <c r="M832" t="b">
        <v>0</v>
      </c>
      <c r="N832" t="n">
        <v>0</v>
      </c>
      <c r="O832" t="b">
        <v>1</v>
      </c>
      <c r="P832" t="b">
        <v>0</v>
      </c>
      <c r="Q832" t="b">
        <v>1</v>
      </c>
    </row>
    <row r="833">
      <c r="A833" t="inlineStr">
        <is>
          <t>REQ00832</t>
        </is>
      </c>
      <c r="B833" t="inlineStr">
        <is>
          <t>549300IB1TLJZCHEO353</t>
        </is>
      </c>
      <c r="C833" t="inlineStr">
        <is>
          <t>document_refresh</t>
        </is>
      </c>
      <c r="D833" s="2" t="n">
        <v>46309.45</v>
      </c>
      <c r="E833" s="2" t="n">
        <v>46310.575</v>
      </c>
      <c r="F833" t="inlineStr">
        <is>
          <t>M3</t>
        </is>
      </c>
      <c r="G833" t="inlineStr">
        <is>
          <t>C1</t>
        </is>
      </c>
      <c r="H833" s="2" t="n">
        <v>46309.46111111111</v>
      </c>
      <c r="I833" s="2" t="n">
        <v>46309.62569444445</v>
      </c>
      <c r="J833" t="inlineStr">
        <is>
          <t>Completed</t>
        </is>
      </c>
      <c r="K833" t="n">
        <v>4.21</v>
      </c>
      <c r="L833" t="n">
        <v>12</v>
      </c>
      <c r="M833" t="b">
        <v>0</v>
      </c>
      <c r="N833" t="n">
        <v>0</v>
      </c>
      <c r="O833" t="b">
        <v>1</v>
      </c>
      <c r="P833" t="b">
        <v>0</v>
      </c>
      <c r="Q833" t="b">
        <v>1</v>
      </c>
    </row>
    <row r="834">
      <c r="A834" t="inlineStr">
        <is>
          <t>REQ00833</t>
        </is>
      </c>
      <c r="B834" t="inlineStr">
        <is>
          <t>254900T8YSV0PW3WTZ25</t>
        </is>
      </c>
      <c r="C834" t="inlineStr">
        <is>
          <t>document_refresh</t>
        </is>
      </c>
      <c r="D834" s="2" t="n">
        <v>46309.45</v>
      </c>
      <c r="E834" s="2" t="n">
        <v>46310.575</v>
      </c>
      <c r="F834" t="inlineStr">
        <is>
          <t>M5</t>
        </is>
      </c>
      <c r="G834" t="inlineStr">
        <is>
          <t>C2</t>
        </is>
      </c>
      <c r="H834" s="2" t="n">
        <v>46309.46319444444</v>
      </c>
      <c r="I834" s="2" t="n">
        <v>46309.55277777778</v>
      </c>
      <c r="J834" t="inlineStr">
        <is>
          <t>Completed</t>
        </is>
      </c>
      <c r="K834" t="n">
        <v>2.47</v>
      </c>
      <c r="L834" t="n">
        <v>12</v>
      </c>
      <c r="M834" t="b">
        <v>0</v>
      </c>
      <c r="N834" t="n">
        <v>0</v>
      </c>
      <c r="O834" t="b">
        <v>1</v>
      </c>
      <c r="P834" t="b">
        <v>0</v>
      </c>
      <c r="Q834" t="b">
        <v>1</v>
      </c>
    </row>
    <row r="835">
      <c r="A835" t="inlineStr">
        <is>
          <t>REQ00834</t>
        </is>
      </c>
      <c r="B835" t="inlineStr">
        <is>
          <t>9845003A36VE5CEEE383</t>
        </is>
      </c>
      <c r="C835" t="inlineStr">
        <is>
          <t>document_refresh</t>
        </is>
      </c>
      <c r="D835" s="2" t="n">
        <v>46309.45208333333</v>
      </c>
      <c r="E835" s="2" t="n">
        <v>46310.57708333333</v>
      </c>
      <c r="F835" t="inlineStr">
        <is>
          <t>M4</t>
        </is>
      </c>
      <c r="G835" t="inlineStr">
        <is>
          <t>C2</t>
        </is>
      </c>
      <c r="H835" s="2" t="n">
        <v>46309.46458333333</v>
      </c>
      <c r="I835" s="2" t="n">
        <v>46309.72013888889</v>
      </c>
      <c r="J835" t="inlineStr">
        <is>
          <t>Completed</t>
        </is>
      </c>
      <c r="K835" t="n">
        <v>6.43</v>
      </c>
      <c r="L835" t="n">
        <v>12</v>
      </c>
      <c r="M835" t="b">
        <v>0</v>
      </c>
      <c r="N835" t="n">
        <v>0</v>
      </c>
      <c r="O835" t="b">
        <v>1</v>
      </c>
      <c r="P835" t="b">
        <v>0</v>
      </c>
      <c r="Q835" t="b">
        <v>1</v>
      </c>
    </row>
    <row r="836">
      <c r="A836" t="inlineStr">
        <is>
          <t>REQ00835</t>
        </is>
      </c>
      <c r="B836" t="inlineStr">
        <is>
          <t>54930036GBKO02AQVT36</t>
        </is>
      </c>
      <c r="C836" t="inlineStr">
        <is>
          <t>document_refresh</t>
        </is>
      </c>
      <c r="D836" s="2" t="n">
        <v>46309.46527777778</v>
      </c>
      <c r="E836" s="2" t="n">
        <v>46310.59027777778</v>
      </c>
      <c r="F836" t="inlineStr">
        <is>
          <t>M2</t>
        </is>
      </c>
      <c r="G836" t="inlineStr">
        <is>
          <t>C2</t>
        </is>
      </c>
      <c r="H836" s="2" t="n">
        <v>46309.47569444445</v>
      </c>
      <c r="I836" s="2" t="n">
        <v>46309.48263888889</v>
      </c>
      <c r="J836" t="inlineStr">
        <is>
          <t>Completed</t>
        </is>
      </c>
      <c r="K836" t="n">
        <v>0.42</v>
      </c>
      <c r="L836" t="n">
        <v>12</v>
      </c>
      <c r="M836" t="b">
        <v>0</v>
      </c>
      <c r="N836" t="n">
        <v>0</v>
      </c>
      <c r="O836" t="b">
        <v>1</v>
      </c>
      <c r="P836" t="b">
        <v>0</v>
      </c>
      <c r="Q836" t="b">
        <v>0</v>
      </c>
    </row>
    <row r="837">
      <c r="A837" t="inlineStr">
        <is>
          <t>REQ00836</t>
        </is>
      </c>
      <c r="B837" t="inlineStr">
        <is>
          <t>529900OIU3KMYX5QOF95</t>
        </is>
      </c>
      <c r="C837" t="inlineStr">
        <is>
          <t>new_account</t>
        </is>
      </c>
      <c r="D837" s="2" t="n">
        <v>46309.46944444445</v>
      </c>
      <c r="E837" s="2" t="n">
        <v>46311.38611111111</v>
      </c>
      <c r="F837" t="inlineStr">
        <is>
          <t>M6</t>
        </is>
      </c>
      <c r="G837" t="inlineStr">
        <is>
          <t>C2</t>
        </is>
      </c>
      <c r="H837" s="2" t="n">
        <v>46309.50208333333</v>
      </c>
      <c r="I837" s="2" t="n">
        <v>46309.5125</v>
      </c>
      <c r="J837" t="inlineStr">
        <is>
          <t>Completed</t>
        </is>
      </c>
      <c r="K837" t="n">
        <v>1.04</v>
      </c>
      <c r="L837" t="n">
        <v>16</v>
      </c>
      <c r="M837" t="b">
        <v>0</v>
      </c>
      <c r="N837" t="n">
        <v>0</v>
      </c>
      <c r="O837" t="b">
        <v>1</v>
      </c>
      <c r="P837" t="b">
        <v>0</v>
      </c>
      <c r="Q837" t="b">
        <v>0</v>
      </c>
    </row>
    <row r="838">
      <c r="A838" t="inlineStr">
        <is>
          <t>REQ00837</t>
        </is>
      </c>
      <c r="B838" t="inlineStr">
        <is>
          <t>549300GG7U8DKNP53F72</t>
        </is>
      </c>
      <c r="C838" t="inlineStr">
        <is>
          <t>signatory_change</t>
        </is>
      </c>
      <c r="D838" s="2" t="n">
        <v>46309.47777777778</v>
      </c>
      <c r="E838" s="2" t="n">
        <v>46310.43611111111</v>
      </c>
      <c r="F838" t="inlineStr">
        <is>
          <t>M3</t>
        </is>
      </c>
      <c r="G838" t="inlineStr">
        <is>
          <t>C3</t>
        </is>
      </c>
      <c r="H838" s="2" t="n">
        <v>46309.49930555555</v>
      </c>
      <c r="I838" s="2" t="n">
        <v>46309.74861111111</v>
      </c>
      <c r="J838" t="inlineStr">
        <is>
          <t>Completed</t>
        </is>
      </c>
      <c r="K838" t="n">
        <v>6.5</v>
      </c>
      <c r="L838" t="n">
        <v>8</v>
      </c>
      <c r="M838" t="b">
        <v>0</v>
      </c>
      <c r="N838" t="n">
        <v>0</v>
      </c>
      <c r="O838" t="b">
        <v>1</v>
      </c>
      <c r="P838" t="b">
        <v>0</v>
      </c>
      <c r="Q838" t="b">
        <v>1</v>
      </c>
    </row>
    <row r="839">
      <c r="A839" t="inlineStr">
        <is>
          <t>REQ00838</t>
        </is>
      </c>
      <c r="B839" t="inlineStr">
        <is>
          <t>335800A6RELHKUB8OQ09</t>
        </is>
      </c>
      <c r="C839" t="inlineStr">
        <is>
          <t>document_refresh</t>
        </is>
      </c>
      <c r="D839" s="2" t="n">
        <v>46309.48194444444</v>
      </c>
      <c r="E839" s="2" t="n">
        <v>46310.60694444444</v>
      </c>
      <c r="F839" t="inlineStr">
        <is>
          <t>M5</t>
        </is>
      </c>
      <c r="G839" t="inlineStr">
        <is>
          <t>C1</t>
        </is>
      </c>
      <c r="H839" s="2" t="n">
        <v>46309.49444444444</v>
      </c>
      <c r="I839" s="2" t="n">
        <v>46309.51319444444</v>
      </c>
      <c r="J839" t="inlineStr">
        <is>
          <t>Completed</t>
        </is>
      </c>
      <c r="K839" t="n">
        <v>0.75</v>
      </c>
      <c r="L839" t="n">
        <v>12</v>
      </c>
      <c r="M839" t="b">
        <v>0</v>
      </c>
      <c r="N839" t="n">
        <v>1</v>
      </c>
      <c r="O839" t="b">
        <v>0</v>
      </c>
      <c r="P839" t="b">
        <v>1</v>
      </c>
      <c r="Q839" t="b">
        <v>0</v>
      </c>
    </row>
    <row r="840">
      <c r="A840" t="inlineStr">
        <is>
          <t>REQ00839</t>
        </is>
      </c>
      <c r="B840" t="inlineStr">
        <is>
          <t>391200ZYUHRBW7YWT431</t>
        </is>
      </c>
      <c r="C840" t="inlineStr">
        <is>
          <t>document_refresh</t>
        </is>
      </c>
      <c r="D840" s="2" t="n">
        <v>46309.48263888889</v>
      </c>
      <c r="E840" s="2" t="n">
        <v>46310.60763888889</v>
      </c>
      <c r="F840" t="inlineStr">
        <is>
          <t>M4</t>
        </is>
      </c>
      <c r="G840" t="inlineStr">
        <is>
          <t>C2</t>
        </is>
      </c>
      <c r="H840" s="2" t="n">
        <v>46309.49861111111</v>
      </c>
      <c r="I840" s="2" t="n">
        <v>46309.69097222222</v>
      </c>
      <c r="J840" t="inlineStr">
        <is>
          <t>Completed</t>
        </is>
      </c>
      <c r="K840" t="n">
        <v>5.01</v>
      </c>
      <c r="L840" t="n">
        <v>12</v>
      </c>
      <c r="M840" t="b">
        <v>0</v>
      </c>
      <c r="N840" t="n">
        <v>0</v>
      </c>
      <c r="O840" t="b">
        <v>1</v>
      </c>
      <c r="P840" t="b">
        <v>0</v>
      </c>
      <c r="Q840" t="b">
        <v>1</v>
      </c>
    </row>
    <row r="841">
      <c r="A841" t="inlineStr">
        <is>
          <t>REQ00840</t>
        </is>
      </c>
      <c r="B841" t="inlineStr">
        <is>
          <t>549300GJ0O22KCZW2159</t>
        </is>
      </c>
      <c r="C841" t="inlineStr">
        <is>
          <t>data_amendment</t>
        </is>
      </c>
      <c r="D841" s="2" t="n">
        <v>46309.48333333333</v>
      </c>
      <c r="E841" s="2" t="n">
        <v>46310.44166666667</v>
      </c>
      <c r="F841" t="inlineStr">
        <is>
          <t>M1</t>
        </is>
      </c>
      <c r="G841" t="inlineStr">
        <is>
          <t>C1</t>
        </is>
      </c>
      <c r="H841" s="2" t="n">
        <v>46309.49166666667</v>
      </c>
      <c r="I841" s="2" t="n">
        <v>46309.71875</v>
      </c>
      <c r="J841" t="inlineStr">
        <is>
          <t>Completed</t>
        </is>
      </c>
      <c r="K841" t="n">
        <v>5.66</v>
      </c>
      <c r="L841" t="n">
        <v>8</v>
      </c>
      <c r="M841" t="b">
        <v>0</v>
      </c>
      <c r="N841" t="n">
        <v>1</v>
      </c>
      <c r="O841" t="b">
        <v>0</v>
      </c>
      <c r="P841" t="b">
        <v>1</v>
      </c>
      <c r="Q841" t="b">
        <v>1</v>
      </c>
    </row>
    <row r="842">
      <c r="A842" t="inlineStr">
        <is>
          <t>REQ00841</t>
        </is>
      </c>
      <c r="B842" t="inlineStr">
        <is>
          <t>984500001EC086F82C65</t>
        </is>
      </c>
      <c r="C842" t="inlineStr">
        <is>
          <t>data_amendment</t>
        </is>
      </c>
      <c r="D842" s="2" t="n">
        <v>46309.48541666667</v>
      </c>
      <c r="E842" s="2" t="n">
        <v>46310.44375</v>
      </c>
      <c r="F842" t="inlineStr">
        <is>
          <t>M2</t>
        </is>
      </c>
      <c r="G842" t="inlineStr">
        <is>
          <t>C3</t>
        </is>
      </c>
      <c r="H842" s="2" t="n">
        <v>46309.49861111111</v>
      </c>
      <c r="I842" s="2" t="n">
        <v>46309.50208333333</v>
      </c>
      <c r="J842" t="inlineStr">
        <is>
          <t>Completed</t>
        </is>
      </c>
      <c r="K842" t="n">
        <v>0.39</v>
      </c>
      <c r="L842" t="n">
        <v>8</v>
      </c>
      <c r="M842" t="b">
        <v>0</v>
      </c>
      <c r="N842" t="n">
        <v>0</v>
      </c>
      <c r="O842" t="b">
        <v>1</v>
      </c>
      <c r="P842" t="b">
        <v>0</v>
      </c>
      <c r="Q842" t="b">
        <v>0</v>
      </c>
    </row>
    <row r="843">
      <c r="A843" t="inlineStr">
        <is>
          <t>REQ00842</t>
        </is>
      </c>
      <c r="B843" t="inlineStr">
        <is>
          <t>549300PQ8QEI6768Z054</t>
        </is>
      </c>
      <c r="C843" t="inlineStr">
        <is>
          <t>document_refresh</t>
        </is>
      </c>
      <c r="D843" s="2" t="n">
        <v>46309.49583333333</v>
      </c>
      <c r="E843" s="2" t="n">
        <v>46310.62083333333</v>
      </c>
      <c r="F843" t="inlineStr">
        <is>
          <t>M1</t>
        </is>
      </c>
      <c r="G843" t="inlineStr">
        <is>
          <t>C3</t>
        </is>
      </c>
      <c r="H843" s="2" t="n">
        <v>46309.50694444445</v>
      </c>
      <c r="I843" s="2" t="n">
        <v>46309.66527777778</v>
      </c>
      <c r="J843" t="inlineStr">
        <is>
          <t>Completed</t>
        </is>
      </c>
      <c r="K843" t="n">
        <v>4.06</v>
      </c>
      <c r="L843" t="n">
        <v>12</v>
      </c>
      <c r="M843" t="b">
        <v>0</v>
      </c>
      <c r="N843" t="n">
        <v>0</v>
      </c>
      <c r="O843" t="b">
        <v>1</v>
      </c>
      <c r="P843" t="b">
        <v>0</v>
      </c>
      <c r="Q843" t="b">
        <v>1</v>
      </c>
    </row>
    <row r="844">
      <c r="A844" t="inlineStr">
        <is>
          <t>REQ00843</t>
        </is>
      </c>
      <c r="B844" t="inlineStr">
        <is>
          <t>64883TP76MO957N8KA97</t>
        </is>
      </c>
      <c r="C844" t="inlineStr">
        <is>
          <t>new_account</t>
        </is>
      </c>
      <c r="D844" s="2" t="n">
        <v>46309.49583333333</v>
      </c>
      <c r="E844" s="2" t="n">
        <v>46311.4125</v>
      </c>
      <c r="F844" t="inlineStr">
        <is>
          <t>M5</t>
        </is>
      </c>
      <c r="G844" t="inlineStr">
        <is>
          <t>C3</t>
        </is>
      </c>
      <c r="H844" s="2" t="n">
        <v>46309.53055555555</v>
      </c>
      <c r="I844" s="2" t="n">
        <v>46310.41597222222</v>
      </c>
      <c r="J844" t="inlineStr">
        <is>
          <t>Completed</t>
        </is>
      </c>
      <c r="K844" t="n">
        <v>7.09</v>
      </c>
      <c r="L844" t="n">
        <v>16</v>
      </c>
      <c r="M844" t="b">
        <v>0</v>
      </c>
      <c r="N844" t="n">
        <v>0</v>
      </c>
      <c r="O844" t="b">
        <v>1</v>
      </c>
      <c r="P844" t="b">
        <v>0</v>
      </c>
      <c r="Q844" t="b">
        <v>1</v>
      </c>
    </row>
    <row r="845">
      <c r="A845" t="inlineStr">
        <is>
          <t>REQ00844</t>
        </is>
      </c>
      <c r="B845" t="inlineStr">
        <is>
          <t>9845008982F77867F303</t>
        </is>
      </c>
      <c r="C845" t="inlineStr">
        <is>
          <t>signatory_change</t>
        </is>
      </c>
      <c r="D845" s="2" t="n">
        <v>46309.49791666667</v>
      </c>
      <c r="E845" s="2" t="n">
        <v>46310.45625</v>
      </c>
      <c r="F845" t="inlineStr">
        <is>
          <t>M4</t>
        </is>
      </c>
      <c r="G845" t="inlineStr">
        <is>
          <t>C3</t>
        </is>
      </c>
      <c r="H845" s="2" t="n">
        <v>46309.52222222222</v>
      </c>
      <c r="I845" s="2" t="n">
        <v>46309.52986111111</v>
      </c>
      <c r="J845" t="inlineStr">
        <is>
          <t>Completed</t>
        </is>
      </c>
      <c r="K845" t="n">
        <v>0.77</v>
      </c>
      <c r="L845" t="n">
        <v>8</v>
      </c>
      <c r="M845" t="b">
        <v>0</v>
      </c>
      <c r="N845" t="n">
        <v>0</v>
      </c>
      <c r="O845" t="b">
        <v>1</v>
      </c>
      <c r="P845" t="b">
        <v>0</v>
      </c>
      <c r="Q845" t="b">
        <v>0</v>
      </c>
    </row>
    <row r="846">
      <c r="A846" t="inlineStr">
        <is>
          <t>REQ00845</t>
        </is>
      </c>
      <c r="B846" t="inlineStr">
        <is>
          <t>724500UHPDBHAYOAR442</t>
        </is>
      </c>
      <c r="C846" t="inlineStr">
        <is>
          <t>document_refresh</t>
        </is>
      </c>
      <c r="D846" s="2" t="n">
        <v>46309.50694444445</v>
      </c>
      <c r="E846" s="2" t="n">
        <v>46310.63194444445</v>
      </c>
      <c r="F846" t="inlineStr">
        <is>
          <t>M2</t>
        </is>
      </c>
      <c r="G846" t="inlineStr">
        <is>
          <t>C1</t>
        </is>
      </c>
      <c r="H846" s="2" t="n">
        <v>46309.52430555555</v>
      </c>
      <c r="I846" s="2" t="n">
        <v>46309.73333333333</v>
      </c>
      <c r="J846" t="inlineStr">
        <is>
          <t>Completed</t>
        </is>
      </c>
      <c r="K846" t="n">
        <v>5.43</v>
      </c>
      <c r="L846" t="n">
        <v>12</v>
      </c>
      <c r="M846" t="b">
        <v>0</v>
      </c>
      <c r="N846" t="n">
        <v>0</v>
      </c>
      <c r="O846" t="b">
        <v>1</v>
      </c>
      <c r="P846" t="b">
        <v>0</v>
      </c>
      <c r="Q846" t="b">
        <v>1</v>
      </c>
    </row>
    <row r="847">
      <c r="A847" t="inlineStr">
        <is>
          <t>REQ00846</t>
        </is>
      </c>
      <c r="B847" t="inlineStr">
        <is>
          <t>89450053DC4LIFZA7R79</t>
        </is>
      </c>
      <c r="C847" t="inlineStr">
        <is>
          <t>data_amendment</t>
        </is>
      </c>
      <c r="D847" s="2" t="n">
        <v>46309.50833333333</v>
      </c>
      <c r="E847" s="2" t="n">
        <v>46310.46666666667</v>
      </c>
      <c r="F847" t="inlineStr">
        <is>
          <t>M3</t>
        </is>
      </c>
      <c r="G847" t="inlineStr">
        <is>
          <t>C2</t>
        </is>
      </c>
      <c r="H847" s="2" t="n">
        <v>46309.52152777778</v>
      </c>
      <c r="I847" s="2" t="n">
        <v>46309.52638888889</v>
      </c>
      <c r="J847" t="inlineStr">
        <is>
          <t>Completed</t>
        </is>
      </c>
      <c r="K847" t="n">
        <v>0.43</v>
      </c>
      <c r="L847" t="n">
        <v>8</v>
      </c>
      <c r="M847" t="b">
        <v>0</v>
      </c>
      <c r="N847" t="n">
        <v>0</v>
      </c>
      <c r="O847" t="b">
        <v>1</v>
      </c>
      <c r="P847" t="b">
        <v>0</v>
      </c>
      <c r="Q847" t="b">
        <v>0</v>
      </c>
    </row>
    <row r="848">
      <c r="A848" t="inlineStr">
        <is>
          <t>REQ00847</t>
        </is>
      </c>
      <c r="B848" t="inlineStr">
        <is>
          <t>254900TGM28PSBIB0P33</t>
        </is>
      </c>
      <c r="C848" t="inlineStr">
        <is>
          <t>new_account</t>
        </is>
      </c>
      <c r="D848" s="2" t="n">
        <v>46309.50972222222</v>
      </c>
      <c r="E848" s="2" t="n">
        <v>46311.42638888889</v>
      </c>
      <c r="F848" t="inlineStr">
        <is>
          <t>M6</t>
        </is>
      </c>
      <c r="G848" t="inlineStr">
        <is>
          <t>C3</t>
        </is>
      </c>
      <c r="H848" s="2" t="n">
        <v>46309.53194444445</v>
      </c>
      <c r="I848" s="2" t="n">
        <v>46309.71805555555</v>
      </c>
      <c r="J848" t="inlineStr">
        <is>
          <t>Completed</t>
        </is>
      </c>
      <c r="K848" t="n">
        <v>5.01</v>
      </c>
      <c r="L848" t="n">
        <v>16</v>
      </c>
      <c r="M848" t="b">
        <v>0</v>
      </c>
      <c r="N848" t="n">
        <v>0</v>
      </c>
      <c r="O848" t="b">
        <v>1</v>
      </c>
      <c r="P848" t="b">
        <v>0</v>
      </c>
      <c r="Q848" t="b">
        <v>1</v>
      </c>
    </row>
    <row r="849">
      <c r="A849" t="inlineStr">
        <is>
          <t>REQ00848</t>
        </is>
      </c>
      <c r="B849" t="inlineStr">
        <is>
          <t>529900BHLNVIXXO67346</t>
        </is>
      </c>
      <c r="C849" t="inlineStr">
        <is>
          <t>new_account</t>
        </is>
      </c>
      <c r="D849" s="2" t="n">
        <v>46309.51180555556</v>
      </c>
      <c r="E849" s="2" t="n">
        <v>46311.42847222222</v>
      </c>
      <c r="F849" t="inlineStr">
        <is>
          <t>M1</t>
        </is>
      </c>
      <c r="G849" t="inlineStr">
        <is>
          <t>C3</t>
        </is>
      </c>
      <c r="H849" s="2" t="n">
        <v>46309.55208333334</v>
      </c>
      <c r="I849" s="2" t="n">
        <v>46309.7</v>
      </c>
      <c r="J849" t="inlineStr">
        <is>
          <t>Completed</t>
        </is>
      </c>
      <c r="K849" t="n">
        <v>4.52</v>
      </c>
      <c r="L849" t="n">
        <v>16</v>
      </c>
      <c r="M849" t="b">
        <v>0</v>
      </c>
      <c r="N849" t="n">
        <v>0</v>
      </c>
      <c r="O849" t="b">
        <v>1</v>
      </c>
      <c r="P849" t="b">
        <v>0</v>
      </c>
      <c r="Q849" t="b">
        <v>1</v>
      </c>
    </row>
    <row r="850">
      <c r="A850" t="inlineStr">
        <is>
          <t>REQ00849</t>
        </is>
      </c>
      <c r="B850" t="inlineStr">
        <is>
          <t>549300NZKS362O5N7298</t>
        </is>
      </c>
      <c r="C850" t="inlineStr">
        <is>
          <t>new_account</t>
        </is>
      </c>
      <c r="D850" s="2" t="n">
        <v>46309.51527777778</v>
      </c>
      <c r="E850" s="2" t="n">
        <v>46311.43194444444</v>
      </c>
      <c r="F850" t="inlineStr">
        <is>
          <t>M3</t>
        </is>
      </c>
      <c r="G850" t="inlineStr">
        <is>
          <t>C1</t>
        </is>
      </c>
      <c r="H850" s="2" t="n">
        <v>46309.55416666667</v>
      </c>
      <c r="I850" s="2" t="n">
        <v>46309.675</v>
      </c>
      <c r="J850" t="inlineStr">
        <is>
          <t>Completed</t>
        </is>
      </c>
      <c r="K850" t="n">
        <v>3.84</v>
      </c>
      <c r="L850" t="n">
        <v>16</v>
      </c>
      <c r="M850" t="b">
        <v>0</v>
      </c>
      <c r="N850" t="n">
        <v>0</v>
      </c>
      <c r="O850" t="b">
        <v>1</v>
      </c>
      <c r="P850" t="b">
        <v>0</v>
      </c>
      <c r="Q850" t="b">
        <v>1</v>
      </c>
    </row>
    <row r="851">
      <c r="A851" t="inlineStr">
        <is>
          <t>REQ00850</t>
        </is>
      </c>
      <c r="B851" t="inlineStr">
        <is>
          <t>335800J2IJLFNRM26R19</t>
        </is>
      </c>
      <c r="C851" t="inlineStr">
        <is>
          <t>signatory_change</t>
        </is>
      </c>
      <c r="D851" s="2" t="n">
        <v>46309.51666666667</v>
      </c>
      <c r="E851" s="2" t="n">
        <v>46310.475</v>
      </c>
      <c r="F851" t="inlineStr">
        <is>
          <t>M4</t>
        </is>
      </c>
      <c r="G851" t="inlineStr">
        <is>
          <t>C1</t>
        </is>
      </c>
      <c r="H851" s="2" t="n">
        <v>46309.54236111111</v>
      </c>
      <c r="I851" s="2" t="n">
        <v>46309.55</v>
      </c>
      <c r="J851" t="inlineStr">
        <is>
          <t>Completed</t>
        </is>
      </c>
      <c r="K851" t="n">
        <v>0.8</v>
      </c>
      <c r="L851" t="n">
        <v>8</v>
      </c>
      <c r="M851" t="b">
        <v>0</v>
      </c>
      <c r="N851" t="n">
        <v>0</v>
      </c>
      <c r="O851" t="b">
        <v>1</v>
      </c>
      <c r="P851" t="b">
        <v>0</v>
      </c>
      <c r="Q851" t="b">
        <v>0</v>
      </c>
    </row>
    <row r="852">
      <c r="A852" t="inlineStr">
        <is>
          <t>REQ00851</t>
        </is>
      </c>
      <c r="B852" t="inlineStr">
        <is>
          <t>8945007JWKV1KQPVG180</t>
        </is>
      </c>
      <c r="C852" t="inlineStr">
        <is>
          <t>signatory_change</t>
        </is>
      </c>
      <c r="D852" s="2" t="n">
        <v>46309.51666666667</v>
      </c>
      <c r="E852" s="2" t="n">
        <v>46310.475</v>
      </c>
      <c r="F852" t="inlineStr">
        <is>
          <t>M2</t>
        </is>
      </c>
      <c r="G852" t="inlineStr">
        <is>
          <t>C2</t>
        </is>
      </c>
      <c r="H852" s="2" t="n">
        <v>46309.54027777778</v>
      </c>
      <c r="I852" s="2" t="n">
        <v>46309.72708333333</v>
      </c>
      <c r="J852" t="inlineStr">
        <is>
          <t>Completed</t>
        </is>
      </c>
      <c r="K852" t="n">
        <v>5.05</v>
      </c>
      <c r="L852" t="n">
        <v>8</v>
      </c>
      <c r="M852" t="b">
        <v>0</v>
      </c>
      <c r="N852" t="n">
        <v>0</v>
      </c>
      <c r="O852" t="b">
        <v>1</v>
      </c>
      <c r="P852" t="b">
        <v>0</v>
      </c>
      <c r="Q852" t="b">
        <v>1</v>
      </c>
    </row>
    <row r="853">
      <c r="A853" t="inlineStr">
        <is>
          <t>REQ00852</t>
        </is>
      </c>
      <c r="B853" t="inlineStr">
        <is>
          <t>391200ICVOJTK0NDNM23</t>
        </is>
      </c>
      <c r="C853" t="inlineStr">
        <is>
          <t>document_refresh</t>
        </is>
      </c>
      <c r="D853" s="2" t="n">
        <v>46309.51736111111</v>
      </c>
      <c r="E853" s="2" t="n">
        <v>46310.64236111111</v>
      </c>
      <c r="F853" t="inlineStr">
        <is>
          <t>M5</t>
        </is>
      </c>
      <c r="G853" t="inlineStr">
        <is>
          <t>C2</t>
        </is>
      </c>
      <c r="H853" s="2" t="n">
        <v>46309.54027777778</v>
      </c>
      <c r="I853" s="2" t="n">
        <v>46309.73402777778</v>
      </c>
      <c r="J853" t="inlineStr">
        <is>
          <t>Completed</t>
        </is>
      </c>
      <c r="K853" t="n">
        <v>5.2</v>
      </c>
      <c r="L853" t="n">
        <v>12</v>
      </c>
      <c r="M853" t="b">
        <v>0</v>
      </c>
      <c r="N853" t="n">
        <v>0</v>
      </c>
      <c r="O853" t="b">
        <v>1</v>
      </c>
      <c r="P853" t="b">
        <v>0</v>
      </c>
      <c r="Q853" t="b">
        <v>1</v>
      </c>
    </row>
    <row r="854">
      <c r="A854" t="inlineStr">
        <is>
          <t>REQ00853</t>
        </is>
      </c>
      <c r="B854" t="inlineStr">
        <is>
          <t>52990005F90SVDPM6F76</t>
        </is>
      </c>
      <c r="C854" t="inlineStr">
        <is>
          <t>document_refresh</t>
        </is>
      </c>
      <c r="D854" s="2" t="n">
        <v>46309.51805555556</v>
      </c>
      <c r="E854" s="2" t="n">
        <v>46310.64305555556</v>
      </c>
      <c r="F854" t="inlineStr">
        <is>
          <t>M6</t>
        </is>
      </c>
      <c r="G854" t="inlineStr">
        <is>
          <t>C2</t>
        </is>
      </c>
      <c r="H854" s="2" t="n">
        <v>46309.54236111111</v>
      </c>
      <c r="I854" s="2" t="n">
        <v>46309.71319444444</v>
      </c>
      <c r="J854" t="inlineStr">
        <is>
          <t>Completed</t>
        </is>
      </c>
      <c r="K854" t="n">
        <v>4.69</v>
      </c>
      <c r="L854" t="n">
        <v>12</v>
      </c>
      <c r="M854" t="b">
        <v>0</v>
      </c>
      <c r="N854" t="n">
        <v>0</v>
      </c>
      <c r="O854" t="b">
        <v>1</v>
      </c>
      <c r="P854" t="b">
        <v>0</v>
      </c>
      <c r="Q854" t="b">
        <v>1</v>
      </c>
    </row>
    <row r="855">
      <c r="A855" t="inlineStr">
        <is>
          <t>REQ00854</t>
        </is>
      </c>
      <c r="B855" t="inlineStr">
        <is>
          <t>984500TN44F951E95B95</t>
        </is>
      </c>
      <c r="C855" t="inlineStr">
        <is>
          <t>data_amendment</t>
        </is>
      </c>
      <c r="D855" s="2" t="n">
        <v>46309.51805555556</v>
      </c>
      <c r="E855" s="2" t="n">
        <v>46310.47638888889</v>
      </c>
      <c r="F855" t="inlineStr">
        <is>
          <t>M2</t>
        </is>
      </c>
      <c r="G855" t="inlineStr">
        <is>
          <t>C3</t>
        </is>
      </c>
      <c r="H855" s="2" t="n">
        <v>46309.55</v>
      </c>
      <c r="I855" s="2" t="n">
        <v>46309.55486111111</v>
      </c>
      <c r="J855" t="inlineStr">
        <is>
          <t>Completed</t>
        </is>
      </c>
      <c r="K855" t="n">
        <v>0.88</v>
      </c>
      <c r="L855" t="n">
        <v>8</v>
      </c>
      <c r="M855" t="b">
        <v>0</v>
      </c>
      <c r="N855" t="n">
        <v>0</v>
      </c>
      <c r="O855" t="b">
        <v>1</v>
      </c>
      <c r="P855" t="b">
        <v>0</v>
      </c>
      <c r="Q855" t="b">
        <v>0</v>
      </c>
    </row>
    <row r="856">
      <c r="A856" t="inlineStr">
        <is>
          <t>REQ00855</t>
        </is>
      </c>
      <c r="B856" t="inlineStr">
        <is>
          <t>8945008YVBM5VKXX1045</t>
        </is>
      </c>
      <c r="C856" t="inlineStr">
        <is>
          <t>new_account</t>
        </is>
      </c>
      <c r="D856" s="2" t="n">
        <v>46309.52222222222</v>
      </c>
      <c r="E856" s="2" t="n">
        <v>46311.43888888889</v>
      </c>
      <c r="F856" t="inlineStr">
        <is>
          <t>M5</t>
        </is>
      </c>
      <c r="G856" t="inlineStr">
        <is>
          <t>C1</t>
        </is>
      </c>
      <c r="H856" s="2" t="n">
        <v>46309.56805555556</v>
      </c>
      <c r="I856" s="2" t="n">
        <v>46309.70347222222</v>
      </c>
      <c r="J856" t="inlineStr">
        <is>
          <t>Completed</t>
        </is>
      </c>
      <c r="K856" t="n">
        <v>4.36</v>
      </c>
      <c r="L856" t="n">
        <v>16</v>
      </c>
      <c r="M856" t="b">
        <v>0</v>
      </c>
      <c r="N856" t="n">
        <v>0</v>
      </c>
      <c r="O856" t="b">
        <v>1</v>
      </c>
      <c r="P856" t="b">
        <v>0</v>
      </c>
      <c r="Q856" t="b">
        <v>1</v>
      </c>
    </row>
    <row r="857">
      <c r="A857" t="inlineStr">
        <is>
          <t>REQ00856</t>
        </is>
      </c>
      <c r="B857" t="inlineStr">
        <is>
          <t>213800XB5GL4DZBGQN71</t>
        </is>
      </c>
      <c r="C857" t="inlineStr">
        <is>
          <t>new_account</t>
        </is>
      </c>
      <c r="D857" s="2" t="n">
        <v>46309.52777777778</v>
      </c>
      <c r="E857" s="2" t="n">
        <v>46311.44444444445</v>
      </c>
      <c r="F857" t="inlineStr">
        <is>
          <t>M6</t>
        </is>
      </c>
      <c r="G857" t="inlineStr">
        <is>
          <t>C2</t>
        </is>
      </c>
      <c r="H857" s="2" t="n">
        <v>46309.56944444445</v>
      </c>
      <c r="I857" s="2" t="n">
        <v>46309.58055555556</v>
      </c>
      <c r="J857" t="inlineStr">
        <is>
          <t>Completed</t>
        </is>
      </c>
      <c r="K857" t="n">
        <v>1.27</v>
      </c>
      <c r="L857" t="n">
        <v>16</v>
      </c>
      <c r="M857" t="b">
        <v>0</v>
      </c>
      <c r="N857" t="n">
        <v>0</v>
      </c>
      <c r="O857" t="b">
        <v>1</v>
      </c>
      <c r="P857" t="b">
        <v>0</v>
      </c>
      <c r="Q857" t="b">
        <v>0</v>
      </c>
    </row>
    <row r="858">
      <c r="A858" t="inlineStr">
        <is>
          <t>REQ00857</t>
        </is>
      </c>
      <c r="B858" t="inlineStr">
        <is>
          <t>8945008YVBM5VKXX1045</t>
        </is>
      </c>
      <c r="C858" t="inlineStr">
        <is>
          <t>new_account</t>
        </is>
      </c>
      <c r="D858" s="2" t="n">
        <v>46309.52916666667</v>
      </c>
      <c r="E858" s="2" t="n">
        <v>46311.44583333333</v>
      </c>
      <c r="F858" t="inlineStr">
        <is>
          <t>M4</t>
        </is>
      </c>
      <c r="G858" t="inlineStr">
        <is>
          <t>C1</t>
        </is>
      </c>
      <c r="H858" s="2" t="n">
        <v>46309.56597222222</v>
      </c>
      <c r="I858" s="2" t="n">
        <v>46310.43541666667</v>
      </c>
      <c r="J858" t="inlineStr">
        <is>
          <t>Completed</t>
        </is>
      </c>
      <c r="K858" t="n">
        <v>6.74</v>
      </c>
      <c r="L858" t="n">
        <v>16</v>
      </c>
      <c r="M858" t="b">
        <v>0</v>
      </c>
      <c r="N858" t="n">
        <v>0</v>
      </c>
      <c r="O858" t="b">
        <v>1</v>
      </c>
      <c r="P858" t="b">
        <v>0</v>
      </c>
      <c r="Q858" t="b">
        <v>1</v>
      </c>
    </row>
    <row r="859">
      <c r="A859" t="inlineStr">
        <is>
          <t>REQ00858</t>
        </is>
      </c>
      <c r="B859" t="inlineStr">
        <is>
          <t>254900FI4BRHEBEKXP08</t>
        </is>
      </c>
      <c r="C859" t="inlineStr">
        <is>
          <t>new_account</t>
        </is>
      </c>
      <c r="D859" s="2" t="n">
        <v>46309.52916666667</v>
      </c>
      <c r="E859" s="2" t="n">
        <v>46311.44583333333</v>
      </c>
      <c r="F859" t="inlineStr">
        <is>
          <t>M2</t>
        </is>
      </c>
      <c r="G859" t="inlineStr">
        <is>
          <t>C1</t>
        </is>
      </c>
      <c r="H859" s="2" t="n">
        <v>46309.57777777778</v>
      </c>
      <c r="I859" s="2" t="n">
        <v>46309.59375</v>
      </c>
      <c r="J859" t="inlineStr">
        <is>
          <t>Completed</t>
        </is>
      </c>
      <c r="K859" t="n">
        <v>1.55</v>
      </c>
      <c r="L859" t="n">
        <v>16</v>
      </c>
      <c r="M859" t="b">
        <v>0</v>
      </c>
      <c r="N859" t="n">
        <v>0</v>
      </c>
      <c r="O859" t="b">
        <v>1</v>
      </c>
      <c r="P859" t="b">
        <v>0</v>
      </c>
      <c r="Q859" t="b">
        <v>0</v>
      </c>
    </row>
    <row r="860">
      <c r="A860" t="inlineStr">
        <is>
          <t>REQ00859</t>
        </is>
      </c>
      <c r="B860" t="inlineStr">
        <is>
          <t>8945009OFRYLO59X8836</t>
        </is>
      </c>
      <c r="C860" t="inlineStr">
        <is>
          <t>data_amendment</t>
        </is>
      </c>
      <c r="D860" s="2" t="n">
        <v>46309.53611111111</v>
      </c>
      <c r="E860" s="2" t="n">
        <v>46310.49444444444</v>
      </c>
      <c r="F860" t="inlineStr">
        <is>
          <t>M1</t>
        </is>
      </c>
      <c r="G860" t="inlineStr">
        <is>
          <t>C1</t>
        </is>
      </c>
      <c r="H860" s="2" t="n">
        <v>46309.56319444445</v>
      </c>
      <c r="I860" s="2" t="n">
        <v>46309.56736111111</v>
      </c>
      <c r="J860" t="inlineStr">
        <is>
          <t>Completed</t>
        </is>
      </c>
      <c r="K860" t="n">
        <v>0.75</v>
      </c>
      <c r="L860" t="n">
        <v>8</v>
      </c>
      <c r="M860" t="b">
        <v>0</v>
      </c>
      <c r="N860" t="n">
        <v>0</v>
      </c>
      <c r="O860" t="b">
        <v>1</v>
      </c>
      <c r="P860" t="b">
        <v>0</v>
      </c>
      <c r="Q860" t="b">
        <v>0</v>
      </c>
    </row>
    <row r="861">
      <c r="A861" t="inlineStr">
        <is>
          <t>REQ00860</t>
        </is>
      </c>
      <c r="B861" t="inlineStr">
        <is>
          <t>213800DAGZ7TUINOSA27</t>
        </is>
      </c>
      <c r="C861" t="inlineStr">
        <is>
          <t>new_account</t>
        </is>
      </c>
      <c r="D861" s="2" t="n">
        <v>46309.54027777778</v>
      </c>
      <c r="E861" s="2" t="n">
        <v>46311.45694444444</v>
      </c>
      <c r="F861" t="inlineStr">
        <is>
          <t>M3</t>
        </is>
      </c>
      <c r="G861" t="inlineStr">
        <is>
          <t>C1</t>
        </is>
      </c>
      <c r="H861" s="2" t="n">
        <v>46309.58958333333</v>
      </c>
      <c r="I861" s="2" t="n">
        <v>46309.72152777778</v>
      </c>
      <c r="J861" t="inlineStr">
        <is>
          <t>Completed</t>
        </is>
      </c>
      <c r="K861" t="n">
        <v>4.34</v>
      </c>
      <c r="L861" t="n">
        <v>16</v>
      </c>
      <c r="M861" t="b">
        <v>0</v>
      </c>
      <c r="N861" t="n">
        <v>0</v>
      </c>
      <c r="O861" t="b">
        <v>1</v>
      </c>
      <c r="P861" t="b">
        <v>0</v>
      </c>
      <c r="Q861" t="b">
        <v>1</v>
      </c>
    </row>
    <row r="862">
      <c r="A862" t="inlineStr">
        <is>
          <t>REQ00861</t>
        </is>
      </c>
      <c r="B862" t="inlineStr">
        <is>
          <t>724500QY17CT6ZX2KC83</t>
        </is>
      </c>
      <c r="C862" t="inlineStr">
        <is>
          <t>document_refresh</t>
        </is>
      </c>
      <c r="D862" s="2" t="n">
        <v>46309.54027777778</v>
      </c>
      <c r="E862" s="2" t="n">
        <v>46310.66527777778</v>
      </c>
      <c r="F862" t="inlineStr">
        <is>
          <t>M1</t>
        </is>
      </c>
      <c r="G862" t="inlineStr">
        <is>
          <t>C3</t>
        </is>
      </c>
      <c r="H862" s="2" t="n">
        <v>46309.57638888889</v>
      </c>
      <c r="I862" s="2" t="n">
        <v>46309.58263888889</v>
      </c>
      <c r="J862" t="inlineStr">
        <is>
          <t>Completed</t>
        </is>
      </c>
      <c r="K862" t="n">
        <v>1.01</v>
      </c>
      <c r="L862" t="n">
        <v>12</v>
      </c>
      <c r="M862" t="b">
        <v>0</v>
      </c>
      <c r="N862" t="n">
        <v>0</v>
      </c>
      <c r="O862" t="b">
        <v>1</v>
      </c>
      <c r="P862" t="b">
        <v>0</v>
      </c>
      <c r="Q862" t="b">
        <v>0</v>
      </c>
    </row>
    <row r="863">
      <c r="A863" t="inlineStr">
        <is>
          <t>REQ00862</t>
        </is>
      </c>
      <c r="B863" t="inlineStr">
        <is>
          <t>2138002ZXFDF8S3S6R89</t>
        </is>
      </c>
      <c r="C863" t="inlineStr">
        <is>
          <t>document_refresh</t>
        </is>
      </c>
      <c r="D863" s="2" t="n">
        <v>46309.54375</v>
      </c>
      <c r="E863" s="2" t="n">
        <v>46310.66875</v>
      </c>
      <c r="F863" t="inlineStr">
        <is>
          <t>M4</t>
        </is>
      </c>
      <c r="G863" t="inlineStr">
        <is>
          <t>C1</t>
        </is>
      </c>
      <c r="H863" s="2" t="n">
        <v>46309.57708333333</v>
      </c>
      <c r="I863" s="2" t="n">
        <v>46310.38819444444</v>
      </c>
      <c r="J863" t="inlineStr">
        <is>
          <t>Completed</t>
        </is>
      </c>
      <c r="K863" t="n">
        <v>5.27</v>
      </c>
      <c r="L863" t="n">
        <v>12</v>
      </c>
      <c r="M863" t="b">
        <v>0</v>
      </c>
      <c r="N863" t="n">
        <v>0</v>
      </c>
      <c r="O863" t="b">
        <v>1</v>
      </c>
      <c r="P863" t="b">
        <v>0</v>
      </c>
      <c r="Q863" t="b">
        <v>1</v>
      </c>
    </row>
    <row r="864">
      <c r="A864" t="inlineStr">
        <is>
          <t>REQ00863</t>
        </is>
      </c>
      <c r="B864" t="inlineStr">
        <is>
          <t>213800ZIY64PQRK4PW73</t>
        </is>
      </c>
      <c r="C864" t="inlineStr">
        <is>
          <t>document_refresh</t>
        </is>
      </c>
      <c r="D864" s="2" t="n">
        <v>46309.55138888889</v>
      </c>
      <c r="E864" s="2" t="n">
        <v>46310.67638888889</v>
      </c>
      <c r="F864" t="inlineStr">
        <is>
          <t>M5</t>
        </is>
      </c>
      <c r="G864" t="inlineStr">
        <is>
          <t>C2</t>
        </is>
      </c>
      <c r="H864" s="2" t="n">
        <v>46309.58125</v>
      </c>
      <c r="I864" s="2" t="n">
        <v>46309.69791666666</v>
      </c>
      <c r="J864" t="inlineStr">
        <is>
          <t>Completed</t>
        </is>
      </c>
      <c r="K864" t="n">
        <v>3.52</v>
      </c>
      <c r="L864" t="n">
        <v>12</v>
      </c>
      <c r="M864" t="b">
        <v>0</v>
      </c>
      <c r="N864" t="n">
        <v>0</v>
      </c>
      <c r="O864" t="b">
        <v>1</v>
      </c>
      <c r="P864" t="b">
        <v>0</v>
      </c>
      <c r="Q864" t="b">
        <v>1</v>
      </c>
    </row>
    <row r="865">
      <c r="A865" t="inlineStr">
        <is>
          <t>REQ00864</t>
        </is>
      </c>
      <c r="B865" t="inlineStr">
        <is>
          <t>529900MBB2F6SI86CX56</t>
        </is>
      </c>
      <c r="C865" t="inlineStr">
        <is>
          <t>new_account</t>
        </is>
      </c>
      <c r="D865" s="2" t="n">
        <v>46309.55208333334</v>
      </c>
      <c r="E865" s="2" t="n">
        <v>46311.46875</v>
      </c>
      <c r="F865" t="inlineStr">
        <is>
          <t>M6</t>
        </is>
      </c>
      <c r="G865" t="inlineStr">
        <is>
          <t>C3</t>
        </is>
      </c>
      <c r="H865" s="2" t="n">
        <v>46309.60625</v>
      </c>
      <c r="I865" s="2" t="n">
        <v>46309.61388888889</v>
      </c>
      <c r="J865" t="inlineStr">
        <is>
          <t>Completed</t>
        </is>
      </c>
      <c r="K865" t="n">
        <v>1.49</v>
      </c>
      <c r="L865" t="n">
        <v>16</v>
      </c>
      <c r="M865" t="b">
        <v>0</v>
      </c>
      <c r="N865" t="n">
        <v>0</v>
      </c>
      <c r="O865" t="b">
        <v>1</v>
      </c>
      <c r="P865" t="b">
        <v>0</v>
      </c>
      <c r="Q865" t="b">
        <v>0</v>
      </c>
    </row>
    <row r="866">
      <c r="A866" t="inlineStr">
        <is>
          <t>REQ00865</t>
        </is>
      </c>
      <c r="B866" t="inlineStr">
        <is>
          <t>549300J7YIAUWW4PWZ42</t>
        </is>
      </c>
      <c r="C866" t="inlineStr">
        <is>
          <t>data_amendment</t>
        </is>
      </c>
      <c r="D866" s="2" t="n">
        <v>46309.55625</v>
      </c>
      <c r="E866" s="2" t="n">
        <v>46310.51458333333</v>
      </c>
      <c r="F866" t="inlineStr">
        <is>
          <t>M1</t>
        </is>
      </c>
      <c r="G866" t="inlineStr">
        <is>
          <t>C3</t>
        </is>
      </c>
      <c r="H866" s="2" t="n">
        <v>46309.58888888889</v>
      </c>
      <c r="I866" s="2" t="n">
        <v>46310.45347222222</v>
      </c>
      <c r="J866" t="inlineStr">
        <is>
          <t>Completed</t>
        </is>
      </c>
      <c r="K866" t="n">
        <v>6.54</v>
      </c>
      <c r="L866" t="n">
        <v>8</v>
      </c>
      <c r="M866" t="b">
        <v>0</v>
      </c>
      <c r="N866" t="n">
        <v>0</v>
      </c>
      <c r="O866" t="b">
        <v>1</v>
      </c>
      <c r="P866" t="b">
        <v>0</v>
      </c>
      <c r="Q866" t="b">
        <v>1</v>
      </c>
    </row>
    <row r="867">
      <c r="A867" t="inlineStr">
        <is>
          <t>REQ00866</t>
        </is>
      </c>
      <c r="B867" t="inlineStr">
        <is>
          <t>549300KOXOTGUZPWBD38</t>
        </is>
      </c>
      <c r="C867" t="inlineStr">
        <is>
          <t>signatory_change</t>
        </is>
      </c>
      <c r="D867" s="2" t="n">
        <v>46309.56041666667</v>
      </c>
      <c r="E867" s="2" t="n">
        <v>46310.51875</v>
      </c>
      <c r="F867" t="inlineStr">
        <is>
          <t>M4</t>
        </is>
      </c>
      <c r="G867" t="inlineStr">
        <is>
          <t>C3</t>
        </is>
      </c>
      <c r="H867" s="2" t="n">
        <v>46309.59444444445</v>
      </c>
      <c r="I867" s="2" t="n">
        <v>46309.6</v>
      </c>
      <c r="J867" t="inlineStr">
        <is>
          <t>Completed</t>
        </is>
      </c>
      <c r="K867" t="n">
        <v>0.95</v>
      </c>
      <c r="L867" t="n">
        <v>8</v>
      </c>
      <c r="M867" t="b">
        <v>0</v>
      </c>
      <c r="N867" t="n">
        <v>0</v>
      </c>
      <c r="O867" t="b">
        <v>1</v>
      </c>
      <c r="P867" t="b">
        <v>0</v>
      </c>
      <c r="Q867" t="b">
        <v>0</v>
      </c>
    </row>
    <row r="868">
      <c r="A868" t="inlineStr">
        <is>
          <t>REQ00867</t>
        </is>
      </c>
      <c r="B868" t="inlineStr">
        <is>
          <t>984500D68B0F38492D65</t>
        </is>
      </c>
      <c r="C868" t="inlineStr">
        <is>
          <t>new_account</t>
        </is>
      </c>
      <c r="D868" s="2" t="n">
        <v>46309.56597222222</v>
      </c>
      <c r="E868" s="2" t="n">
        <v>46311.48263888889</v>
      </c>
      <c r="F868" t="inlineStr">
        <is>
          <t>M2</t>
        </is>
      </c>
      <c r="G868" t="inlineStr">
        <is>
          <t>C3</t>
        </is>
      </c>
      <c r="H868" s="2" t="n">
        <v>46309.60277777778</v>
      </c>
      <c r="I868" s="2" t="n">
        <v>46309.72916666666</v>
      </c>
      <c r="J868" t="inlineStr">
        <is>
          <t>Completed</t>
        </is>
      </c>
      <c r="K868" t="n">
        <v>3.92</v>
      </c>
      <c r="L868" t="n">
        <v>16</v>
      </c>
      <c r="M868" t="b">
        <v>0</v>
      </c>
      <c r="N868" t="n">
        <v>0</v>
      </c>
      <c r="O868" t="b">
        <v>1</v>
      </c>
      <c r="P868" t="b">
        <v>0</v>
      </c>
      <c r="Q868" t="b">
        <v>1</v>
      </c>
    </row>
    <row r="869">
      <c r="A869" t="inlineStr">
        <is>
          <t>REQ00868</t>
        </is>
      </c>
      <c r="B869" t="inlineStr">
        <is>
          <t>3912006RY9H4TZS0XL96</t>
        </is>
      </c>
      <c r="C869" t="inlineStr">
        <is>
          <t>new_account</t>
        </is>
      </c>
      <c r="D869" s="2" t="n">
        <v>46309.57430555556</v>
      </c>
      <c r="E869" s="2" t="n">
        <v>46311.49097222222</v>
      </c>
      <c r="F869" t="inlineStr">
        <is>
          <t>M5</t>
        </is>
      </c>
      <c r="G869" t="inlineStr">
        <is>
          <t>C1</t>
        </is>
      </c>
      <c r="H869" s="2" t="n">
        <v>46309.60694444444</v>
      </c>
      <c r="I869" s="2" t="n">
        <v>46309.61666666667</v>
      </c>
      <c r="J869" t="inlineStr">
        <is>
          <t>Completed</t>
        </is>
      </c>
      <c r="K869" t="n">
        <v>1.01</v>
      </c>
      <c r="L869" t="n">
        <v>16</v>
      </c>
      <c r="M869" t="b">
        <v>0</v>
      </c>
      <c r="N869" t="n">
        <v>0</v>
      </c>
      <c r="O869" t="b">
        <v>1</v>
      </c>
      <c r="P869" t="b">
        <v>0</v>
      </c>
      <c r="Q869" t="b">
        <v>0</v>
      </c>
    </row>
    <row r="870">
      <c r="A870" t="inlineStr">
        <is>
          <t>REQ00869</t>
        </is>
      </c>
      <c r="B870" t="inlineStr">
        <is>
          <t>54930035NNQWXQQ0PE94</t>
        </is>
      </c>
      <c r="C870" t="inlineStr">
        <is>
          <t>data_amendment</t>
        </is>
      </c>
      <c r="D870" s="2" t="n">
        <v>46309.57777777778</v>
      </c>
      <c r="E870" s="2" t="n">
        <v>46310.53611111111</v>
      </c>
      <c r="F870" t="inlineStr">
        <is>
          <t>M1</t>
        </is>
      </c>
      <c r="G870" t="inlineStr">
        <is>
          <t>C1</t>
        </is>
      </c>
      <c r="H870" s="2" t="n">
        <v>46309.59722222222</v>
      </c>
      <c r="I870" s="2" t="n">
        <v>46309.60763888889</v>
      </c>
      <c r="J870" t="inlineStr">
        <is>
          <t>Completed</t>
        </is>
      </c>
      <c r="K870" t="n">
        <v>0.71</v>
      </c>
      <c r="L870" t="n">
        <v>8</v>
      </c>
      <c r="M870" t="b">
        <v>0</v>
      </c>
      <c r="N870" t="n">
        <v>1</v>
      </c>
      <c r="O870" t="b">
        <v>0</v>
      </c>
      <c r="P870" t="b">
        <v>1</v>
      </c>
      <c r="Q870" t="b">
        <v>0</v>
      </c>
    </row>
    <row r="871">
      <c r="A871" t="inlineStr">
        <is>
          <t>REQ00870</t>
        </is>
      </c>
      <c r="B871" t="inlineStr">
        <is>
          <t>391200LBICOI9DYGAH54</t>
        </is>
      </c>
      <c r="C871" t="inlineStr">
        <is>
          <t>new_account</t>
        </is>
      </c>
      <c r="D871" s="2" t="n">
        <v>46309.58680555555</v>
      </c>
      <c r="E871" s="2" t="n">
        <v>46311.50347222222</v>
      </c>
      <c r="F871" t="inlineStr">
        <is>
          <t>M3</t>
        </is>
      </c>
      <c r="G871" t="inlineStr">
        <is>
          <t>C3</t>
        </is>
      </c>
      <c r="H871" s="2" t="n">
        <v>46309.61875</v>
      </c>
      <c r="I871" s="2" t="n">
        <v>46309.62777777778</v>
      </c>
      <c r="J871" t="inlineStr">
        <is>
          <t>Completed</t>
        </is>
      </c>
      <c r="K871" t="n">
        <v>0.99</v>
      </c>
      <c r="L871" t="n">
        <v>16</v>
      </c>
      <c r="M871" t="b">
        <v>0</v>
      </c>
      <c r="N871" t="n">
        <v>0</v>
      </c>
      <c r="O871" t="b">
        <v>1</v>
      </c>
      <c r="P871" t="b">
        <v>0</v>
      </c>
      <c r="Q871" t="b">
        <v>0</v>
      </c>
    </row>
    <row r="872">
      <c r="A872" t="inlineStr">
        <is>
          <t>REQ00871</t>
        </is>
      </c>
      <c r="B872" t="inlineStr">
        <is>
          <t>724500L9FCK4MDL61V77</t>
        </is>
      </c>
      <c r="C872" t="inlineStr">
        <is>
          <t>signatory_change</t>
        </is>
      </c>
      <c r="D872" s="2" t="n">
        <v>46309.6</v>
      </c>
      <c r="E872" s="2" t="n">
        <v>46310.55833333333</v>
      </c>
      <c r="F872" t="inlineStr">
        <is>
          <t>M4</t>
        </is>
      </c>
      <c r="G872" t="inlineStr">
        <is>
          <t>C1</t>
        </is>
      </c>
      <c r="H872" s="2" t="n">
        <v>46309.61944444444</v>
      </c>
      <c r="I872" s="2" t="n">
        <v>46309.73958333334</v>
      </c>
      <c r="J872" t="inlineStr">
        <is>
          <t>Completed</t>
        </is>
      </c>
      <c r="K872" t="n">
        <v>3.34</v>
      </c>
      <c r="L872" t="n">
        <v>8</v>
      </c>
      <c r="M872" t="b">
        <v>0</v>
      </c>
      <c r="N872" t="n">
        <v>0</v>
      </c>
      <c r="O872" t="b">
        <v>1</v>
      </c>
      <c r="P872" t="b">
        <v>0</v>
      </c>
      <c r="Q872" t="b">
        <v>1</v>
      </c>
    </row>
    <row r="873">
      <c r="A873" t="inlineStr">
        <is>
          <t>REQ00872</t>
        </is>
      </c>
      <c r="B873" t="inlineStr">
        <is>
          <t>529900SOMEGIQ9IDGW70</t>
        </is>
      </c>
      <c r="C873" t="inlineStr">
        <is>
          <t>document_refresh</t>
        </is>
      </c>
      <c r="D873" s="2" t="n">
        <v>46309.60347222222</v>
      </c>
      <c r="E873" s="2" t="n">
        <v>46310.72847222222</v>
      </c>
      <c r="F873" t="inlineStr">
        <is>
          <t>M1</t>
        </is>
      </c>
      <c r="G873" t="inlineStr">
        <is>
          <t>C1</t>
        </is>
      </c>
      <c r="H873" s="2" t="n">
        <v>46309.62083333333</v>
      </c>
      <c r="I873" s="2" t="n">
        <v>46309.70972222222</v>
      </c>
      <c r="J873" t="inlineStr">
        <is>
          <t>Completed</t>
        </is>
      </c>
      <c r="K873" t="n">
        <v>2.55</v>
      </c>
      <c r="L873" t="n">
        <v>12</v>
      </c>
      <c r="M873" t="b">
        <v>0</v>
      </c>
      <c r="N873" t="n">
        <v>0</v>
      </c>
      <c r="O873" t="b">
        <v>1</v>
      </c>
      <c r="P873" t="b">
        <v>0</v>
      </c>
      <c r="Q873" t="b">
        <v>1</v>
      </c>
    </row>
    <row r="874">
      <c r="A874" t="inlineStr">
        <is>
          <t>REQ00873</t>
        </is>
      </c>
      <c r="B874" t="inlineStr">
        <is>
          <t>2138003HG22I67YM4L47</t>
        </is>
      </c>
      <c r="C874" t="inlineStr">
        <is>
          <t>new_account</t>
        </is>
      </c>
      <c r="D874" s="2" t="n">
        <v>46309.60347222222</v>
      </c>
      <c r="E874" s="2" t="n">
        <v>46311.52013888889</v>
      </c>
      <c r="F874" t="inlineStr">
        <is>
          <t>M2</t>
        </is>
      </c>
      <c r="G874" t="inlineStr">
        <is>
          <t>C2</t>
        </is>
      </c>
      <c r="H874" s="2" t="n">
        <v>46309.63402777778</v>
      </c>
      <c r="I874" s="2" t="n">
        <v>46309.64305555556</v>
      </c>
      <c r="J874" t="inlineStr">
        <is>
          <t>Completed</t>
        </is>
      </c>
      <c r="K874" t="n">
        <v>0.95</v>
      </c>
      <c r="L874" t="n">
        <v>16</v>
      </c>
      <c r="M874" t="b">
        <v>0</v>
      </c>
      <c r="N874" t="n">
        <v>0</v>
      </c>
      <c r="O874" t="b">
        <v>1</v>
      </c>
      <c r="P874" t="b">
        <v>0</v>
      </c>
      <c r="Q874" t="b">
        <v>0</v>
      </c>
    </row>
    <row r="875">
      <c r="A875" t="inlineStr">
        <is>
          <t>REQ00874</t>
        </is>
      </c>
      <c r="B875" t="inlineStr">
        <is>
          <t>724500H2OEL0I6YPEI89</t>
        </is>
      </c>
      <c r="C875" t="inlineStr">
        <is>
          <t>document_refresh</t>
        </is>
      </c>
      <c r="D875" s="2" t="n">
        <v>46309.62152777778</v>
      </c>
      <c r="E875" s="2" t="n">
        <v>46310.74652777778</v>
      </c>
      <c r="F875" t="inlineStr">
        <is>
          <t>M6</t>
        </is>
      </c>
      <c r="G875" t="inlineStr">
        <is>
          <t>C3</t>
        </is>
      </c>
      <c r="H875" s="2" t="n">
        <v>46309.63194444445</v>
      </c>
      <c r="I875" s="2" t="n">
        <v>46310.40694444445</v>
      </c>
      <c r="J875" t="inlineStr">
        <is>
          <t>Completed</t>
        </is>
      </c>
      <c r="K875" t="n">
        <v>3.84</v>
      </c>
      <c r="L875" t="n">
        <v>12</v>
      </c>
      <c r="M875" t="b">
        <v>0</v>
      </c>
      <c r="N875" t="n">
        <v>0</v>
      </c>
      <c r="O875" t="b">
        <v>1</v>
      </c>
      <c r="P875" t="b">
        <v>0</v>
      </c>
      <c r="Q875" t="b">
        <v>1</v>
      </c>
    </row>
    <row r="876">
      <c r="A876" t="inlineStr">
        <is>
          <t>REQ00875</t>
        </is>
      </c>
      <c r="B876" t="inlineStr">
        <is>
          <t>549300B1YRZZFD16FU97</t>
        </is>
      </c>
      <c r="C876" t="inlineStr">
        <is>
          <t>signatory_change</t>
        </is>
      </c>
      <c r="D876" s="2" t="n">
        <v>46309.62638888889</v>
      </c>
      <c r="E876" s="2" t="n">
        <v>46310.58472222222</v>
      </c>
      <c r="F876" t="inlineStr">
        <is>
          <t>M5</t>
        </is>
      </c>
      <c r="G876" t="inlineStr">
        <is>
          <t>C1</t>
        </is>
      </c>
      <c r="H876" s="2" t="n">
        <v>46309.65138888889</v>
      </c>
      <c r="I876" s="2" t="n">
        <v>46310.52013888889</v>
      </c>
      <c r="J876" t="inlineStr">
        <is>
          <t>Completed</t>
        </is>
      </c>
      <c r="K876" t="n">
        <v>6.44</v>
      </c>
      <c r="L876" t="n">
        <v>8</v>
      </c>
      <c r="M876" t="b">
        <v>0</v>
      </c>
      <c r="N876" t="n">
        <v>0</v>
      </c>
      <c r="O876" t="b">
        <v>1</v>
      </c>
      <c r="P876" t="b">
        <v>0</v>
      </c>
      <c r="Q876" t="b">
        <v>1</v>
      </c>
    </row>
    <row r="877">
      <c r="A877" t="inlineStr">
        <is>
          <t>REQ00876</t>
        </is>
      </c>
      <c r="B877" t="inlineStr">
        <is>
          <t>391200LIKI03UASJ1719</t>
        </is>
      </c>
      <c r="C877" t="inlineStr">
        <is>
          <t>new_account</t>
        </is>
      </c>
      <c r="D877" s="2" t="n">
        <v>46309.62847222222</v>
      </c>
      <c r="E877" s="2" t="n">
        <v>46311.54513888889</v>
      </c>
      <c r="F877" t="inlineStr">
        <is>
          <t>M3</t>
        </is>
      </c>
      <c r="G877" t="inlineStr">
        <is>
          <t>C3</t>
        </is>
      </c>
      <c r="H877" s="2" t="n">
        <v>46309.65763888889</v>
      </c>
      <c r="I877" s="2" t="n">
        <v>46310.52569444444</v>
      </c>
      <c r="J877" t="inlineStr">
        <is>
          <t>Completed</t>
        </is>
      </c>
      <c r="K877" t="n">
        <v>6.53</v>
      </c>
      <c r="L877" t="n">
        <v>16</v>
      </c>
      <c r="M877" t="b">
        <v>0</v>
      </c>
      <c r="N877" t="n">
        <v>0</v>
      </c>
      <c r="O877" t="b">
        <v>1</v>
      </c>
      <c r="P877" t="b">
        <v>0</v>
      </c>
      <c r="Q877" t="b">
        <v>1</v>
      </c>
    </row>
    <row r="878">
      <c r="A878" t="inlineStr">
        <is>
          <t>REQ00877</t>
        </is>
      </c>
      <c r="B878" t="inlineStr">
        <is>
          <t>529900L1FKMKT5U3SD92</t>
        </is>
      </c>
      <c r="C878" t="inlineStr">
        <is>
          <t>new_account</t>
        </is>
      </c>
      <c r="D878" s="2" t="n">
        <v>46309.63402777778</v>
      </c>
      <c r="E878" s="2" t="n">
        <v>46311.55069444444</v>
      </c>
      <c r="F878" t="inlineStr">
        <is>
          <t>M4</t>
        </is>
      </c>
      <c r="G878" t="inlineStr">
        <is>
          <t>C2</t>
        </is>
      </c>
      <c r="H878" s="2" t="n">
        <v>46309.65972222222</v>
      </c>
      <c r="I878" s="2" t="n">
        <v>46309.66875</v>
      </c>
      <c r="J878" t="inlineStr">
        <is>
          <t>Completed</t>
        </is>
      </c>
      <c r="K878" t="n">
        <v>0.83</v>
      </c>
      <c r="L878" t="n">
        <v>16</v>
      </c>
      <c r="M878" t="b">
        <v>0</v>
      </c>
      <c r="N878" t="n">
        <v>0</v>
      </c>
      <c r="O878" t="b">
        <v>1</v>
      </c>
      <c r="P878" t="b">
        <v>0</v>
      </c>
      <c r="Q878" t="b">
        <v>0</v>
      </c>
    </row>
    <row r="879">
      <c r="A879" t="inlineStr">
        <is>
          <t>REQ00878</t>
        </is>
      </c>
      <c r="B879" t="inlineStr">
        <is>
          <t>254900DZ0YGGXRC62983</t>
        </is>
      </c>
      <c r="C879" t="inlineStr">
        <is>
          <t>document_refresh</t>
        </is>
      </c>
      <c r="D879" s="2" t="n">
        <v>46309.64027777778</v>
      </c>
      <c r="E879" s="2" t="n">
        <v>46311.39027777778</v>
      </c>
      <c r="F879" t="inlineStr">
        <is>
          <t>M1</t>
        </is>
      </c>
      <c r="G879" t="inlineStr">
        <is>
          <t>C1</t>
        </is>
      </c>
      <c r="H879" s="2" t="n">
        <v>46309.65416666667</v>
      </c>
      <c r="I879" s="2" t="n">
        <v>46309.66111111111</v>
      </c>
      <c r="J879" t="inlineStr">
        <is>
          <t>Completed</t>
        </is>
      </c>
      <c r="K879" t="n">
        <v>0.49</v>
      </c>
      <c r="L879" t="n">
        <v>12</v>
      </c>
      <c r="M879" t="b">
        <v>0</v>
      </c>
      <c r="N879" t="n">
        <v>0</v>
      </c>
      <c r="O879" t="b">
        <v>1</v>
      </c>
      <c r="P879" t="b">
        <v>0</v>
      </c>
      <c r="Q879" t="b">
        <v>0</v>
      </c>
    </row>
    <row r="880">
      <c r="A880" t="inlineStr">
        <is>
          <t>REQ00879</t>
        </is>
      </c>
      <c r="B880" t="inlineStr">
        <is>
          <t>335800HHEQLTABCVYK16</t>
        </is>
      </c>
      <c r="C880" t="inlineStr">
        <is>
          <t>data_amendment</t>
        </is>
      </c>
      <c r="D880" s="2" t="n">
        <v>46309.64375</v>
      </c>
      <c r="E880" s="2" t="n">
        <v>46310.60208333333</v>
      </c>
      <c r="F880" t="inlineStr">
        <is>
          <t>M6</t>
        </is>
      </c>
      <c r="G880" t="inlineStr">
        <is>
          <t>C3</t>
        </is>
      </c>
      <c r="H880" s="2" t="n">
        <v>46309.65416666667</v>
      </c>
      <c r="I880" s="2" t="n">
        <v>46309.65763888889</v>
      </c>
      <c r="J880" t="inlineStr">
        <is>
          <t>Completed</t>
        </is>
      </c>
      <c r="K880" t="n">
        <v>0.33</v>
      </c>
      <c r="L880" t="n">
        <v>8</v>
      </c>
      <c r="M880" t="b">
        <v>0</v>
      </c>
      <c r="N880" t="n">
        <v>0</v>
      </c>
      <c r="O880" t="b">
        <v>1</v>
      </c>
      <c r="P880" t="b">
        <v>0</v>
      </c>
      <c r="Q880" t="b">
        <v>0</v>
      </c>
    </row>
    <row r="881">
      <c r="A881" t="inlineStr">
        <is>
          <t>REQ00880</t>
        </is>
      </c>
      <c r="B881" t="inlineStr">
        <is>
          <t>549300ZHMP5SW5YMTK86</t>
        </is>
      </c>
      <c r="C881" t="inlineStr">
        <is>
          <t>new_account</t>
        </is>
      </c>
      <c r="D881" s="2" t="n">
        <v>46309.64722222222</v>
      </c>
      <c r="E881" s="2" t="n">
        <v>46311.56388888889</v>
      </c>
      <c r="F881" t="inlineStr">
        <is>
          <t>M2</t>
        </is>
      </c>
      <c r="G881" t="inlineStr">
        <is>
          <t>C3</t>
        </is>
      </c>
      <c r="H881" s="2" t="n">
        <v>46309.67916666667</v>
      </c>
      <c r="I881" s="2" t="n">
        <v>46310.47986111111</v>
      </c>
      <c r="J881" t="inlineStr">
        <is>
          <t>Completed</t>
        </is>
      </c>
      <c r="K881" t="n">
        <v>4.99</v>
      </c>
      <c r="L881" t="n">
        <v>16</v>
      </c>
      <c r="M881" t="b">
        <v>0</v>
      </c>
      <c r="N881" t="n">
        <v>0</v>
      </c>
      <c r="O881" t="b">
        <v>1</v>
      </c>
      <c r="P881" t="b">
        <v>0</v>
      </c>
      <c r="Q881" t="b">
        <v>1</v>
      </c>
    </row>
    <row r="882">
      <c r="A882" t="inlineStr">
        <is>
          <t>REQ00881</t>
        </is>
      </c>
      <c r="B882" t="inlineStr">
        <is>
          <t>213800WTNN9VAR2MK469</t>
        </is>
      </c>
      <c r="C882" t="inlineStr">
        <is>
          <t>signatory_change</t>
        </is>
      </c>
      <c r="D882" s="2" t="n">
        <v>46309.64861111111</v>
      </c>
      <c r="E882" s="2" t="n">
        <v>46310.60694444444</v>
      </c>
      <c r="F882" t="inlineStr">
        <is>
          <t>M5</t>
        </is>
      </c>
      <c r="G882" t="inlineStr">
        <is>
          <t>C2</t>
        </is>
      </c>
      <c r="H882" s="2" t="n">
        <v>46309.67152777778</v>
      </c>
      <c r="I882" s="2" t="n">
        <v>46309.67916666667</v>
      </c>
      <c r="J882" t="inlineStr">
        <is>
          <t>Completed</t>
        </is>
      </c>
      <c r="K882" t="n">
        <v>0.73</v>
      </c>
      <c r="L882" t="n">
        <v>8</v>
      </c>
      <c r="M882" t="b">
        <v>0</v>
      </c>
      <c r="N882" t="n">
        <v>0</v>
      </c>
      <c r="O882" t="b">
        <v>1</v>
      </c>
      <c r="P882" t="b">
        <v>0</v>
      </c>
      <c r="Q882" t="b">
        <v>0</v>
      </c>
    </row>
    <row r="883">
      <c r="A883" t="inlineStr">
        <is>
          <t>REQ00882</t>
        </is>
      </c>
      <c r="B883" t="inlineStr">
        <is>
          <t>96950068K7HRL2E82K68</t>
        </is>
      </c>
      <c r="C883" t="inlineStr">
        <is>
          <t>data_amendment</t>
        </is>
      </c>
      <c r="D883" s="2" t="n">
        <v>46309.65138888889</v>
      </c>
      <c r="E883" s="2" t="n">
        <v>46310.60972222222</v>
      </c>
      <c r="F883" t="inlineStr">
        <is>
          <t>M1</t>
        </is>
      </c>
      <c r="G883" t="inlineStr">
        <is>
          <t>C1</t>
        </is>
      </c>
      <c r="H883" s="2" t="n">
        <v>46309.66527777778</v>
      </c>
      <c r="I883" s="2" t="n">
        <v>46310.38125</v>
      </c>
      <c r="J883" t="inlineStr">
        <is>
          <t>Completed</t>
        </is>
      </c>
      <c r="K883" t="n">
        <v>2.51</v>
      </c>
      <c r="L883" t="n">
        <v>8</v>
      </c>
      <c r="M883" t="b">
        <v>0</v>
      </c>
      <c r="N883" t="n">
        <v>0</v>
      </c>
      <c r="O883" t="b">
        <v>1</v>
      </c>
      <c r="P883" t="b">
        <v>0</v>
      </c>
      <c r="Q883" t="b">
        <v>1</v>
      </c>
    </row>
    <row r="884">
      <c r="A884" t="inlineStr">
        <is>
          <t>REQ00883</t>
        </is>
      </c>
      <c r="B884" t="inlineStr">
        <is>
          <t>9845008F7D705D383752</t>
        </is>
      </c>
      <c r="C884" t="inlineStr">
        <is>
          <t>document_refresh</t>
        </is>
      </c>
      <c r="D884" s="2" t="n">
        <v>46309.65347222222</v>
      </c>
      <c r="E884" s="2" t="n">
        <v>46311.40347222222</v>
      </c>
      <c r="F884" t="inlineStr">
        <is>
          <t>M6</t>
        </is>
      </c>
      <c r="G884" t="inlineStr">
        <is>
          <t>C3</t>
        </is>
      </c>
      <c r="H884" s="2" t="n">
        <v>46309.66666666666</v>
      </c>
      <c r="I884" s="2" t="n">
        <v>46309.67152777778</v>
      </c>
      <c r="J884" t="inlineStr">
        <is>
          <t>Completed</t>
        </is>
      </c>
      <c r="K884" t="n">
        <v>0.44</v>
      </c>
      <c r="L884" t="n">
        <v>12</v>
      </c>
      <c r="M884" t="b">
        <v>0</v>
      </c>
      <c r="N884" t="n">
        <v>0</v>
      </c>
      <c r="O884" t="b">
        <v>1</v>
      </c>
      <c r="P884" t="b">
        <v>0</v>
      </c>
      <c r="Q884" t="b">
        <v>0</v>
      </c>
    </row>
    <row r="885">
      <c r="A885" t="inlineStr">
        <is>
          <t>REQ00884</t>
        </is>
      </c>
      <c r="B885" t="inlineStr">
        <is>
          <t>254900MINSW0MTVS8V40</t>
        </is>
      </c>
      <c r="C885" t="inlineStr">
        <is>
          <t>document_refresh</t>
        </is>
      </c>
      <c r="D885" s="2" t="n">
        <v>46309.67083333333</v>
      </c>
      <c r="E885" s="2" t="n">
        <v>46311.42083333333</v>
      </c>
      <c r="F885" t="inlineStr">
        <is>
          <t>M3</t>
        </is>
      </c>
      <c r="G885" t="inlineStr">
        <is>
          <t>C1</t>
        </is>
      </c>
      <c r="H885" s="2" t="n">
        <v>46309.68402777778</v>
      </c>
      <c r="I885" s="2" t="n">
        <v>46309.69097222222</v>
      </c>
      <c r="J885" t="inlineStr">
        <is>
          <t>Completed</t>
        </is>
      </c>
      <c r="K885" t="n">
        <v>0.48</v>
      </c>
      <c r="L885" t="n">
        <v>12</v>
      </c>
      <c r="M885" t="b">
        <v>0</v>
      </c>
      <c r="N885" t="n">
        <v>0</v>
      </c>
      <c r="O885" t="b">
        <v>1</v>
      </c>
      <c r="P885" t="b">
        <v>0</v>
      </c>
      <c r="Q885" t="b">
        <v>0</v>
      </c>
    </row>
    <row r="886">
      <c r="A886" t="inlineStr">
        <is>
          <t>REQ00885</t>
        </is>
      </c>
      <c r="B886" t="inlineStr">
        <is>
          <t>5299001EE2F2R02VVA82</t>
        </is>
      </c>
      <c r="C886" t="inlineStr">
        <is>
          <t>document_refresh</t>
        </is>
      </c>
      <c r="D886" s="2" t="n">
        <v>46309.67708333334</v>
      </c>
      <c r="E886" s="2" t="n">
        <v>46311.42708333334</v>
      </c>
      <c r="F886" t="inlineStr">
        <is>
          <t>M4</t>
        </is>
      </c>
      <c r="G886" t="inlineStr">
        <is>
          <t>C3</t>
        </is>
      </c>
      <c r="H886" s="2" t="n">
        <v>46309.69444444445</v>
      </c>
      <c r="I886" s="2" t="n">
        <v>46309.70555555556</v>
      </c>
      <c r="J886" t="inlineStr">
        <is>
          <t>Completed</t>
        </is>
      </c>
      <c r="K886" t="n">
        <v>0.68</v>
      </c>
      <c r="L886" t="n">
        <v>12</v>
      </c>
      <c r="M886" t="b">
        <v>0</v>
      </c>
      <c r="N886" t="n">
        <v>0</v>
      </c>
      <c r="O886" t="b">
        <v>1</v>
      </c>
      <c r="P886" t="b">
        <v>0</v>
      </c>
      <c r="Q886" t="b">
        <v>0</v>
      </c>
    </row>
    <row r="887">
      <c r="A887" t="inlineStr">
        <is>
          <t>REQ00886</t>
        </is>
      </c>
      <c r="B887" t="inlineStr">
        <is>
          <t>549300Z0KQ2XBQ8YOU95</t>
        </is>
      </c>
      <c r="C887" t="inlineStr">
        <is>
          <t>data_amendment</t>
        </is>
      </c>
      <c r="D887" s="2" t="n">
        <v>46309.67916666667</v>
      </c>
      <c r="E887" s="2" t="n">
        <v>46310.6375</v>
      </c>
      <c r="F887" t="inlineStr">
        <is>
          <t>M1</t>
        </is>
      </c>
      <c r="G887" t="inlineStr">
        <is>
          <t>C2</t>
        </is>
      </c>
      <c r="H887" s="2" t="n">
        <v>46309.69097222222</v>
      </c>
      <c r="I887" s="2" t="n">
        <v>46309.70277777778</v>
      </c>
      <c r="J887" t="inlineStr">
        <is>
          <t>Completed</t>
        </is>
      </c>
      <c r="K887" t="n">
        <v>0.57</v>
      </c>
      <c r="L887" t="n">
        <v>8</v>
      </c>
      <c r="M887" t="b">
        <v>0</v>
      </c>
      <c r="N887" t="n">
        <v>0</v>
      </c>
      <c r="O887" t="b">
        <v>1</v>
      </c>
      <c r="P887" t="b">
        <v>0</v>
      </c>
      <c r="Q887" t="b">
        <v>0</v>
      </c>
    </row>
    <row r="888">
      <c r="A888" t="inlineStr">
        <is>
          <t>REQ00887</t>
        </is>
      </c>
      <c r="B888" t="inlineStr">
        <is>
          <t>1595SGHGVT0T4QGS9320</t>
        </is>
      </c>
      <c r="C888" t="inlineStr">
        <is>
          <t>signatory_change</t>
        </is>
      </c>
      <c r="D888" s="2" t="n">
        <v>46309.68541666667</v>
      </c>
      <c r="E888" s="2" t="n">
        <v>46310.64375</v>
      </c>
      <c r="F888" t="inlineStr">
        <is>
          <t>M6</t>
        </is>
      </c>
      <c r="G888" t="inlineStr">
        <is>
          <t>C1</t>
        </is>
      </c>
      <c r="H888" s="2" t="n">
        <v>46309.70208333333</v>
      </c>
      <c r="I888" s="2" t="n">
        <v>46310.57152777778</v>
      </c>
      <c r="J888" t="inlineStr">
        <is>
          <t>Completed</t>
        </is>
      </c>
      <c r="K888" t="n">
        <v>6.27</v>
      </c>
      <c r="L888" t="n">
        <v>8</v>
      </c>
      <c r="M888" t="b">
        <v>0</v>
      </c>
      <c r="N888" t="n">
        <v>0</v>
      </c>
      <c r="O888" t="b">
        <v>1</v>
      </c>
      <c r="P888" t="b">
        <v>0</v>
      </c>
      <c r="Q888" t="b">
        <v>1</v>
      </c>
    </row>
    <row r="889">
      <c r="A889" t="inlineStr">
        <is>
          <t>REQ00888</t>
        </is>
      </c>
      <c r="B889" t="inlineStr">
        <is>
          <t>DHL3CDKB4R0SGZ230I15</t>
        </is>
      </c>
      <c r="C889" t="inlineStr">
        <is>
          <t>new_account</t>
        </is>
      </c>
      <c r="D889" s="2" t="n">
        <v>46309.69027777778</v>
      </c>
      <c r="E889" s="2" t="n">
        <v>46311.60694444444</v>
      </c>
      <c r="F889" t="inlineStr">
        <is>
          <t>M5</t>
        </is>
      </c>
      <c r="G889" t="inlineStr">
        <is>
          <t>C2</t>
        </is>
      </c>
      <c r="H889" s="2" t="n">
        <v>46309.73055555556</v>
      </c>
      <c r="I889" s="2" t="n">
        <v>46310.46180555555</v>
      </c>
      <c r="J889" t="inlineStr">
        <is>
          <t>Completed</t>
        </is>
      </c>
      <c r="K889" t="n">
        <v>3.51</v>
      </c>
      <c r="L889" t="n">
        <v>16</v>
      </c>
      <c r="M889" t="b">
        <v>0</v>
      </c>
      <c r="N889" t="n">
        <v>0</v>
      </c>
      <c r="O889" t="b">
        <v>1</v>
      </c>
      <c r="P889" t="b">
        <v>0</v>
      </c>
      <c r="Q889" t="b">
        <v>1</v>
      </c>
    </row>
    <row r="890">
      <c r="A890" t="inlineStr">
        <is>
          <t>REQ00889</t>
        </is>
      </c>
      <c r="B890" t="inlineStr">
        <is>
          <t>213800IZ5X2N8IFBVA32</t>
        </is>
      </c>
      <c r="C890" t="inlineStr">
        <is>
          <t>new_account</t>
        </is>
      </c>
      <c r="D890" s="2" t="n">
        <v>46309.69930555556</v>
      </c>
      <c r="E890" s="2" t="n">
        <v>46311.61597222222</v>
      </c>
      <c r="F890" t="inlineStr">
        <is>
          <t>M2</t>
        </is>
      </c>
      <c r="G890" t="inlineStr">
        <is>
          <t>C3</t>
        </is>
      </c>
      <c r="H890" s="2" t="n">
        <v>46309.72361111111</v>
      </c>
      <c r="I890" s="2" t="n">
        <v>46310.49027777778</v>
      </c>
      <c r="J890" t="inlineStr">
        <is>
          <t>Completed</t>
        </is>
      </c>
      <c r="K890" t="n">
        <v>3.99</v>
      </c>
      <c r="L890" t="n">
        <v>16</v>
      </c>
      <c r="M890" t="b">
        <v>0</v>
      </c>
      <c r="N890" t="n">
        <v>0</v>
      </c>
      <c r="O890" t="b">
        <v>1</v>
      </c>
      <c r="P890" t="b">
        <v>0</v>
      </c>
      <c r="Q890" t="b">
        <v>1</v>
      </c>
    </row>
    <row r="891">
      <c r="A891" t="inlineStr">
        <is>
          <t>REQ00890</t>
        </is>
      </c>
      <c r="B891" t="inlineStr">
        <is>
          <t>894500T9BNVU8RB24T27</t>
        </is>
      </c>
      <c r="C891" t="inlineStr">
        <is>
          <t>data_amendment</t>
        </is>
      </c>
      <c r="D891" s="2" t="n">
        <v>46309.70625</v>
      </c>
      <c r="E891" s="2" t="n">
        <v>46310.66458333333</v>
      </c>
      <c r="F891" t="inlineStr">
        <is>
          <t>M3</t>
        </is>
      </c>
      <c r="G891" t="inlineStr">
        <is>
          <t>C1</t>
        </is>
      </c>
      <c r="H891" s="2" t="n">
        <v>46309.71805555555</v>
      </c>
      <c r="I891" s="2" t="n">
        <v>46309.725</v>
      </c>
      <c r="J891" t="inlineStr">
        <is>
          <t>Completed</t>
        </is>
      </c>
      <c r="K891" t="n">
        <v>0.45</v>
      </c>
      <c r="L891" t="n">
        <v>8</v>
      </c>
      <c r="M891" t="b">
        <v>0</v>
      </c>
      <c r="N891" t="n">
        <v>0</v>
      </c>
      <c r="O891" t="b">
        <v>1</v>
      </c>
      <c r="P891" t="b">
        <v>0</v>
      </c>
      <c r="Q891" t="b">
        <v>0</v>
      </c>
    </row>
    <row r="892">
      <c r="A892" t="inlineStr">
        <is>
          <t>REQ00891</t>
        </is>
      </c>
      <c r="B892" t="inlineStr">
        <is>
          <t>724500HBSLKJBB2FXV63</t>
        </is>
      </c>
      <c r="C892" t="inlineStr">
        <is>
          <t>new_account</t>
        </is>
      </c>
      <c r="D892" s="2" t="n">
        <v>46309.70763888889</v>
      </c>
      <c r="E892" s="2" t="n">
        <v>46311.62430555555</v>
      </c>
      <c r="F892" t="inlineStr">
        <is>
          <t>M1</t>
        </is>
      </c>
      <c r="G892" t="inlineStr">
        <is>
          <t>C2</t>
        </is>
      </c>
      <c r="H892" s="2" t="n">
        <v>46309.73263888889</v>
      </c>
      <c r="I892" s="2" t="n">
        <v>46310.59930555556</v>
      </c>
      <c r="J892" t="inlineStr">
        <is>
          <t>Completed</t>
        </is>
      </c>
      <c r="K892" t="n">
        <v>6.39</v>
      </c>
      <c r="L892" t="n">
        <v>16</v>
      </c>
      <c r="M892" t="b">
        <v>0</v>
      </c>
      <c r="N892" t="n">
        <v>0</v>
      </c>
      <c r="O892" t="b">
        <v>1</v>
      </c>
      <c r="P892" t="b">
        <v>0</v>
      </c>
      <c r="Q892" t="b">
        <v>1</v>
      </c>
    </row>
    <row r="893">
      <c r="A893" t="inlineStr">
        <is>
          <t>REQ00892</t>
        </is>
      </c>
      <c r="B893" t="inlineStr">
        <is>
          <t>724500DPQ4QDGE5XUF58</t>
        </is>
      </c>
      <c r="C893" t="inlineStr">
        <is>
          <t>data_amendment</t>
        </is>
      </c>
      <c r="D893" s="2" t="n">
        <v>46309.71111111111</v>
      </c>
      <c r="E893" s="2" t="n">
        <v>46310.66944444444</v>
      </c>
      <c r="F893" t="inlineStr">
        <is>
          <t>M4</t>
        </is>
      </c>
      <c r="G893" t="inlineStr">
        <is>
          <t>C1</t>
        </is>
      </c>
      <c r="H893" s="2" t="n">
        <v>46309.72083333333</v>
      </c>
      <c r="I893" s="2" t="n">
        <v>46309.72847222222</v>
      </c>
      <c r="J893" t="inlineStr">
        <is>
          <t>Completed</t>
        </is>
      </c>
      <c r="K893" t="n">
        <v>0.42</v>
      </c>
      <c r="L893" t="n">
        <v>8</v>
      </c>
      <c r="M893" t="b">
        <v>0</v>
      </c>
      <c r="N893" t="n">
        <v>0</v>
      </c>
      <c r="O893" t="b">
        <v>1</v>
      </c>
      <c r="P893" t="b">
        <v>0</v>
      </c>
      <c r="Q893" t="b">
        <v>0</v>
      </c>
    </row>
    <row r="894">
      <c r="A894" t="inlineStr">
        <is>
          <t>REQ00893</t>
        </is>
      </c>
      <c r="B894" t="inlineStr">
        <is>
          <t>335800WQSOXS6FYE2885</t>
        </is>
      </c>
      <c r="C894" t="inlineStr">
        <is>
          <t>document_refresh</t>
        </is>
      </c>
      <c r="D894" s="2" t="n">
        <v>46309.71111111111</v>
      </c>
      <c r="E894" s="2" t="n">
        <v>46311.46111111111</v>
      </c>
      <c r="F894" t="inlineStr">
        <is>
          <t>M6</t>
        </is>
      </c>
      <c r="G894" t="inlineStr">
        <is>
          <t>C3</t>
        </is>
      </c>
      <c r="H894" s="2" t="n">
        <v>46309.72847222222</v>
      </c>
      <c r="I894" s="2" t="n">
        <v>46309.73402777778</v>
      </c>
      <c r="J894" t="inlineStr">
        <is>
          <t>Completed</t>
        </is>
      </c>
      <c r="K894" t="n">
        <v>0.55</v>
      </c>
      <c r="L894" t="n">
        <v>12</v>
      </c>
      <c r="M894" t="b">
        <v>0</v>
      </c>
      <c r="N894" t="n">
        <v>0</v>
      </c>
      <c r="O894" t="b">
        <v>1</v>
      </c>
      <c r="P894" t="b">
        <v>0</v>
      </c>
      <c r="Q894" t="b">
        <v>0</v>
      </c>
    </row>
    <row r="895">
      <c r="A895" t="inlineStr">
        <is>
          <t>REQ00894</t>
        </is>
      </c>
      <c r="B895" t="inlineStr">
        <is>
          <t>984500B42DD62A4EED23</t>
        </is>
      </c>
      <c r="C895" t="inlineStr">
        <is>
          <t>new_account</t>
        </is>
      </c>
      <c r="D895" s="2" t="n">
        <v>46309.71527777778</v>
      </c>
      <c r="E895" s="2" t="n">
        <v>46311.63194444445</v>
      </c>
      <c r="F895" t="inlineStr">
        <is>
          <t>M3</t>
        </is>
      </c>
      <c r="G895" t="inlineStr">
        <is>
          <t>C1</t>
        </is>
      </c>
      <c r="H895" s="2" t="n">
        <v>46310.37638888889</v>
      </c>
      <c r="I895" s="2" t="n">
        <v>46310.59513888889</v>
      </c>
      <c r="J895" t="inlineStr">
        <is>
          <t>Completed</t>
        </is>
      </c>
      <c r="K895" t="n">
        <v>6.12</v>
      </c>
      <c r="L895" t="n">
        <v>16</v>
      </c>
      <c r="M895" t="b">
        <v>0</v>
      </c>
      <c r="N895" t="n">
        <v>0</v>
      </c>
      <c r="O895" t="b">
        <v>1</v>
      </c>
      <c r="P895" t="b">
        <v>0</v>
      </c>
      <c r="Q895" t="b">
        <v>1</v>
      </c>
    </row>
    <row r="896">
      <c r="A896" t="inlineStr">
        <is>
          <t>REQ00895</t>
        </is>
      </c>
      <c r="B896" t="inlineStr">
        <is>
          <t>549300CJO05UV84T0Q39</t>
        </is>
      </c>
      <c r="C896" t="inlineStr">
        <is>
          <t>data_amendment</t>
        </is>
      </c>
      <c r="D896" s="2" t="n">
        <v>46309.71944444445</v>
      </c>
      <c r="E896" s="2" t="n">
        <v>46310.67777777778</v>
      </c>
      <c r="F896" t="inlineStr">
        <is>
          <t>M4</t>
        </is>
      </c>
      <c r="G896" t="inlineStr">
        <is>
          <t>C3</t>
        </is>
      </c>
      <c r="H896" s="2" t="n">
        <v>46309.72847222222</v>
      </c>
      <c r="I896" s="2" t="n">
        <v>46310.59791666667</v>
      </c>
      <c r="J896" t="inlineStr">
        <is>
          <t>Completed</t>
        </is>
      </c>
      <c r="K896" t="n">
        <v>6.08</v>
      </c>
      <c r="L896" t="n">
        <v>8</v>
      </c>
      <c r="M896" t="b">
        <v>0</v>
      </c>
      <c r="N896" t="n">
        <v>0</v>
      </c>
      <c r="O896" t="b">
        <v>1</v>
      </c>
      <c r="P896" t="b">
        <v>0</v>
      </c>
      <c r="Q896" t="b">
        <v>1</v>
      </c>
    </row>
    <row r="897">
      <c r="A897" t="inlineStr">
        <is>
          <t>REQ00896</t>
        </is>
      </c>
      <c r="B897" t="inlineStr">
        <is>
          <t>549300SIRCRYSRYZSX24</t>
        </is>
      </c>
      <c r="C897" t="inlineStr">
        <is>
          <t>document_refresh</t>
        </is>
      </c>
      <c r="D897" s="2" t="n">
        <v>46309.71944444445</v>
      </c>
      <c r="E897" s="2" t="n">
        <v>46311.46944444445</v>
      </c>
      <c r="F897" t="inlineStr">
        <is>
          <t>M2</t>
        </is>
      </c>
      <c r="G897" t="inlineStr">
        <is>
          <t>C2</t>
        </is>
      </c>
      <c r="H897" s="2" t="n">
        <v>46309.73888888889</v>
      </c>
      <c r="I897" s="2" t="n">
        <v>46309.74305555555</v>
      </c>
      <c r="J897" t="inlineStr">
        <is>
          <t>Completed</t>
        </is>
      </c>
      <c r="K897" t="n">
        <v>0.57</v>
      </c>
      <c r="L897" t="n">
        <v>12</v>
      </c>
      <c r="M897" t="b">
        <v>0</v>
      </c>
      <c r="N897" t="n">
        <v>0</v>
      </c>
      <c r="O897" t="b">
        <v>1</v>
      </c>
      <c r="P897" t="b">
        <v>0</v>
      </c>
      <c r="Q897" t="b">
        <v>0</v>
      </c>
    </row>
    <row r="898">
      <c r="A898" t="inlineStr">
        <is>
          <t>REQ00897</t>
        </is>
      </c>
      <c r="B898" t="inlineStr">
        <is>
          <t>529900INJH495QGU3G96</t>
        </is>
      </c>
      <c r="C898" t="inlineStr">
        <is>
          <t>signatory_change</t>
        </is>
      </c>
      <c r="D898" s="2" t="n">
        <v>46309.72152777778</v>
      </c>
      <c r="E898" s="2" t="n">
        <v>46310.67986111111</v>
      </c>
      <c r="F898" t="inlineStr">
        <is>
          <t>M4</t>
        </is>
      </c>
      <c r="G898" t="inlineStr">
        <is>
          <t>C3</t>
        </is>
      </c>
      <c r="H898" s="2" t="n">
        <v>46309.74375</v>
      </c>
      <c r="I898" s="2" t="n">
        <v>46310.60555555556</v>
      </c>
      <c r="J898" t="inlineStr">
        <is>
          <t>Completed</t>
        </is>
      </c>
      <c r="K898" t="n">
        <v>6.22</v>
      </c>
      <c r="L898" t="n">
        <v>8</v>
      </c>
      <c r="M898" t="b">
        <v>0</v>
      </c>
      <c r="N898" t="n">
        <v>0</v>
      </c>
      <c r="O898" t="b">
        <v>1</v>
      </c>
      <c r="P898" t="b">
        <v>0</v>
      </c>
      <c r="Q898" t="b">
        <v>1</v>
      </c>
    </row>
    <row r="899">
      <c r="A899" t="inlineStr">
        <is>
          <t>REQ00898</t>
        </is>
      </c>
      <c r="B899" t="inlineStr">
        <is>
          <t>549300RN8L4LTRDYWQ88</t>
        </is>
      </c>
      <c r="C899" t="inlineStr">
        <is>
          <t>document_refresh</t>
        </is>
      </c>
      <c r="D899" s="2" t="n">
        <v>46309.72291666667</v>
      </c>
      <c r="E899" s="2" t="n">
        <v>46311.47291666667</v>
      </c>
      <c r="F899" t="inlineStr">
        <is>
          <t>M6</t>
        </is>
      </c>
      <c r="G899" t="inlineStr">
        <is>
          <t>C3</t>
        </is>
      </c>
      <c r="H899" s="2" t="n">
        <v>46309.74236111111</v>
      </c>
      <c r="I899" s="2" t="n">
        <v>46310.62361111111</v>
      </c>
      <c r="J899" t="inlineStr">
        <is>
          <t>Completed</t>
        </is>
      </c>
      <c r="K899" t="n">
        <v>6.62</v>
      </c>
      <c r="L899" t="n">
        <v>12</v>
      </c>
      <c r="M899" t="b">
        <v>0</v>
      </c>
      <c r="N899" t="n">
        <v>1</v>
      </c>
      <c r="O899" t="b">
        <v>0</v>
      </c>
      <c r="P899" t="b">
        <v>1</v>
      </c>
      <c r="Q899" t="b">
        <v>1</v>
      </c>
    </row>
    <row r="900">
      <c r="A900" t="inlineStr">
        <is>
          <t>REQ00899</t>
        </is>
      </c>
      <c r="B900" t="inlineStr">
        <is>
          <t>254900SMO79K30RIBE87</t>
        </is>
      </c>
      <c r="C900" t="inlineStr">
        <is>
          <t>document_refresh</t>
        </is>
      </c>
      <c r="D900" s="2" t="n">
        <v>46309.72569444445</v>
      </c>
      <c r="E900" s="2" t="n">
        <v>46311.47569444445</v>
      </c>
      <c r="F900" t="inlineStr">
        <is>
          <t>M5</t>
        </is>
      </c>
      <c r="G900" t="inlineStr">
        <is>
          <t>C1</t>
        </is>
      </c>
      <c r="H900" s="2" t="n">
        <v>46309.74652777778</v>
      </c>
      <c r="I900" s="2" t="n">
        <v>46310.59930555556</v>
      </c>
      <c r="J900" t="inlineStr">
        <is>
          <t>Completed</t>
        </is>
      </c>
      <c r="K900" t="n">
        <v>5.97</v>
      </c>
      <c r="L900" t="n">
        <v>12</v>
      </c>
      <c r="M900" t="b">
        <v>0</v>
      </c>
      <c r="N900" t="n">
        <v>0</v>
      </c>
      <c r="O900" t="b">
        <v>1</v>
      </c>
      <c r="P900" t="b">
        <v>0</v>
      </c>
      <c r="Q900" t="b">
        <v>1</v>
      </c>
    </row>
    <row r="901">
      <c r="A901" t="inlineStr">
        <is>
          <t>REQ00900</t>
        </is>
      </c>
      <c r="B901" t="inlineStr">
        <is>
          <t>33580081CPNRUWQGJM29</t>
        </is>
      </c>
      <c r="C901" t="inlineStr">
        <is>
          <t>new_account</t>
        </is>
      </c>
      <c r="D901" s="2" t="n">
        <v>46309.72777777778</v>
      </c>
      <c r="E901" s="2" t="n">
        <v>46311.64444444444</v>
      </c>
      <c r="F901" t="inlineStr">
        <is>
          <t>M1</t>
        </is>
      </c>
      <c r="G901" t="inlineStr">
        <is>
          <t>C2</t>
        </is>
      </c>
      <c r="H901" s="2" t="n">
        <v>46310.38194444445</v>
      </c>
      <c r="I901" s="2" t="n">
        <v>46310.39097222222</v>
      </c>
      <c r="J901" t="inlineStr">
        <is>
          <t>Completed</t>
        </is>
      </c>
      <c r="K901" t="n">
        <v>0.91</v>
      </c>
      <c r="L901" t="n">
        <v>16</v>
      </c>
      <c r="M901" t="b">
        <v>0</v>
      </c>
      <c r="N901" t="n">
        <v>0</v>
      </c>
      <c r="O901" t="b">
        <v>1</v>
      </c>
      <c r="P901" t="b">
        <v>0</v>
      </c>
      <c r="Q901" t="b">
        <v>0</v>
      </c>
    </row>
    <row r="902">
      <c r="A902" t="inlineStr">
        <is>
          <t>REQ00901</t>
        </is>
      </c>
      <c r="B902" t="inlineStr">
        <is>
          <t>254900JVGYNAC7RGAQ22</t>
        </is>
      </c>
      <c r="C902" t="inlineStr">
        <is>
          <t>signatory_change</t>
        </is>
      </c>
      <c r="D902" s="2" t="n">
        <v>46309.73402777778</v>
      </c>
      <c r="E902" s="2" t="n">
        <v>46310.69236111111</v>
      </c>
      <c r="F902" t="inlineStr">
        <is>
          <t>M2</t>
        </is>
      </c>
      <c r="G902" t="inlineStr">
        <is>
          <t>C3</t>
        </is>
      </c>
      <c r="H902" s="2" t="n">
        <v>46310.38680555556</v>
      </c>
      <c r="I902" s="2" t="n">
        <v>46310.39305555556</v>
      </c>
      <c r="J902" t="inlineStr">
        <is>
          <t>Completed</t>
        </is>
      </c>
      <c r="K902" t="n">
        <v>0.82</v>
      </c>
      <c r="L902" t="n">
        <v>8</v>
      </c>
      <c r="M902" t="b">
        <v>0</v>
      </c>
      <c r="N902" t="n">
        <v>0</v>
      </c>
      <c r="O902" t="b">
        <v>1</v>
      </c>
      <c r="P902" t="b">
        <v>0</v>
      </c>
      <c r="Q902" t="b">
        <v>0</v>
      </c>
    </row>
    <row r="903">
      <c r="A903" t="inlineStr">
        <is>
          <t>REQ00902</t>
        </is>
      </c>
      <c r="B903" t="inlineStr">
        <is>
          <t>5067005L4XFOB3X70265</t>
        </is>
      </c>
      <c r="C903" t="inlineStr">
        <is>
          <t>document_refresh</t>
        </is>
      </c>
      <c r="D903" s="2" t="n">
        <v>46309.74097222222</v>
      </c>
      <c r="E903" s="2" t="n">
        <v>46311.49097222222</v>
      </c>
      <c r="F903" t="inlineStr">
        <is>
          <t>M6</t>
        </is>
      </c>
      <c r="G903" t="inlineStr">
        <is>
          <t>C2</t>
        </is>
      </c>
      <c r="H903" s="2" t="n">
        <v>46310.38125</v>
      </c>
      <c r="I903" s="2" t="n">
        <v>46310.58333333334</v>
      </c>
      <c r="J903" t="inlineStr">
        <is>
          <t>Completed</t>
        </is>
      </c>
      <c r="K903" t="n">
        <v>5.22</v>
      </c>
      <c r="L903" t="n">
        <v>12</v>
      </c>
      <c r="M903" t="b">
        <v>0</v>
      </c>
      <c r="N903" t="n">
        <v>0</v>
      </c>
      <c r="O903" t="b">
        <v>1</v>
      </c>
      <c r="P903" t="b">
        <v>0</v>
      </c>
      <c r="Q903" t="b">
        <v>1</v>
      </c>
    </row>
    <row r="904">
      <c r="A904" t="inlineStr">
        <is>
          <t>REQ00903</t>
        </is>
      </c>
      <c r="B904" t="inlineStr">
        <is>
          <t>6354004DSP1ZL6TWKJ10</t>
        </is>
      </c>
      <c r="C904" t="inlineStr">
        <is>
          <t>document_refresh</t>
        </is>
      </c>
      <c r="D904" s="2" t="n">
        <v>46309.74375</v>
      </c>
      <c r="E904" s="2" t="n">
        <v>46311.49375</v>
      </c>
      <c r="F904" t="inlineStr">
        <is>
          <t>M4</t>
        </is>
      </c>
      <c r="G904" t="inlineStr">
        <is>
          <t>C3</t>
        </is>
      </c>
      <c r="H904" s="2" t="n">
        <v>46310.38194444445</v>
      </c>
      <c r="I904" s="2" t="n">
        <v>46310.39861111111</v>
      </c>
      <c r="J904" t="inlineStr">
        <is>
          <t>Completed</t>
        </is>
      </c>
      <c r="K904" t="n">
        <v>0.71</v>
      </c>
      <c r="L904" t="n">
        <v>12</v>
      </c>
      <c r="M904" t="b">
        <v>0</v>
      </c>
      <c r="N904" t="n">
        <v>1</v>
      </c>
      <c r="O904" t="b">
        <v>0</v>
      </c>
      <c r="P904" t="b">
        <v>1</v>
      </c>
      <c r="Q904" t="b">
        <v>0</v>
      </c>
    </row>
    <row r="905">
      <c r="A905" t="inlineStr">
        <is>
          <t>REQ00904</t>
        </is>
      </c>
      <c r="B905" t="inlineStr">
        <is>
          <t>9695005OWLW5FHAKOT32</t>
        </is>
      </c>
      <c r="C905" t="inlineStr">
        <is>
          <t>signatory_change</t>
        </is>
      </c>
      <c r="D905" s="2" t="n">
        <v>46309.74513888889</v>
      </c>
      <c r="E905" s="2" t="n">
        <v>46310.70347222222</v>
      </c>
      <c r="F905" t="inlineStr">
        <is>
          <t>M5</t>
        </is>
      </c>
      <c r="G905" t="inlineStr">
        <is>
          <t>C2</t>
        </is>
      </c>
      <c r="H905" s="2" t="n">
        <v>46310.38958333333</v>
      </c>
      <c r="I905" s="2" t="n">
        <v>46310.39652777778</v>
      </c>
      <c r="J905" t="inlineStr">
        <is>
          <t>Completed</t>
        </is>
      </c>
      <c r="K905" t="n">
        <v>0.64</v>
      </c>
      <c r="L905" t="n">
        <v>8</v>
      </c>
      <c r="M905" t="b">
        <v>0</v>
      </c>
      <c r="N905" t="n">
        <v>0</v>
      </c>
      <c r="O905" t="b">
        <v>1</v>
      </c>
      <c r="P905" t="b">
        <v>0</v>
      </c>
      <c r="Q905" t="b">
        <v>0</v>
      </c>
    </row>
    <row r="906">
      <c r="A906" t="inlineStr">
        <is>
          <t>REQ00905</t>
        </is>
      </c>
      <c r="B906" t="inlineStr">
        <is>
          <t>5493006N8SZ3GWNKL555</t>
        </is>
      </c>
      <c r="C906" t="inlineStr">
        <is>
          <t>document_refresh</t>
        </is>
      </c>
      <c r="D906" s="2" t="n">
        <v>46309.74583333333</v>
      </c>
      <c r="E906" s="2" t="n">
        <v>46311.49583333333</v>
      </c>
      <c r="F906" t="inlineStr">
        <is>
          <t>M3</t>
        </is>
      </c>
      <c r="G906" t="inlineStr">
        <is>
          <t>C1</t>
        </is>
      </c>
      <c r="H906" s="2" t="n">
        <v>46310.38819444444</v>
      </c>
      <c r="I906" s="2" t="n">
        <v>46310.39513888889</v>
      </c>
      <c r="J906" t="inlineStr">
        <is>
          <t>Completed</t>
        </is>
      </c>
      <c r="K906" t="n">
        <v>0.58</v>
      </c>
      <c r="L906" t="n">
        <v>12</v>
      </c>
      <c r="M906" t="b">
        <v>0</v>
      </c>
      <c r="N906" t="n">
        <v>0</v>
      </c>
      <c r="O906" t="b">
        <v>1</v>
      </c>
      <c r="P906" t="b">
        <v>0</v>
      </c>
      <c r="Q906" t="b">
        <v>0</v>
      </c>
    </row>
    <row r="907">
      <c r="A907" t="inlineStr">
        <is>
          <t>REQ00906</t>
        </is>
      </c>
      <c r="B907" t="inlineStr">
        <is>
          <t>5493005I22KD2ZSNAH20</t>
        </is>
      </c>
      <c r="C907" t="inlineStr">
        <is>
          <t>signatory_change</t>
        </is>
      </c>
      <c r="D907" s="2" t="n">
        <v>46309.74791666667</v>
      </c>
      <c r="E907" s="2" t="n">
        <v>46310.70625</v>
      </c>
      <c r="F907" t="inlineStr">
        <is>
          <t>M6</t>
        </is>
      </c>
      <c r="G907" t="inlineStr">
        <is>
          <t>C1</t>
        </is>
      </c>
      <c r="H907" s="2" t="n">
        <v>46310.39861111111</v>
      </c>
      <c r="I907" s="2" t="n">
        <v>46310.40763888889</v>
      </c>
      <c r="J907" t="inlineStr">
        <is>
          <t>Completed</t>
        </is>
      </c>
      <c r="K907" t="n">
        <v>0.83</v>
      </c>
      <c r="L907" t="n">
        <v>8</v>
      </c>
      <c r="M907" t="b">
        <v>0</v>
      </c>
      <c r="N907" t="n">
        <v>0</v>
      </c>
      <c r="O907" t="b">
        <v>1</v>
      </c>
      <c r="P907" t="b">
        <v>0</v>
      </c>
      <c r="Q907" t="b">
        <v>0</v>
      </c>
    </row>
    <row r="908">
      <c r="A908" t="inlineStr">
        <is>
          <t>REQ00907</t>
        </is>
      </c>
      <c r="B908" t="inlineStr">
        <is>
          <t>5493000CRJL3Z3HNDN62</t>
        </is>
      </c>
      <c r="C908" t="inlineStr">
        <is>
          <t>document_refresh</t>
        </is>
      </c>
      <c r="D908" s="2" t="n">
        <v>46310.375</v>
      </c>
      <c r="E908" s="2" t="n">
        <v>46311.5</v>
      </c>
      <c r="F908" t="inlineStr">
        <is>
          <t>M1</t>
        </is>
      </c>
      <c r="G908" t="inlineStr">
        <is>
          <t>C2</t>
        </is>
      </c>
      <c r="H908" s="2" t="n">
        <v>46310.39861111111</v>
      </c>
      <c r="I908" s="2" t="n">
        <v>46310.52361111111</v>
      </c>
      <c r="J908" t="inlineStr">
        <is>
          <t>Completed</t>
        </is>
      </c>
      <c r="K908" t="n">
        <v>3.57</v>
      </c>
      <c r="L908" t="n">
        <v>12</v>
      </c>
      <c r="M908" t="b">
        <v>0</v>
      </c>
      <c r="N908" t="n">
        <v>0</v>
      </c>
      <c r="O908" t="b">
        <v>1</v>
      </c>
      <c r="P908" t="b">
        <v>0</v>
      </c>
      <c r="Q908" t="b">
        <v>1</v>
      </c>
    </row>
    <row r="909">
      <c r="A909" t="inlineStr">
        <is>
          <t>REQ00908</t>
        </is>
      </c>
      <c r="B909" t="inlineStr">
        <is>
          <t>335800SG3SVKPRF49862</t>
        </is>
      </c>
      <c r="C909" t="inlineStr">
        <is>
          <t>data_amendment</t>
        </is>
      </c>
      <c r="D909" s="2" t="n">
        <v>46310.37916666667</v>
      </c>
      <c r="E909" s="2" t="n">
        <v>46310.7125</v>
      </c>
      <c r="F909" t="inlineStr">
        <is>
          <t>M4</t>
        </is>
      </c>
      <c r="G909" t="inlineStr">
        <is>
          <t>C3</t>
        </is>
      </c>
      <c r="H909" s="2" t="n">
        <v>46310.39097222222</v>
      </c>
      <c r="I909" s="2" t="n">
        <v>46310.39652777778</v>
      </c>
      <c r="J909" t="inlineStr">
        <is>
          <t>Completed</t>
        </is>
      </c>
      <c r="K909" t="n">
        <v>0.42</v>
      </c>
      <c r="L909" t="n">
        <v>8</v>
      </c>
      <c r="M909" t="b">
        <v>0</v>
      </c>
      <c r="N909" t="n">
        <v>0</v>
      </c>
      <c r="O909" t="b">
        <v>1</v>
      </c>
      <c r="P909" t="b">
        <v>0</v>
      </c>
      <c r="Q909" t="b">
        <v>0</v>
      </c>
    </row>
    <row r="910">
      <c r="A910" t="inlineStr">
        <is>
          <t>REQ00909</t>
        </is>
      </c>
      <c r="B910" t="inlineStr">
        <is>
          <t>529900NQZ0XHH18AN764</t>
        </is>
      </c>
      <c r="C910" t="inlineStr">
        <is>
          <t>signatory_change</t>
        </is>
      </c>
      <c r="D910" s="2" t="n">
        <v>46310.38819444444</v>
      </c>
      <c r="E910" s="2" t="n">
        <v>46310.72152777778</v>
      </c>
      <c r="F910" t="inlineStr">
        <is>
          <t>M2</t>
        </is>
      </c>
      <c r="G910" t="inlineStr">
        <is>
          <t>C1</t>
        </is>
      </c>
      <c r="H910" s="2" t="n">
        <v>46310.40763888889</v>
      </c>
      <c r="I910" s="2" t="n">
        <v>46310.41319444445</v>
      </c>
      <c r="J910" t="inlineStr">
        <is>
          <t>Completed</t>
        </is>
      </c>
      <c r="K910" t="n">
        <v>0.6</v>
      </c>
      <c r="L910" t="n">
        <v>8</v>
      </c>
      <c r="M910" t="b">
        <v>0</v>
      </c>
      <c r="N910" t="n">
        <v>0</v>
      </c>
      <c r="O910" t="b">
        <v>1</v>
      </c>
      <c r="P910" t="b">
        <v>0</v>
      </c>
      <c r="Q910" t="b">
        <v>0</v>
      </c>
    </row>
    <row r="911">
      <c r="A911" t="inlineStr">
        <is>
          <t>REQ00910</t>
        </is>
      </c>
      <c r="B911" t="inlineStr">
        <is>
          <t>3358008SGXSLKYQV7U84</t>
        </is>
      </c>
      <c r="C911" t="inlineStr">
        <is>
          <t>new_account</t>
        </is>
      </c>
      <c r="D911" s="2" t="n">
        <v>46310.38819444444</v>
      </c>
      <c r="E911" s="2" t="n">
        <v>46311.67986111111</v>
      </c>
      <c r="F911" t="inlineStr">
        <is>
          <t>M3</t>
        </is>
      </c>
      <c r="G911" t="inlineStr">
        <is>
          <t>C2</t>
        </is>
      </c>
      <c r="H911" s="2" t="n">
        <v>46310.42013888889</v>
      </c>
      <c r="I911" s="2" t="n">
        <v>46310.45347222222</v>
      </c>
      <c r="J911" t="inlineStr">
        <is>
          <t>Completed</t>
        </is>
      </c>
      <c r="K911" t="n">
        <v>1.57</v>
      </c>
      <c r="L911" t="n">
        <v>16</v>
      </c>
      <c r="M911" t="b">
        <v>0</v>
      </c>
      <c r="N911" t="n">
        <v>1</v>
      </c>
      <c r="O911" t="b">
        <v>0</v>
      </c>
      <c r="P911" t="b">
        <v>1</v>
      </c>
      <c r="Q911" t="b">
        <v>0</v>
      </c>
    </row>
    <row r="912">
      <c r="A912" t="inlineStr">
        <is>
          <t>REQ00911</t>
        </is>
      </c>
      <c r="B912" t="inlineStr">
        <is>
          <t>529900ISNB2ZLHCDRP85</t>
        </is>
      </c>
      <c r="C912" t="inlineStr">
        <is>
          <t>document_refresh</t>
        </is>
      </c>
      <c r="D912" s="2" t="n">
        <v>46310.38888888889</v>
      </c>
      <c r="E912" s="2" t="n">
        <v>46311.51388888889</v>
      </c>
      <c r="F912" t="inlineStr">
        <is>
          <t>M5</t>
        </is>
      </c>
      <c r="G912" t="inlineStr">
        <is>
          <t>C2</t>
        </is>
      </c>
      <c r="H912" s="2" t="n">
        <v>46310.40069444444</v>
      </c>
      <c r="I912" s="2" t="n">
        <v>46310.40763888889</v>
      </c>
      <c r="J912" t="inlineStr">
        <is>
          <t>Completed</t>
        </is>
      </c>
      <c r="K912" t="n">
        <v>0.44</v>
      </c>
      <c r="L912" t="n">
        <v>12</v>
      </c>
      <c r="M912" t="b">
        <v>0</v>
      </c>
      <c r="N912" t="n">
        <v>0</v>
      </c>
      <c r="O912" t="b">
        <v>1</v>
      </c>
      <c r="P912" t="b">
        <v>0</v>
      </c>
      <c r="Q912" t="b">
        <v>0</v>
      </c>
    </row>
    <row r="913">
      <c r="A913" t="inlineStr">
        <is>
          <t>REQ00912</t>
        </is>
      </c>
      <c r="B913" t="inlineStr">
        <is>
          <t>5067001791TY5K663T15</t>
        </is>
      </c>
      <c r="C913" t="inlineStr">
        <is>
          <t>document_refresh</t>
        </is>
      </c>
      <c r="D913" s="2" t="n">
        <v>46310.39861111111</v>
      </c>
      <c r="E913" s="2" t="n">
        <v>46311.52361111111</v>
      </c>
      <c r="F913" t="inlineStr">
        <is>
          <t>M4</t>
        </is>
      </c>
      <c r="G913" t="inlineStr">
        <is>
          <t>C1</t>
        </is>
      </c>
      <c r="H913" s="2" t="n">
        <v>46310.41666666666</v>
      </c>
      <c r="I913" s="2" t="n">
        <v>46310.42291666667</v>
      </c>
      <c r="J913" t="inlineStr">
        <is>
          <t>Completed</t>
        </is>
      </c>
      <c r="K913" t="n">
        <v>0.58</v>
      </c>
      <c r="L913" t="n">
        <v>12</v>
      </c>
      <c r="M913" t="b">
        <v>0</v>
      </c>
      <c r="N913" t="n">
        <v>0</v>
      </c>
      <c r="O913" t="b">
        <v>1</v>
      </c>
      <c r="P913" t="b">
        <v>0</v>
      </c>
      <c r="Q913" t="b">
        <v>0</v>
      </c>
    </row>
    <row r="914">
      <c r="A914" t="inlineStr">
        <is>
          <t>REQ00913</t>
        </is>
      </c>
      <c r="B914" t="inlineStr">
        <is>
          <t>724500N9A5KV5DGR1C42</t>
        </is>
      </c>
      <c r="C914" t="inlineStr">
        <is>
          <t>data_amendment</t>
        </is>
      </c>
      <c r="D914" s="2" t="n">
        <v>46310.39861111111</v>
      </c>
      <c r="E914" s="2" t="n">
        <v>46310.73194444444</v>
      </c>
      <c r="F914" t="inlineStr">
        <is>
          <t>M1</t>
        </is>
      </c>
      <c r="G914" t="inlineStr">
        <is>
          <t>C2</t>
        </is>
      </c>
      <c r="H914" s="2" t="n">
        <v>46310.41041666667</v>
      </c>
      <c r="I914" s="2" t="n">
        <v>46310.41527777778</v>
      </c>
      <c r="J914" t="inlineStr">
        <is>
          <t>Completed</t>
        </is>
      </c>
      <c r="K914" t="n">
        <v>0.39</v>
      </c>
      <c r="L914" t="n">
        <v>8</v>
      </c>
      <c r="M914" t="b">
        <v>0</v>
      </c>
      <c r="N914" t="n">
        <v>0</v>
      </c>
      <c r="O914" t="b">
        <v>1</v>
      </c>
      <c r="P914" t="b">
        <v>0</v>
      </c>
      <c r="Q914" t="b">
        <v>0</v>
      </c>
    </row>
    <row r="915">
      <c r="A915" t="inlineStr">
        <is>
          <t>REQ00914</t>
        </is>
      </c>
      <c r="B915" t="inlineStr">
        <is>
          <t>529900TZ36JMEVRLVK72</t>
        </is>
      </c>
      <c r="C915" t="inlineStr">
        <is>
          <t>signatory_change</t>
        </is>
      </c>
      <c r="D915" s="2" t="n">
        <v>46310.39930555555</v>
      </c>
      <c r="E915" s="2" t="n">
        <v>46310.73263888889</v>
      </c>
      <c r="F915" t="inlineStr">
        <is>
          <t>M6</t>
        </is>
      </c>
      <c r="G915" t="inlineStr">
        <is>
          <t>C1</t>
        </is>
      </c>
      <c r="H915" s="2" t="n">
        <v>46310.42152777778</v>
      </c>
      <c r="I915" s="2" t="n">
        <v>46310.62083333333</v>
      </c>
      <c r="J915" t="inlineStr">
        <is>
          <t>Completed</t>
        </is>
      </c>
      <c r="K915" t="n">
        <v>5.32</v>
      </c>
      <c r="L915" t="n">
        <v>8</v>
      </c>
      <c r="M915" t="b">
        <v>0</v>
      </c>
      <c r="N915" t="n">
        <v>0</v>
      </c>
      <c r="O915" t="b">
        <v>1</v>
      </c>
      <c r="P915" t="b">
        <v>0</v>
      </c>
      <c r="Q915" t="b">
        <v>1</v>
      </c>
    </row>
    <row r="916">
      <c r="A916" t="inlineStr">
        <is>
          <t>REQ00915</t>
        </is>
      </c>
      <c r="B916" t="inlineStr">
        <is>
          <t>549300PM8W8PKERUC713</t>
        </is>
      </c>
      <c r="C916" t="inlineStr">
        <is>
          <t>signatory_change</t>
        </is>
      </c>
      <c r="D916" s="2" t="n">
        <v>46310.40138888889</v>
      </c>
      <c r="E916" s="2" t="n">
        <v>46310.73472222222</v>
      </c>
      <c r="F916" t="inlineStr">
        <is>
          <t>M5</t>
        </is>
      </c>
      <c r="G916" t="inlineStr">
        <is>
          <t>C1</t>
        </is>
      </c>
      <c r="H916" s="2" t="n">
        <v>46310.42638888889</v>
      </c>
      <c r="I916" s="2" t="n">
        <v>46310.63958333333</v>
      </c>
      <c r="J916" t="inlineStr">
        <is>
          <t>Completed</t>
        </is>
      </c>
      <c r="K916" t="n">
        <v>5.72</v>
      </c>
      <c r="L916" t="n">
        <v>8</v>
      </c>
      <c r="M916" t="b">
        <v>0</v>
      </c>
      <c r="N916" t="n">
        <v>0</v>
      </c>
      <c r="O916" t="b">
        <v>1</v>
      </c>
      <c r="P916" t="b">
        <v>0</v>
      </c>
      <c r="Q916" t="b">
        <v>1</v>
      </c>
    </row>
    <row r="917">
      <c r="A917" t="inlineStr">
        <is>
          <t>REQ00916</t>
        </is>
      </c>
      <c r="B917" t="inlineStr">
        <is>
          <t>7245006QT2CYKHAF9341</t>
        </is>
      </c>
      <c r="C917" t="inlineStr">
        <is>
          <t>new_account</t>
        </is>
      </c>
      <c r="D917" s="2" t="n">
        <v>46310.40694444445</v>
      </c>
      <c r="E917" s="2" t="n">
        <v>46311.69861111111</v>
      </c>
      <c r="F917" t="inlineStr">
        <is>
          <t>M2</t>
        </is>
      </c>
      <c r="G917" t="inlineStr">
        <is>
          <t>C1</t>
        </is>
      </c>
      <c r="H917" s="2" t="n">
        <v>46310.44583333333</v>
      </c>
      <c r="I917" s="2" t="n">
        <v>46310.45486111111</v>
      </c>
      <c r="J917" t="inlineStr">
        <is>
          <t>Completed</t>
        </is>
      </c>
      <c r="K917" t="n">
        <v>1.15</v>
      </c>
      <c r="L917" t="n">
        <v>16</v>
      </c>
      <c r="M917" t="b">
        <v>0</v>
      </c>
      <c r="N917" t="n">
        <v>0</v>
      </c>
      <c r="O917" t="b">
        <v>1</v>
      </c>
      <c r="P917" t="b">
        <v>0</v>
      </c>
      <c r="Q917" t="b">
        <v>0</v>
      </c>
    </row>
    <row r="918">
      <c r="A918" t="inlineStr">
        <is>
          <t>REQ00917</t>
        </is>
      </c>
      <c r="B918" t="inlineStr">
        <is>
          <t>391200JI7ZW5AS3LVM15</t>
        </is>
      </c>
      <c r="C918" t="inlineStr">
        <is>
          <t>data_amendment</t>
        </is>
      </c>
      <c r="D918" s="2" t="n">
        <v>46310.40763888889</v>
      </c>
      <c r="E918" s="2" t="n">
        <v>46310.74097222222</v>
      </c>
      <c r="F918" t="inlineStr">
        <is>
          <t>M1</t>
        </is>
      </c>
      <c r="G918" t="inlineStr">
        <is>
          <t>C3</t>
        </is>
      </c>
      <c r="H918" s="2" t="n">
        <v>46310.42222222222</v>
      </c>
      <c r="I918" s="2" t="n">
        <v>46310.42638888889</v>
      </c>
      <c r="J918" t="inlineStr">
        <is>
          <t>Completed</t>
        </is>
      </c>
      <c r="K918" t="n">
        <v>0.45</v>
      </c>
      <c r="L918" t="n">
        <v>8</v>
      </c>
      <c r="M918" t="b">
        <v>0</v>
      </c>
      <c r="N918" t="n">
        <v>0</v>
      </c>
      <c r="O918" t="b">
        <v>1</v>
      </c>
      <c r="P918" t="b">
        <v>0</v>
      </c>
      <c r="Q918" t="b">
        <v>0</v>
      </c>
    </row>
    <row r="919">
      <c r="A919" t="inlineStr">
        <is>
          <t>REQ00918</t>
        </is>
      </c>
      <c r="B919" t="inlineStr">
        <is>
          <t>549300XNUT1MRWPMPF75</t>
        </is>
      </c>
      <c r="C919" t="inlineStr">
        <is>
          <t>document_refresh</t>
        </is>
      </c>
      <c r="D919" s="2" t="n">
        <v>46310.41111111111</v>
      </c>
      <c r="E919" s="2" t="n">
        <v>46311.53611111111</v>
      </c>
      <c r="F919" t="inlineStr">
        <is>
          <t>M4</t>
        </is>
      </c>
      <c r="G919" t="inlineStr">
        <is>
          <t>C1</t>
        </is>
      </c>
      <c r="H919" s="2" t="n">
        <v>46310.43263888889</v>
      </c>
      <c r="I919" s="2" t="n">
        <v>46310.55138888889</v>
      </c>
      <c r="J919" t="inlineStr">
        <is>
          <t>Completed</t>
        </is>
      </c>
      <c r="K919" t="n">
        <v>3.37</v>
      </c>
      <c r="L919" t="n">
        <v>12</v>
      </c>
      <c r="M919" t="b">
        <v>0</v>
      </c>
      <c r="N919" t="n">
        <v>0</v>
      </c>
      <c r="O919" t="b">
        <v>1</v>
      </c>
      <c r="P919" t="b">
        <v>0</v>
      </c>
      <c r="Q919" t="b">
        <v>1</v>
      </c>
    </row>
    <row r="920">
      <c r="A920" t="inlineStr">
        <is>
          <t>REQ00919</t>
        </is>
      </c>
      <c r="B920" t="inlineStr">
        <is>
          <t>894500F7U7DDAIJEKT87</t>
        </is>
      </c>
      <c r="C920" t="inlineStr">
        <is>
          <t>data_amendment</t>
        </is>
      </c>
      <c r="D920" s="2" t="n">
        <v>46310.42430555556</v>
      </c>
      <c r="E920" s="2" t="n">
        <v>46311.38263888889</v>
      </c>
      <c r="F920" t="inlineStr">
        <is>
          <t>M3</t>
        </is>
      </c>
      <c r="G920" t="inlineStr">
        <is>
          <t>C3</t>
        </is>
      </c>
      <c r="H920" s="2" t="n">
        <v>46310.43611111111</v>
      </c>
      <c r="I920" s="2" t="n">
        <v>46310.61666666667</v>
      </c>
      <c r="J920" t="inlineStr">
        <is>
          <t>Completed</t>
        </is>
      </c>
      <c r="K920" t="n">
        <v>4.61</v>
      </c>
      <c r="L920" t="n">
        <v>8</v>
      </c>
      <c r="M920" t="b">
        <v>0</v>
      </c>
      <c r="N920" t="n">
        <v>0</v>
      </c>
      <c r="O920" t="b">
        <v>1</v>
      </c>
      <c r="P920" t="b">
        <v>0</v>
      </c>
      <c r="Q920" t="b">
        <v>1</v>
      </c>
    </row>
    <row r="921">
      <c r="A921" t="inlineStr">
        <is>
          <t>REQ00920</t>
        </is>
      </c>
      <c r="B921" t="inlineStr">
        <is>
          <t>549300Z0KQ2XBQ8YOU95</t>
        </is>
      </c>
      <c r="C921" t="inlineStr">
        <is>
          <t>document_refresh</t>
        </is>
      </c>
      <c r="D921" s="2" t="n">
        <v>46310.42569444444</v>
      </c>
      <c r="E921" s="2" t="n">
        <v>46311.55069444444</v>
      </c>
      <c r="F921" t="inlineStr">
        <is>
          <t>M6</t>
        </is>
      </c>
      <c r="G921" t="inlineStr">
        <is>
          <t>C3</t>
        </is>
      </c>
      <c r="H921" s="2" t="n">
        <v>46310.44097222222</v>
      </c>
      <c r="I921" s="2" t="n">
        <v>46310.44791666666</v>
      </c>
      <c r="J921" t="inlineStr">
        <is>
          <t>Completed</t>
        </is>
      </c>
      <c r="K921" t="n">
        <v>0.53</v>
      </c>
      <c r="L921" t="n">
        <v>12</v>
      </c>
      <c r="M921" t="b">
        <v>0</v>
      </c>
      <c r="N921" t="n">
        <v>0</v>
      </c>
      <c r="O921" t="b">
        <v>1</v>
      </c>
      <c r="P921" t="b">
        <v>0</v>
      </c>
      <c r="Q921" t="b">
        <v>0</v>
      </c>
    </row>
    <row r="922">
      <c r="A922" t="inlineStr">
        <is>
          <t>REQ00921</t>
        </is>
      </c>
      <c r="B922" t="inlineStr">
        <is>
          <t>529900IC3AEM7RJ2IW71</t>
        </is>
      </c>
      <c r="C922" t="inlineStr">
        <is>
          <t>document_refresh</t>
        </is>
      </c>
      <c r="D922" s="2" t="n">
        <v>46310.42638888889</v>
      </c>
      <c r="E922" s="2" t="n">
        <v>46311.55138888889</v>
      </c>
      <c r="F922" t="inlineStr">
        <is>
          <t>M1</t>
        </is>
      </c>
      <c r="G922" t="inlineStr">
        <is>
          <t>C2</t>
        </is>
      </c>
      <c r="H922" s="2" t="n">
        <v>46310.43958333333</v>
      </c>
      <c r="I922" s="2" t="n">
        <v>46310.55138888889</v>
      </c>
      <c r="J922" t="inlineStr">
        <is>
          <t>Completed</t>
        </is>
      </c>
      <c r="K922" t="n">
        <v>3</v>
      </c>
      <c r="L922" t="n">
        <v>12</v>
      </c>
      <c r="M922" t="b">
        <v>0</v>
      </c>
      <c r="N922" t="n">
        <v>0</v>
      </c>
      <c r="O922" t="b">
        <v>1</v>
      </c>
      <c r="P922" t="b">
        <v>0</v>
      </c>
      <c r="Q922" t="b">
        <v>1</v>
      </c>
    </row>
    <row r="923">
      <c r="A923" t="inlineStr">
        <is>
          <t>REQ00922</t>
        </is>
      </c>
      <c r="B923" t="inlineStr">
        <is>
          <t>213800HH23BMPNB8B364</t>
        </is>
      </c>
      <c r="C923" t="inlineStr">
        <is>
          <t>new_account</t>
        </is>
      </c>
      <c r="D923" s="2" t="n">
        <v>46310.42986111111</v>
      </c>
      <c r="E923" s="2" t="n">
        <v>46311.72152777778</v>
      </c>
      <c r="F923" t="inlineStr">
        <is>
          <t>M5</t>
        </is>
      </c>
      <c r="G923" t="inlineStr">
        <is>
          <t>C2</t>
        </is>
      </c>
      <c r="H923" s="2" t="n">
        <v>46310.46527777778</v>
      </c>
      <c r="I923" s="2" t="n">
        <v>46310.62291666667</v>
      </c>
      <c r="J923" t="inlineStr">
        <is>
          <t>Completed</t>
        </is>
      </c>
      <c r="K923" t="n">
        <v>4.63</v>
      </c>
      <c r="L923" t="n">
        <v>16</v>
      </c>
      <c r="M923" t="b">
        <v>0</v>
      </c>
      <c r="N923" t="n">
        <v>0</v>
      </c>
      <c r="O923" t="b">
        <v>1</v>
      </c>
      <c r="P923" t="b">
        <v>0</v>
      </c>
      <c r="Q923" t="b">
        <v>1</v>
      </c>
    </row>
    <row r="924">
      <c r="A924" t="inlineStr">
        <is>
          <t>REQ00923</t>
        </is>
      </c>
      <c r="B924" t="inlineStr">
        <is>
          <t>984500NCB5BB8EF72J76</t>
        </is>
      </c>
      <c r="C924" t="inlineStr">
        <is>
          <t>data_amendment</t>
        </is>
      </c>
      <c r="D924" s="2" t="n">
        <v>46310.43194444444</v>
      </c>
      <c r="E924" s="2" t="n">
        <v>46311.39027777778</v>
      </c>
      <c r="F924" t="inlineStr">
        <is>
          <t>M4</t>
        </is>
      </c>
      <c r="G924" t="inlineStr">
        <is>
          <t>C2</t>
        </is>
      </c>
      <c r="H924" s="2" t="n">
        <v>46310.44513888889</v>
      </c>
      <c r="I924" s="2" t="n">
        <v>46310.45</v>
      </c>
      <c r="J924" t="inlineStr">
        <is>
          <t>Completed</t>
        </is>
      </c>
      <c r="K924" t="n">
        <v>0.44</v>
      </c>
      <c r="L924" t="n">
        <v>8</v>
      </c>
      <c r="M924" t="b">
        <v>0</v>
      </c>
      <c r="N924" t="n">
        <v>0</v>
      </c>
      <c r="O924" t="b">
        <v>1</v>
      </c>
      <c r="P924" t="b">
        <v>0</v>
      </c>
      <c r="Q924" t="b">
        <v>0</v>
      </c>
    </row>
    <row r="925">
      <c r="A925" t="inlineStr">
        <is>
          <t>REQ00924</t>
        </is>
      </c>
      <c r="B925" t="inlineStr">
        <is>
          <t>254900F6ARDCL7ARWM98</t>
        </is>
      </c>
      <c r="C925" t="inlineStr">
        <is>
          <t>document_refresh</t>
        </is>
      </c>
      <c r="D925" s="2" t="n">
        <v>46310.4375</v>
      </c>
      <c r="E925" s="2" t="n">
        <v>46311.5625</v>
      </c>
      <c r="F925" t="inlineStr">
        <is>
          <t>M3</t>
        </is>
      </c>
      <c r="G925" t="inlineStr">
        <is>
          <t>C3</t>
        </is>
      </c>
      <c r="H925" s="2" t="n">
        <v>46310.45</v>
      </c>
      <c r="I925" s="2" t="n">
        <v>46310.55138888889</v>
      </c>
      <c r="J925" t="inlineStr">
        <is>
          <t>Completed</t>
        </is>
      </c>
      <c r="K925" t="n">
        <v>2.74</v>
      </c>
      <c r="L925" t="n">
        <v>12</v>
      </c>
      <c r="M925" t="b">
        <v>0</v>
      </c>
      <c r="N925" t="n">
        <v>0</v>
      </c>
      <c r="O925" t="b">
        <v>1</v>
      </c>
      <c r="P925" t="b">
        <v>0</v>
      </c>
      <c r="Q925" t="b">
        <v>1</v>
      </c>
    </row>
    <row r="926">
      <c r="A926" t="inlineStr">
        <is>
          <t>REQ00925</t>
        </is>
      </c>
      <c r="B926" t="inlineStr">
        <is>
          <t>213800SR5Z341N9PX134</t>
        </is>
      </c>
      <c r="C926" t="inlineStr">
        <is>
          <t>new_account</t>
        </is>
      </c>
      <c r="D926" s="2" t="n">
        <v>46310.43888888889</v>
      </c>
      <c r="E926" s="2" t="n">
        <v>46311.73055555556</v>
      </c>
      <c r="F926" t="inlineStr">
        <is>
          <t>M1</t>
        </is>
      </c>
      <c r="G926" t="inlineStr">
        <is>
          <t>C1</t>
        </is>
      </c>
      <c r="H926" s="2" t="n">
        <v>46310.46805555555</v>
      </c>
      <c r="I926" s="2" t="n">
        <v>46310.48125</v>
      </c>
      <c r="J926" t="inlineStr">
        <is>
          <t>Completed</t>
        </is>
      </c>
      <c r="K926" t="n">
        <v>1.01</v>
      </c>
      <c r="L926" t="n">
        <v>16</v>
      </c>
      <c r="M926" t="b">
        <v>0</v>
      </c>
      <c r="N926" t="n">
        <v>0</v>
      </c>
      <c r="O926" t="b">
        <v>1</v>
      </c>
      <c r="P926" t="b">
        <v>0</v>
      </c>
      <c r="Q926" t="b">
        <v>0</v>
      </c>
    </row>
    <row r="927">
      <c r="A927" t="inlineStr">
        <is>
          <t>REQ00926</t>
        </is>
      </c>
      <c r="B927" t="inlineStr">
        <is>
          <t>335800T8VNJBH7X6AO38</t>
        </is>
      </c>
      <c r="C927" t="inlineStr">
        <is>
          <t>document_refresh</t>
        </is>
      </c>
      <c r="D927" s="2" t="n">
        <v>46310.44097222222</v>
      </c>
      <c r="E927" s="2" t="n">
        <v>46311.56597222222</v>
      </c>
      <c r="F927" t="inlineStr">
        <is>
          <t>M6</t>
        </is>
      </c>
      <c r="G927" t="inlineStr">
        <is>
          <t>C2</t>
        </is>
      </c>
      <c r="H927" s="2" t="n">
        <v>46310.45902777778</v>
      </c>
      <c r="I927" s="2" t="n">
        <v>46310.60972222222</v>
      </c>
      <c r="J927" t="inlineStr">
        <is>
          <t>Completed</t>
        </is>
      </c>
      <c r="K927" t="n">
        <v>4.05</v>
      </c>
      <c r="L927" t="n">
        <v>12</v>
      </c>
      <c r="M927" t="b">
        <v>0</v>
      </c>
      <c r="N927" t="n">
        <v>0</v>
      </c>
      <c r="O927" t="b">
        <v>1</v>
      </c>
      <c r="P927" t="b">
        <v>0</v>
      </c>
      <c r="Q927" t="b">
        <v>1</v>
      </c>
    </row>
    <row r="928">
      <c r="A928" t="inlineStr">
        <is>
          <t>REQ00927</t>
        </is>
      </c>
      <c r="B928" t="inlineStr">
        <is>
          <t>549300L76JKBBOTPWM06</t>
        </is>
      </c>
      <c r="C928" t="inlineStr">
        <is>
          <t>data_amendment</t>
        </is>
      </c>
      <c r="D928" s="2" t="n">
        <v>46310.44513888889</v>
      </c>
      <c r="E928" s="2" t="n">
        <v>46311.40347222222</v>
      </c>
      <c r="F928" t="inlineStr">
        <is>
          <t>M4</t>
        </is>
      </c>
      <c r="G928" t="inlineStr">
        <is>
          <t>C3</t>
        </is>
      </c>
      <c r="H928" s="2" t="n">
        <v>46310.45625</v>
      </c>
      <c r="I928" s="2" t="n">
        <v>46310.61944444444</v>
      </c>
      <c r="J928" t="inlineStr">
        <is>
          <t>Completed</t>
        </is>
      </c>
      <c r="K928" t="n">
        <v>4.18</v>
      </c>
      <c r="L928" t="n">
        <v>8</v>
      </c>
      <c r="M928" t="b">
        <v>0</v>
      </c>
      <c r="N928" t="n">
        <v>0</v>
      </c>
      <c r="O928" t="b">
        <v>1</v>
      </c>
      <c r="P928" t="b">
        <v>0</v>
      </c>
      <c r="Q928" t="b">
        <v>1</v>
      </c>
    </row>
    <row r="929">
      <c r="A929" t="inlineStr">
        <is>
          <t>REQ00928</t>
        </is>
      </c>
      <c r="B929" t="inlineStr">
        <is>
          <t>724500HDHVJHCVJMLT90</t>
        </is>
      </c>
      <c r="C929" t="inlineStr">
        <is>
          <t>new_account</t>
        </is>
      </c>
      <c r="D929" s="2" t="n">
        <v>46310.44722222222</v>
      </c>
      <c r="E929" s="2" t="n">
        <v>46311.73888888889</v>
      </c>
      <c r="F929" t="inlineStr">
        <is>
          <t>M2</t>
        </is>
      </c>
      <c r="G929" t="inlineStr">
        <is>
          <t>C2</t>
        </is>
      </c>
      <c r="H929" s="2" t="n">
        <v>46310.47638888889</v>
      </c>
      <c r="I929" s="2" t="n">
        <v>46310.48888888889</v>
      </c>
      <c r="J929" t="inlineStr">
        <is>
          <t>Completed</t>
        </is>
      </c>
      <c r="K929" t="n">
        <v>0.99</v>
      </c>
      <c r="L929" t="n">
        <v>16</v>
      </c>
      <c r="M929" t="b">
        <v>0</v>
      </c>
      <c r="N929" t="n">
        <v>0</v>
      </c>
      <c r="O929" t="b">
        <v>1</v>
      </c>
      <c r="P929" t="b">
        <v>0</v>
      </c>
      <c r="Q929" t="b">
        <v>0</v>
      </c>
    </row>
    <row r="930">
      <c r="A930" t="inlineStr">
        <is>
          <t>REQ00929</t>
        </is>
      </c>
      <c r="B930" t="inlineStr">
        <is>
          <t>7245003AS4PI5KTSE787</t>
        </is>
      </c>
      <c r="C930" t="inlineStr">
        <is>
          <t>document_refresh</t>
        </is>
      </c>
      <c r="D930" s="2" t="n">
        <v>46310.44861111111</v>
      </c>
      <c r="E930" s="2" t="n">
        <v>46311.57361111111</v>
      </c>
      <c r="F930" t="inlineStr">
        <is>
          <t>M3</t>
        </is>
      </c>
      <c r="G930" t="inlineStr">
        <is>
          <t>C3</t>
        </is>
      </c>
      <c r="H930" s="2" t="n">
        <v>46310.46388888889</v>
      </c>
      <c r="I930" s="2" t="n">
        <v>46310.63402777778</v>
      </c>
      <c r="J930" t="inlineStr">
        <is>
          <t>Completed</t>
        </is>
      </c>
      <c r="K930" t="n">
        <v>4.45</v>
      </c>
      <c r="L930" t="n">
        <v>12</v>
      </c>
      <c r="M930" t="b">
        <v>0</v>
      </c>
      <c r="N930" t="n">
        <v>0</v>
      </c>
      <c r="O930" t="b">
        <v>1</v>
      </c>
      <c r="P930" t="b">
        <v>0</v>
      </c>
      <c r="Q930" t="b">
        <v>1</v>
      </c>
    </row>
    <row r="931">
      <c r="A931" t="inlineStr">
        <is>
          <t>REQ00930</t>
        </is>
      </c>
      <c r="B931" t="inlineStr">
        <is>
          <t>549300ABQY94SENB1K38</t>
        </is>
      </c>
      <c r="C931" t="inlineStr">
        <is>
          <t>document_refresh</t>
        </is>
      </c>
      <c r="D931" s="2" t="n">
        <v>46310.45902777778</v>
      </c>
      <c r="E931" s="2" t="n">
        <v>46311.58402777778</v>
      </c>
      <c r="F931" t="inlineStr">
        <is>
          <t>M4</t>
        </is>
      </c>
      <c r="G931" t="inlineStr">
        <is>
          <t>C2</t>
        </is>
      </c>
      <c r="H931" s="2" t="n">
        <v>46310.475</v>
      </c>
      <c r="I931" s="2" t="n">
        <v>46310.64097222222</v>
      </c>
      <c r="J931" t="inlineStr">
        <is>
          <t>Completed</t>
        </is>
      </c>
      <c r="K931" t="n">
        <v>4.36</v>
      </c>
      <c r="L931" t="n">
        <v>12</v>
      </c>
      <c r="M931" t="b">
        <v>0</v>
      </c>
      <c r="N931" t="n">
        <v>0</v>
      </c>
      <c r="O931" t="b">
        <v>1</v>
      </c>
      <c r="P931" t="b">
        <v>0</v>
      </c>
      <c r="Q931" t="b">
        <v>1</v>
      </c>
    </row>
    <row r="932">
      <c r="A932" t="inlineStr">
        <is>
          <t>REQ00931</t>
        </is>
      </c>
      <c r="B932" t="inlineStr">
        <is>
          <t>724500AC0H81GCUEQE37</t>
        </is>
      </c>
      <c r="C932" t="inlineStr">
        <is>
          <t>data_amendment</t>
        </is>
      </c>
      <c r="D932" s="2" t="n">
        <v>46310.4625</v>
      </c>
      <c r="E932" s="2" t="n">
        <v>46311.42083333333</v>
      </c>
      <c r="F932" t="inlineStr">
        <is>
          <t>M6</t>
        </is>
      </c>
      <c r="G932" t="inlineStr">
        <is>
          <t>C1</t>
        </is>
      </c>
      <c r="H932" s="2" t="n">
        <v>46310.47569444445</v>
      </c>
      <c r="I932" s="2" t="n">
        <v>46310.72708333333</v>
      </c>
      <c r="J932" t="inlineStr">
        <is>
          <t>Completed</t>
        </is>
      </c>
      <c r="K932" t="n">
        <v>6.36</v>
      </c>
      <c r="L932" t="n">
        <v>8</v>
      </c>
      <c r="M932" t="b">
        <v>0</v>
      </c>
      <c r="N932" t="n">
        <v>0</v>
      </c>
      <c r="O932" t="b">
        <v>1</v>
      </c>
      <c r="P932" t="b">
        <v>0</v>
      </c>
      <c r="Q932" t="b">
        <v>1</v>
      </c>
    </row>
    <row r="933">
      <c r="A933" t="inlineStr">
        <is>
          <t>REQ00932</t>
        </is>
      </c>
      <c r="B933" t="inlineStr">
        <is>
          <t>969500FRDBXYHI7OYR27</t>
        </is>
      </c>
      <c r="C933" t="inlineStr">
        <is>
          <t>document_refresh</t>
        </is>
      </c>
      <c r="D933" s="2" t="n">
        <v>46310.46319444444</v>
      </c>
      <c r="E933" s="2" t="n">
        <v>46311.58819444444</v>
      </c>
      <c r="F933" t="inlineStr">
        <is>
          <t>M3</t>
        </is>
      </c>
      <c r="G933" t="inlineStr">
        <is>
          <t>C1</t>
        </is>
      </c>
      <c r="H933" s="2" t="n">
        <v>46310.47708333333</v>
      </c>
      <c r="I933" s="2" t="n">
        <v>46310.6125</v>
      </c>
      <c r="J933" t="inlineStr">
        <is>
          <t>Completed</t>
        </is>
      </c>
      <c r="K933" t="n">
        <v>3.58</v>
      </c>
      <c r="L933" t="n">
        <v>12</v>
      </c>
      <c r="M933" t="b">
        <v>0</v>
      </c>
      <c r="N933" t="n">
        <v>0</v>
      </c>
      <c r="O933" t="b">
        <v>1</v>
      </c>
      <c r="P933" t="b">
        <v>0</v>
      </c>
      <c r="Q933" t="b">
        <v>1</v>
      </c>
    </row>
    <row r="934">
      <c r="A934" t="inlineStr">
        <is>
          <t>REQ00933</t>
        </is>
      </c>
      <c r="B934" t="inlineStr">
        <is>
          <t>724500WAJ5PHBI5HPD68</t>
        </is>
      </c>
      <c r="C934" t="inlineStr">
        <is>
          <t>document_refresh</t>
        </is>
      </c>
      <c r="D934" s="2" t="n">
        <v>46310.47152777778</v>
      </c>
      <c r="E934" s="2" t="n">
        <v>46311.59652777778</v>
      </c>
      <c r="F934" t="inlineStr">
        <is>
          <t>M5</t>
        </is>
      </c>
      <c r="G934" t="inlineStr">
        <is>
          <t>C1</t>
        </is>
      </c>
      <c r="H934" s="2" t="n">
        <v>46310.48194444444</v>
      </c>
      <c r="I934" s="2" t="n">
        <v>46310.48819444444</v>
      </c>
      <c r="J934" t="inlineStr">
        <is>
          <t>Completed</t>
        </is>
      </c>
      <c r="K934" t="n">
        <v>0.4</v>
      </c>
      <c r="L934" t="n">
        <v>12</v>
      </c>
      <c r="M934" t="b">
        <v>0</v>
      </c>
      <c r="N934" t="n">
        <v>0</v>
      </c>
      <c r="O934" t="b">
        <v>1</v>
      </c>
      <c r="P934" t="b">
        <v>0</v>
      </c>
      <c r="Q934" t="b">
        <v>0</v>
      </c>
    </row>
    <row r="935">
      <c r="A935" t="inlineStr">
        <is>
          <t>REQ00934</t>
        </is>
      </c>
      <c r="B935" t="inlineStr">
        <is>
          <t>9845005EB5F555CE0154</t>
        </is>
      </c>
      <c r="C935" t="inlineStr">
        <is>
          <t>new_account</t>
        </is>
      </c>
      <c r="D935" s="2" t="n">
        <v>46310.47222222222</v>
      </c>
      <c r="E935" s="2" t="n">
        <v>46314.38888888889</v>
      </c>
      <c r="F935" t="inlineStr">
        <is>
          <t>M1</t>
        </is>
      </c>
      <c r="G935" t="inlineStr">
        <is>
          <t>C2</t>
        </is>
      </c>
      <c r="H935" s="2" t="n">
        <v>46310.5</v>
      </c>
      <c r="I935" s="2" t="n">
        <v>46310.51041666666</v>
      </c>
      <c r="J935" t="inlineStr">
        <is>
          <t>Completed</t>
        </is>
      </c>
      <c r="K935" t="n">
        <v>0.92</v>
      </c>
      <c r="L935" t="n">
        <v>16</v>
      </c>
      <c r="M935" t="b">
        <v>0</v>
      </c>
      <c r="N935" t="n">
        <v>0</v>
      </c>
      <c r="O935" t="b">
        <v>1</v>
      </c>
      <c r="P935" t="b">
        <v>0</v>
      </c>
      <c r="Q935" t="b">
        <v>0</v>
      </c>
    </row>
    <row r="936">
      <c r="A936" t="inlineStr">
        <is>
          <t>REQ00935</t>
        </is>
      </c>
      <c r="B936" t="inlineStr">
        <is>
          <t>335800RY4RDTEVY8GZ46</t>
        </is>
      </c>
      <c r="C936" t="inlineStr">
        <is>
          <t>data_amendment</t>
        </is>
      </c>
      <c r="D936" s="2" t="n">
        <v>46310.475</v>
      </c>
      <c r="E936" s="2" t="n">
        <v>46311.43333333333</v>
      </c>
      <c r="F936" t="inlineStr">
        <is>
          <t>M4</t>
        </is>
      </c>
      <c r="G936" t="inlineStr">
        <is>
          <t>C1</t>
        </is>
      </c>
      <c r="H936" s="2" t="n">
        <v>46310.48611111111</v>
      </c>
      <c r="I936" s="2" t="n">
        <v>46310.49166666667</v>
      </c>
      <c r="J936" t="inlineStr">
        <is>
          <t>Completed</t>
        </is>
      </c>
      <c r="K936" t="n">
        <v>0.39</v>
      </c>
      <c r="L936" t="n">
        <v>8</v>
      </c>
      <c r="M936" t="b">
        <v>0</v>
      </c>
      <c r="N936" t="n">
        <v>0</v>
      </c>
      <c r="O936" t="b">
        <v>1</v>
      </c>
      <c r="P936" t="b">
        <v>0</v>
      </c>
      <c r="Q936" t="b">
        <v>0</v>
      </c>
    </row>
    <row r="937">
      <c r="A937" t="inlineStr">
        <is>
          <t>REQ00936</t>
        </is>
      </c>
      <c r="B937" t="inlineStr">
        <is>
          <t>969500E997LBWCC5O529</t>
        </is>
      </c>
      <c r="C937" t="inlineStr">
        <is>
          <t>signatory_change</t>
        </is>
      </c>
      <c r="D937" s="2" t="n">
        <v>46310.47847222222</v>
      </c>
      <c r="E937" s="2" t="n">
        <v>46311.43680555555</v>
      </c>
      <c r="F937" t="inlineStr">
        <is>
          <t>M6</t>
        </is>
      </c>
      <c r="G937" t="inlineStr">
        <is>
          <t>C3</t>
        </is>
      </c>
      <c r="H937" s="2" t="n">
        <v>46310.50138888889</v>
      </c>
      <c r="I937" s="2" t="n">
        <v>46310.50902777778</v>
      </c>
      <c r="J937" t="inlineStr">
        <is>
          <t>Completed</t>
        </is>
      </c>
      <c r="K937" t="n">
        <v>0.74</v>
      </c>
      <c r="L937" t="n">
        <v>8</v>
      </c>
      <c r="M937" t="b">
        <v>0</v>
      </c>
      <c r="N937" t="n">
        <v>0</v>
      </c>
      <c r="O937" t="b">
        <v>1</v>
      </c>
      <c r="P937" t="b">
        <v>0</v>
      </c>
      <c r="Q937" t="b">
        <v>0</v>
      </c>
    </row>
    <row r="938">
      <c r="A938" t="inlineStr">
        <is>
          <t>REQ00937</t>
        </is>
      </c>
      <c r="B938" t="inlineStr">
        <is>
          <t>724500HAAA278T5D2Z34</t>
        </is>
      </c>
      <c r="C938" t="inlineStr">
        <is>
          <t>document_refresh</t>
        </is>
      </c>
      <c r="D938" s="2" t="n">
        <v>46310.48055555556</v>
      </c>
      <c r="E938" s="2" t="n">
        <v>46311.60555555556</v>
      </c>
      <c r="F938" t="inlineStr">
        <is>
          <t>M2</t>
        </is>
      </c>
      <c r="G938" t="inlineStr">
        <is>
          <t>C3</t>
        </is>
      </c>
      <c r="H938" s="2" t="n">
        <v>46310.49097222222</v>
      </c>
      <c r="I938" s="2" t="n">
        <v>46310.65416666667</v>
      </c>
      <c r="J938" t="inlineStr">
        <is>
          <t>Completed</t>
        </is>
      </c>
      <c r="K938" t="n">
        <v>4.17</v>
      </c>
      <c r="L938" t="n">
        <v>12</v>
      </c>
      <c r="M938" t="b">
        <v>0</v>
      </c>
      <c r="N938" t="n">
        <v>0</v>
      </c>
      <c r="O938" t="b">
        <v>1</v>
      </c>
      <c r="P938" t="b">
        <v>0</v>
      </c>
      <c r="Q938" t="b">
        <v>1</v>
      </c>
    </row>
    <row r="939">
      <c r="A939" t="inlineStr">
        <is>
          <t>REQ00938</t>
        </is>
      </c>
      <c r="B939" t="inlineStr">
        <is>
          <t>213800UJQI8CMHRDGE61</t>
        </is>
      </c>
      <c r="C939" t="inlineStr">
        <is>
          <t>document_refresh</t>
        </is>
      </c>
      <c r="D939" s="2" t="n">
        <v>46310.48194444444</v>
      </c>
      <c r="E939" s="2" t="n">
        <v>46311.60694444444</v>
      </c>
      <c r="F939" t="inlineStr">
        <is>
          <t>M3</t>
        </is>
      </c>
      <c r="G939" t="inlineStr">
        <is>
          <t>C2</t>
        </is>
      </c>
      <c r="H939" s="2" t="n">
        <v>46310.49930555555</v>
      </c>
      <c r="I939" s="2" t="n">
        <v>46310.69513888889</v>
      </c>
      <c r="J939" t="inlineStr">
        <is>
          <t>Completed</t>
        </is>
      </c>
      <c r="K939" t="n">
        <v>5.11</v>
      </c>
      <c r="L939" t="n">
        <v>12</v>
      </c>
      <c r="M939" t="b">
        <v>0</v>
      </c>
      <c r="N939" t="n">
        <v>0</v>
      </c>
      <c r="O939" t="b">
        <v>1</v>
      </c>
      <c r="P939" t="b">
        <v>0</v>
      </c>
      <c r="Q939" t="b">
        <v>1</v>
      </c>
    </row>
    <row r="940">
      <c r="A940" t="inlineStr">
        <is>
          <t>REQ00939</t>
        </is>
      </c>
      <c r="B940" t="inlineStr">
        <is>
          <t>5493007M7G6N4ZE5PA56</t>
        </is>
      </c>
      <c r="C940" t="inlineStr">
        <is>
          <t>document_refresh</t>
        </is>
      </c>
      <c r="D940" s="2" t="n">
        <v>46310.48680555556</v>
      </c>
      <c r="E940" s="2" t="n">
        <v>46311.61180555556</v>
      </c>
      <c r="F940" t="inlineStr">
        <is>
          <t>M5</t>
        </is>
      </c>
      <c r="G940" t="inlineStr">
        <is>
          <t>C1</t>
        </is>
      </c>
      <c r="H940" s="2" t="n">
        <v>46310.50347222222</v>
      </c>
      <c r="I940" s="2" t="n">
        <v>46310.74583333333</v>
      </c>
      <c r="J940" t="inlineStr">
        <is>
          <t>Completed</t>
        </is>
      </c>
      <c r="K940" t="n">
        <v>6.21</v>
      </c>
      <c r="L940" t="n">
        <v>12</v>
      </c>
      <c r="M940" t="b">
        <v>0</v>
      </c>
      <c r="N940" t="n">
        <v>0</v>
      </c>
      <c r="O940" t="b">
        <v>1</v>
      </c>
      <c r="P940" t="b">
        <v>0</v>
      </c>
      <c r="Q940" t="b">
        <v>1</v>
      </c>
    </row>
    <row r="941">
      <c r="A941" t="inlineStr">
        <is>
          <t>REQ00940</t>
        </is>
      </c>
      <c r="B941" t="inlineStr">
        <is>
          <t>335800LEK4S2YFYHRL49</t>
        </is>
      </c>
      <c r="C941" t="inlineStr">
        <is>
          <t>new_account</t>
        </is>
      </c>
      <c r="D941" s="2" t="n">
        <v>46310.49930555555</v>
      </c>
      <c r="E941" s="2" t="n">
        <v>46314.41597222222</v>
      </c>
      <c r="F941" t="inlineStr">
        <is>
          <t>M4</t>
        </is>
      </c>
      <c r="G941" t="inlineStr">
        <is>
          <t>C1</t>
        </is>
      </c>
      <c r="H941" s="2" t="n">
        <v>46310.53055555555</v>
      </c>
      <c r="I941" s="2" t="n">
        <v>46310.53888888889</v>
      </c>
      <c r="J941" t="inlineStr">
        <is>
          <t>Completed</t>
        </is>
      </c>
      <c r="K941" t="n">
        <v>0.95</v>
      </c>
      <c r="L941" t="n">
        <v>16</v>
      </c>
      <c r="M941" t="b">
        <v>0</v>
      </c>
      <c r="N941" t="n">
        <v>0</v>
      </c>
      <c r="O941" t="b">
        <v>1</v>
      </c>
      <c r="P941" t="b">
        <v>0</v>
      </c>
      <c r="Q941" t="b">
        <v>0</v>
      </c>
    </row>
    <row r="942">
      <c r="A942" t="inlineStr">
        <is>
          <t>REQ00941</t>
        </is>
      </c>
      <c r="B942" t="inlineStr">
        <is>
          <t>5493002RRI3FPYB15673</t>
        </is>
      </c>
      <c r="C942" t="inlineStr">
        <is>
          <t>signatory_change</t>
        </is>
      </c>
      <c r="D942" s="2" t="n">
        <v>46310.50694444445</v>
      </c>
      <c r="E942" s="2" t="n">
        <v>46311.46527777778</v>
      </c>
      <c r="F942" t="inlineStr">
        <is>
          <t>M2</t>
        </is>
      </c>
      <c r="G942" t="inlineStr">
        <is>
          <t>C2</t>
        </is>
      </c>
      <c r="H942" s="2" t="n">
        <v>46310.52569444444</v>
      </c>
      <c r="I942" s="2" t="n">
        <v>46310.65069444444</v>
      </c>
      <c r="J942" t="inlineStr">
        <is>
          <t>Completed</t>
        </is>
      </c>
      <c r="K942" t="n">
        <v>3.46</v>
      </c>
      <c r="L942" t="n">
        <v>8</v>
      </c>
      <c r="M942" t="b">
        <v>0</v>
      </c>
      <c r="N942" t="n">
        <v>0</v>
      </c>
      <c r="O942" t="b">
        <v>1</v>
      </c>
      <c r="P942" t="b">
        <v>0</v>
      </c>
      <c r="Q942" t="b">
        <v>1</v>
      </c>
    </row>
    <row r="943">
      <c r="A943" t="inlineStr">
        <is>
          <t>REQ00942</t>
        </is>
      </c>
      <c r="B943" t="inlineStr">
        <is>
          <t>2138007WG4Y81G4B4M40</t>
        </is>
      </c>
      <c r="C943" t="inlineStr">
        <is>
          <t>data_amendment</t>
        </is>
      </c>
      <c r="D943" s="2" t="n">
        <v>46310.50902777778</v>
      </c>
      <c r="E943" s="2" t="n">
        <v>46311.46736111111</v>
      </c>
      <c r="F943" t="inlineStr">
        <is>
          <t>M3</t>
        </is>
      </c>
      <c r="G943" t="inlineStr">
        <is>
          <t>C3</t>
        </is>
      </c>
      <c r="H943" s="2" t="n">
        <v>46310.51944444444</v>
      </c>
      <c r="I943" s="2" t="n">
        <v>46310.62430555555</v>
      </c>
      <c r="J943" t="inlineStr">
        <is>
          <t>Completed</t>
        </is>
      </c>
      <c r="K943" t="n">
        <v>2.76</v>
      </c>
      <c r="L943" t="n">
        <v>8</v>
      </c>
      <c r="M943" t="b">
        <v>0</v>
      </c>
      <c r="N943" t="n">
        <v>0</v>
      </c>
      <c r="O943" t="b">
        <v>1</v>
      </c>
      <c r="P943" t="b">
        <v>0</v>
      </c>
      <c r="Q943" t="b">
        <v>1</v>
      </c>
    </row>
    <row r="944">
      <c r="A944" t="inlineStr">
        <is>
          <t>REQ00943</t>
        </is>
      </c>
      <c r="B944" t="inlineStr">
        <is>
          <t>724500IJ8S6TAXW85N74</t>
        </is>
      </c>
      <c r="C944" t="inlineStr">
        <is>
          <t>document_refresh</t>
        </is>
      </c>
      <c r="D944" s="2" t="n">
        <v>46310.51805555556</v>
      </c>
      <c r="E944" s="2" t="n">
        <v>46311.64305555556</v>
      </c>
      <c r="F944" t="inlineStr">
        <is>
          <t>M1</t>
        </is>
      </c>
      <c r="G944" t="inlineStr">
        <is>
          <t>C2</t>
        </is>
      </c>
      <c r="H944" s="2" t="n">
        <v>46310.53402777778</v>
      </c>
      <c r="I944" s="2" t="n">
        <v>46310.73125</v>
      </c>
      <c r="J944" t="inlineStr">
        <is>
          <t>Completed</t>
        </is>
      </c>
      <c r="K944" t="n">
        <v>5.12</v>
      </c>
      <c r="L944" t="n">
        <v>12</v>
      </c>
      <c r="M944" t="b">
        <v>0</v>
      </c>
      <c r="N944" t="n">
        <v>0</v>
      </c>
      <c r="O944" t="b">
        <v>1</v>
      </c>
      <c r="P944" t="b">
        <v>0</v>
      </c>
      <c r="Q944" t="b">
        <v>1</v>
      </c>
    </row>
    <row r="945">
      <c r="A945" t="inlineStr">
        <is>
          <t>REQ00944</t>
        </is>
      </c>
      <c r="B945" t="inlineStr">
        <is>
          <t>391200S6STAP9FPJSL98</t>
        </is>
      </c>
      <c r="C945" t="inlineStr">
        <is>
          <t>document_refresh</t>
        </is>
      </c>
      <c r="D945" s="2" t="n">
        <v>46310.51875</v>
      </c>
      <c r="E945" s="2" t="n">
        <v>46311.64375</v>
      </c>
      <c r="F945" t="inlineStr">
        <is>
          <t>M6</t>
        </is>
      </c>
      <c r="G945" t="inlineStr">
        <is>
          <t>C3</t>
        </is>
      </c>
      <c r="H945" s="2" t="n">
        <v>46310.53333333333</v>
      </c>
      <c r="I945" s="2" t="n">
        <v>46310.53819444445</v>
      </c>
      <c r="J945" t="inlineStr">
        <is>
          <t>Completed</t>
        </is>
      </c>
      <c r="K945" t="n">
        <v>0.47</v>
      </c>
      <c r="L945" t="n">
        <v>12</v>
      </c>
      <c r="M945" t="b">
        <v>0</v>
      </c>
      <c r="N945" t="n">
        <v>0</v>
      </c>
      <c r="O945" t="b">
        <v>1</v>
      </c>
      <c r="P945" t="b">
        <v>0</v>
      </c>
      <c r="Q945" t="b">
        <v>0</v>
      </c>
    </row>
    <row r="946">
      <c r="A946" t="inlineStr">
        <is>
          <t>REQ00945</t>
        </is>
      </c>
      <c r="B946" t="inlineStr">
        <is>
          <t>724500081TIYKZTH8S62</t>
        </is>
      </c>
      <c r="C946" t="inlineStr">
        <is>
          <t>data_amendment</t>
        </is>
      </c>
      <c r="D946" s="2" t="n">
        <v>46310.52291666667</v>
      </c>
      <c r="E946" s="2" t="n">
        <v>46311.48125</v>
      </c>
      <c r="F946" t="inlineStr">
        <is>
          <t>M5</t>
        </is>
      </c>
      <c r="G946" t="inlineStr">
        <is>
          <t>C2</t>
        </is>
      </c>
      <c r="H946" s="2" t="n">
        <v>46310.53125</v>
      </c>
      <c r="I946" s="2" t="n">
        <v>46310.53541666667</v>
      </c>
      <c r="J946" t="inlineStr">
        <is>
          <t>Completed</t>
        </is>
      </c>
      <c r="K946" t="n">
        <v>0.3</v>
      </c>
      <c r="L946" t="n">
        <v>8</v>
      </c>
      <c r="M946" t="b">
        <v>0</v>
      </c>
      <c r="N946" t="n">
        <v>0</v>
      </c>
      <c r="O946" t="b">
        <v>1</v>
      </c>
      <c r="P946" t="b">
        <v>0</v>
      </c>
      <c r="Q946" t="b">
        <v>0</v>
      </c>
    </row>
    <row r="947">
      <c r="A947" t="inlineStr">
        <is>
          <t>REQ00946</t>
        </is>
      </c>
      <c r="B947" t="inlineStr">
        <is>
          <t>549300RIKISSRSSA0648</t>
        </is>
      </c>
      <c r="C947" t="inlineStr">
        <is>
          <t>document_refresh</t>
        </is>
      </c>
      <c r="D947" s="2" t="n">
        <v>46310.52430555555</v>
      </c>
      <c r="E947" s="2" t="n">
        <v>46311.64930555555</v>
      </c>
      <c r="F947" t="inlineStr">
        <is>
          <t>M3</t>
        </is>
      </c>
      <c r="G947" t="inlineStr">
        <is>
          <t>C2</t>
        </is>
      </c>
      <c r="H947" s="2" t="n">
        <v>46310.54166666666</v>
      </c>
      <c r="I947" s="2" t="n">
        <v>46310.71527777778</v>
      </c>
      <c r="J947" t="inlineStr">
        <is>
          <t>Completed</t>
        </is>
      </c>
      <c r="K947" t="n">
        <v>4.58</v>
      </c>
      <c r="L947" t="n">
        <v>12</v>
      </c>
      <c r="M947" t="b">
        <v>0</v>
      </c>
      <c r="N947" t="n">
        <v>0</v>
      </c>
      <c r="O947" t="b">
        <v>1</v>
      </c>
      <c r="P947" t="b">
        <v>0</v>
      </c>
      <c r="Q947" t="b">
        <v>1</v>
      </c>
    </row>
    <row r="948">
      <c r="A948" t="inlineStr">
        <is>
          <t>REQ00947</t>
        </is>
      </c>
      <c r="B948" t="inlineStr">
        <is>
          <t>969500QHRLYO4VO0KC84</t>
        </is>
      </c>
      <c r="C948" t="inlineStr">
        <is>
          <t>new_account</t>
        </is>
      </c>
      <c r="D948" s="2" t="n">
        <v>46310.52638888889</v>
      </c>
      <c r="E948" s="2" t="n">
        <v>46314.44305555556</v>
      </c>
      <c r="F948" t="inlineStr">
        <is>
          <t>M2</t>
        </is>
      </c>
      <c r="G948" t="inlineStr">
        <is>
          <t>C3</t>
        </is>
      </c>
      <c r="H948" s="2" t="n">
        <v>46310.55763888889</v>
      </c>
      <c r="I948" s="2" t="n">
        <v>46310.73194444444</v>
      </c>
      <c r="J948" t="inlineStr">
        <is>
          <t>Completed</t>
        </is>
      </c>
      <c r="K948" t="n">
        <v>4.94</v>
      </c>
      <c r="L948" t="n">
        <v>16</v>
      </c>
      <c r="M948" t="b">
        <v>0</v>
      </c>
      <c r="N948" t="n">
        <v>1</v>
      </c>
      <c r="O948" t="b">
        <v>0</v>
      </c>
      <c r="P948" t="b">
        <v>1</v>
      </c>
      <c r="Q948" t="b">
        <v>1</v>
      </c>
    </row>
    <row r="949">
      <c r="A949" t="inlineStr">
        <is>
          <t>REQ00948</t>
        </is>
      </c>
      <c r="B949" t="inlineStr">
        <is>
          <t>89450015ENUQXLQKXF96</t>
        </is>
      </c>
      <c r="C949" t="inlineStr">
        <is>
          <t>document_refresh</t>
        </is>
      </c>
      <c r="D949" s="2" t="n">
        <v>46310.52847222222</v>
      </c>
      <c r="E949" s="2" t="n">
        <v>46311.65347222222</v>
      </c>
      <c r="F949" t="inlineStr">
        <is>
          <t>M4</t>
        </is>
      </c>
      <c r="G949" t="inlineStr">
        <is>
          <t>C2</t>
        </is>
      </c>
      <c r="H949" s="2" t="n">
        <v>46310.54236111111</v>
      </c>
      <c r="I949" s="2" t="n">
        <v>46310.54652777778</v>
      </c>
      <c r="J949" t="inlineStr">
        <is>
          <t>Completed</t>
        </is>
      </c>
      <c r="K949" t="n">
        <v>0.44</v>
      </c>
      <c r="L949" t="n">
        <v>12</v>
      </c>
      <c r="M949" t="b">
        <v>0</v>
      </c>
      <c r="N949" t="n">
        <v>0</v>
      </c>
      <c r="O949" t="b">
        <v>1</v>
      </c>
      <c r="P949" t="b">
        <v>0</v>
      </c>
      <c r="Q949" t="b">
        <v>0</v>
      </c>
    </row>
    <row r="950">
      <c r="A950" t="inlineStr">
        <is>
          <t>REQ00949</t>
        </is>
      </c>
      <c r="B950" t="inlineStr">
        <is>
          <t>549300XJEBQG5WGJBZ22</t>
        </is>
      </c>
      <c r="C950" t="inlineStr">
        <is>
          <t>document_refresh</t>
        </is>
      </c>
      <c r="D950" s="2" t="n">
        <v>46310.53541666667</v>
      </c>
      <c r="E950" s="2" t="n">
        <v>46311.66041666667</v>
      </c>
      <c r="F950" t="inlineStr">
        <is>
          <t>M5</t>
        </is>
      </c>
      <c r="G950" t="inlineStr">
        <is>
          <t>C3</t>
        </is>
      </c>
      <c r="H950" s="2" t="n">
        <v>46310.55138888889</v>
      </c>
      <c r="I950" s="2" t="n">
        <v>46311.37847222222</v>
      </c>
      <c r="J950" t="inlineStr">
        <is>
          <t>Completed</t>
        </is>
      </c>
      <c r="K950" t="n">
        <v>5.23</v>
      </c>
      <c r="L950" t="n">
        <v>12</v>
      </c>
      <c r="M950" t="b">
        <v>0</v>
      </c>
      <c r="N950" t="n">
        <v>0</v>
      </c>
      <c r="O950" t="b">
        <v>1</v>
      </c>
      <c r="P950" t="b">
        <v>0</v>
      </c>
      <c r="Q950" t="b">
        <v>1</v>
      </c>
    </row>
    <row r="951">
      <c r="A951" t="inlineStr">
        <is>
          <t>REQ00950</t>
        </is>
      </c>
      <c r="B951" t="inlineStr">
        <is>
          <t>635400G5LSULRHV68O07</t>
        </is>
      </c>
      <c r="C951" t="inlineStr">
        <is>
          <t>signatory_change</t>
        </is>
      </c>
      <c r="D951" s="2" t="n">
        <v>46310.53611111111</v>
      </c>
      <c r="E951" s="2" t="n">
        <v>46311.49444444444</v>
      </c>
      <c r="F951" t="inlineStr">
        <is>
          <t>M6</t>
        </is>
      </c>
      <c r="G951" t="inlineStr">
        <is>
          <t>C2</t>
        </is>
      </c>
      <c r="H951" s="2" t="n">
        <v>46310.55277777778</v>
      </c>
      <c r="I951" s="2" t="n">
        <v>46311.39930555555</v>
      </c>
      <c r="J951" t="inlineStr">
        <is>
          <t>Completed</t>
        </is>
      </c>
      <c r="K951" t="n">
        <v>5.71</v>
      </c>
      <c r="L951" t="n">
        <v>8</v>
      </c>
      <c r="M951" t="b">
        <v>0</v>
      </c>
      <c r="N951" t="n">
        <v>0</v>
      </c>
      <c r="O951" t="b">
        <v>1</v>
      </c>
      <c r="P951" t="b">
        <v>0</v>
      </c>
      <c r="Q951" t="b">
        <v>1</v>
      </c>
    </row>
    <row r="952">
      <c r="A952" t="inlineStr">
        <is>
          <t>REQ00951</t>
        </is>
      </c>
      <c r="B952" t="inlineStr">
        <is>
          <t>391200RFSJLUIIRANX40</t>
        </is>
      </c>
      <c r="C952" t="inlineStr">
        <is>
          <t>document_refresh</t>
        </is>
      </c>
      <c r="D952" s="2" t="n">
        <v>46310.54166666666</v>
      </c>
      <c r="E952" s="2" t="n">
        <v>46311.66666666666</v>
      </c>
      <c r="F952" t="inlineStr">
        <is>
          <t>M1</t>
        </is>
      </c>
      <c r="G952" t="inlineStr">
        <is>
          <t>C2</t>
        </is>
      </c>
      <c r="H952" s="2" t="n">
        <v>46310.55902777778</v>
      </c>
      <c r="I952" s="2" t="n">
        <v>46310.56597222222</v>
      </c>
      <c r="J952" t="inlineStr">
        <is>
          <t>Completed</t>
        </is>
      </c>
      <c r="K952" t="n">
        <v>0.59</v>
      </c>
      <c r="L952" t="n">
        <v>12</v>
      </c>
      <c r="M952" t="b">
        <v>0</v>
      </c>
      <c r="N952" t="n">
        <v>0</v>
      </c>
      <c r="O952" t="b">
        <v>1</v>
      </c>
      <c r="P952" t="b">
        <v>0</v>
      </c>
      <c r="Q952" t="b">
        <v>0</v>
      </c>
    </row>
    <row r="953">
      <c r="A953" t="inlineStr">
        <is>
          <t>REQ00952</t>
        </is>
      </c>
      <c r="B953" t="inlineStr">
        <is>
          <t>549300FK33IOXA3G7P26</t>
        </is>
      </c>
      <c r="C953" t="inlineStr">
        <is>
          <t>new_account</t>
        </is>
      </c>
      <c r="D953" s="2" t="n">
        <v>46310.55</v>
      </c>
      <c r="E953" s="2" t="n">
        <v>46314.46666666667</v>
      </c>
      <c r="F953" t="inlineStr">
        <is>
          <t>M3</t>
        </is>
      </c>
      <c r="G953" t="inlineStr">
        <is>
          <t>C3</t>
        </is>
      </c>
      <c r="H953" s="2" t="n">
        <v>46310.58263888889</v>
      </c>
      <c r="I953" s="2" t="n">
        <v>46310.59444444445</v>
      </c>
      <c r="J953" t="inlineStr">
        <is>
          <t>Completed</t>
        </is>
      </c>
      <c r="K953" t="n">
        <v>1.07</v>
      </c>
      <c r="L953" t="n">
        <v>16</v>
      </c>
      <c r="M953" t="b">
        <v>0</v>
      </c>
      <c r="N953" t="n">
        <v>0</v>
      </c>
      <c r="O953" t="b">
        <v>1</v>
      </c>
      <c r="P953" t="b">
        <v>0</v>
      </c>
      <c r="Q953" t="b">
        <v>0</v>
      </c>
    </row>
    <row r="954">
      <c r="A954" t="inlineStr">
        <is>
          <t>REQ00953</t>
        </is>
      </c>
      <c r="B954" t="inlineStr">
        <is>
          <t>648896UEHSB983E1R420</t>
        </is>
      </c>
      <c r="C954" t="inlineStr">
        <is>
          <t>signatory_change</t>
        </is>
      </c>
      <c r="D954" s="2" t="n">
        <v>46310.55277777778</v>
      </c>
      <c r="E954" s="2" t="n">
        <v>46311.51111111111</v>
      </c>
      <c r="F954" t="inlineStr">
        <is>
          <t>M4</t>
        </is>
      </c>
      <c r="G954" t="inlineStr">
        <is>
          <t>C3</t>
        </is>
      </c>
      <c r="H954" s="2" t="n">
        <v>46310.56736111111</v>
      </c>
      <c r="I954" s="2" t="n">
        <v>46310.57569444444</v>
      </c>
      <c r="J954" t="inlineStr">
        <is>
          <t>Completed</t>
        </is>
      </c>
      <c r="K954" t="n">
        <v>0.54</v>
      </c>
      <c r="L954" t="n">
        <v>8</v>
      </c>
      <c r="M954" t="b">
        <v>0</v>
      </c>
      <c r="N954" t="n">
        <v>0</v>
      </c>
      <c r="O954" t="b">
        <v>1</v>
      </c>
      <c r="P954" t="b">
        <v>0</v>
      </c>
      <c r="Q954" t="b">
        <v>0</v>
      </c>
    </row>
    <row r="955">
      <c r="A955" t="inlineStr">
        <is>
          <t>REQ00954</t>
        </is>
      </c>
      <c r="B955" t="inlineStr">
        <is>
          <t>969500MV2WAPG4J1T221</t>
        </is>
      </c>
      <c r="C955" t="inlineStr">
        <is>
          <t>new_account</t>
        </is>
      </c>
      <c r="D955" s="2" t="n">
        <v>46310.55694444444</v>
      </c>
      <c r="E955" s="2" t="n">
        <v>46314.47361111111</v>
      </c>
      <c r="F955" t="inlineStr">
        <is>
          <t>M5</t>
        </is>
      </c>
      <c r="G955" t="inlineStr">
        <is>
          <t>C1</t>
        </is>
      </c>
      <c r="H955" s="2" t="n">
        <v>46310.59583333333</v>
      </c>
      <c r="I955" s="2" t="n">
        <v>46310.60763888889</v>
      </c>
      <c r="J955" t="inlineStr">
        <is>
          <t>Completed</t>
        </is>
      </c>
      <c r="K955" t="n">
        <v>1.22</v>
      </c>
      <c r="L955" t="n">
        <v>16</v>
      </c>
      <c r="M955" t="b">
        <v>0</v>
      </c>
      <c r="N955" t="n">
        <v>0</v>
      </c>
      <c r="O955" t="b">
        <v>1</v>
      </c>
      <c r="P955" t="b">
        <v>0</v>
      </c>
      <c r="Q955" t="b">
        <v>0</v>
      </c>
    </row>
    <row r="956">
      <c r="A956" t="inlineStr">
        <is>
          <t>REQ00955</t>
        </is>
      </c>
      <c r="B956" t="inlineStr">
        <is>
          <t>724500FWS8N8O18FFV57</t>
        </is>
      </c>
      <c r="C956" t="inlineStr">
        <is>
          <t>document_refresh</t>
        </is>
      </c>
      <c r="D956" s="2" t="n">
        <v>46310.56041666667</v>
      </c>
      <c r="E956" s="2" t="n">
        <v>46311.68541666667</v>
      </c>
      <c r="F956" t="inlineStr">
        <is>
          <t>M6</t>
        </is>
      </c>
      <c r="G956" t="inlineStr">
        <is>
          <t>C3</t>
        </is>
      </c>
      <c r="H956" s="2" t="n">
        <v>46310.57152777778</v>
      </c>
      <c r="I956" s="2" t="n">
        <v>46310.74305555555</v>
      </c>
      <c r="J956" t="inlineStr">
        <is>
          <t>Completed</t>
        </is>
      </c>
      <c r="K956" t="n">
        <v>4.39</v>
      </c>
      <c r="L956" t="n">
        <v>12</v>
      </c>
      <c r="M956" t="b">
        <v>0</v>
      </c>
      <c r="N956" t="n">
        <v>0</v>
      </c>
      <c r="O956" t="b">
        <v>1</v>
      </c>
      <c r="P956" t="b">
        <v>0</v>
      </c>
      <c r="Q956" t="b">
        <v>1</v>
      </c>
    </row>
    <row r="957">
      <c r="A957" t="inlineStr">
        <is>
          <t>REQ00956</t>
        </is>
      </c>
      <c r="B957" t="inlineStr">
        <is>
          <t>254900JZ0VIOJFWV2F21</t>
        </is>
      </c>
      <c r="C957" t="inlineStr">
        <is>
          <t>data_amendment</t>
        </is>
      </c>
      <c r="D957" s="2" t="n">
        <v>46310.56944444445</v>
      </c>
      <c r="E957" s="2" t="n">
        <v>46311.52777777778</v>
      </c>
      <c r="F957" t="inlineStr">
        <is>
          <t>M2</t>
        </is>
      </c>
      <c r="G957" t="inlineStr">
        <is>
          <t>C1</t>
        </is>
      </c>
      <c r="H957" s="2" t="n">
        <v>46310.58055555556</v>
      </c>
      <c r="I957" s="2" t="n">
        <v>46310.58472222222</v>
      </c>
      <c r="J957" t="inlineStr">
        <is>
          <t>Completed</t>
        </is>
      </c>
      <c r="K957" t="n">
        <v>0.36</v>
      </c>
      <c r="L957" t="n">
        <v>8</v>
      </c>
      <c r="M957" t="b">
        <v>0</v>
      </c>
      <c r="N957" t="n">
        <v>0</v>
      </c>
      <c r="O957" t="b">
        <v>1</v>
      </c>
      <c r="P957" t="b">
        <v>0</v>
      </c>
      <c r="Q957" t="b">
        <v>0</v>
      </c>
    </row>
    <row r="958">
      <c r="A958" t="inlineStr">
        <is>
          <t>REQ00957</t>
        </is>
      </c>
      <c r="B958" t="inlineStr">
        <is>
          <t>549300MN6TFPTPANXU56</t>
        </is>
      </c>
      <c r="C958" t="inlineStr">
        <is>
          <t>data_amendment</t>
        </is>
      </c>
      <c r="D958" s="2" t="n">
        <v>46310.58055555556</v>
      </c>
      <c r="E958" s="2" t="n">
        <v>46311.53888888889</v>
      </c>
      <c r="F958" t="inlineStr">
        <is>
          <t>M1</t>
        </is>
      </c>
      <c r="G958" t="inlineStr">
        <is>
          <t>C2</t>
        </is>
      </c>
      <c r="H958" s="2" t="n">
        <v>46310.58958333333</v>
      </c>
      <c r="I958" s="2" t="n">
        <v>46311.41875</v>
      </c>
      <c r="J958" t="inlineStr">
        <is>
          <t>Completed</t>
        </is>
      </c>
      <c r="K958" t="n">
        <v>5.12</v>
      </c>
      <c r="L958" t="n">
        <v>8</v>
      </c>
      <c r="M958" t="b">
        <v>0</v>
      </c>
      <c r="N958" t="n">
        <v>0</v>
      </c>
      <c r="O958" t="b">
        <v>1</v>
      </c>
      <c r="P958" t="b">
        <v>0</v>
      </c>
      <c r="Q958" t="b">
        <v>1</v>
      </c>
    </row>
    <row r="959">
      <c r="A959" t="inlineStr">
        <is>
          <t>REQ00958</t>
        </is>
      </c>
      <c r="B959" t="inlineStr">
        <is>
          <t>2549003T74DB7FO9KN96</t>
        </is>
      </c>
      <c r="C959" t="inlineStr">
        <is>
          <t>document_refresh</t>
        </is>
      </c>
      <c r="D959" s="2" t="n">
        <v>46310.58125</v>
      </c>
      <c r="E959" s="2" t="n">
        <v>46311.70625</v>
      </c>
      <c r="F959" t="inlineStr">
        <is>
          <t>M4</t>
        </is>
      </c>
      <c r="G959" t="inlineStr">
        <is>
          <t>C2</t>
        </is>
      </c>
      <c r="H959" s="2" t="n">
        <v>46310.59513888889</v>
      </c>
      <c r="I959" s="2" t="n">
        <v>46310.60555555556</v>
      </c>
      <c r="J959" t="inlineStr">
        <is>
          <t>Completed</t>
        </is>
      </c>
      <c r="K959" t="n">
        <v>0.58</v>
      </c>
      <c r="L959" t="n">
        <v>12</v>
      </c>
      <c r="M959" t="b">
        <v>0</v>
      </c>
      <c r="N959" t="n">
        <v>0</v>
      </c>
      <c r="O959" t="b">
        <v>1</v>
      </c>
      <c r="P959" t="b">
        <v>0</v>
      </c>
      <c r="Q959" t="b">
        <v>0</v>
      </c>
    </row>
    <row r="960">
      <c r="A960" t="inlineStr">
        <is>
          <t>REQ00959</t>
        </is>
      </c>
      <c r="B960" t="inlineStr">
        <is>
          <t>254900EP5P9VJCN5OD72</t>
        </is>
      </c>
      <c r="C960" t="inlineStr">
        <is>
          <t>signatory_change</t>
        </is>
      </c>
      <c r="D960" s="2" t="n">
        <v>46310.58194444444</v>
      </c>
      <c r="E960" s="2" t="n">
        <v>46311.54027777778</v>
      </c>
      <c r="F960" t="inlineStr">
        <is>
          <t>M6</t>
        </is>
      </c>
      <c r="G960" t="inlineStr">
        <is>
          <t>C2</t>
        </is>
      </c>
      <c r="H960" s="2" t="n">
        <v>46310.60347222222</v>
      </c>
      <c r="I960" s="2" t="n">
        <v>46310.61458333334</v>
      </c>
      <c r="J960" t="inlineStr">
        <is>
          <t>Completed</t>
        </is>
      </c>
      <c r="K960" t="n">
        <v>0.78</v>
      </c>
      <c r="L960" t="n">
        <v>8</v>
      </c>
      <c r="M960" t="b">
        <v>0</v>
      </c>
      <c r="N960" t="n">
        <v>0</v>
      </c>
      <c r="O960" t="b">
        <v>1</v>
      </c>
      <c r="P960" t="b">
        <v>0</v>
      </c>
      <c r="Q960" t="b">
        <v>0</v>
      </c>
    </row>
    <row r="961">
      <c r="A961" t="inlineStr">
        <is>
          <t>REQ00960</t>
        </is>
      </c>
      <c r="B961" t="inlineStr">
        <is>
          <t>724500FWS8N8O18FFV57</t>
        </is>
      </c>
      <c r="C961" t="inlineStr">
        <is>
          <t>data_amendment</t>
        </is>
      </c>
      <c r="D961" s="2" t="n">
        <v>46310.59305555555</v>
      </c>
      <c r="E961" s="2" t="n">
        <v>46311.55138888889</v>
      </c>
      <c r="F961" t="inlineStr">
        <is>
          <t>M2</t>
        </is>
      </c>
      <c r="G961" t="inlineStr">
        <is>
          <t>C2</t>
        </is>
      </c>
      <c r="H961" s="2" t="n">
        <v>46310.60347222222</v>
      </c>
      <c r="I961" s="2" t="n">
        <v>46311.42916666667</v>
      </c>
      <c r="J961" t="inlineStr">
        <is>
          <t>Completed</t>
        </is>
      </c>
      <c r="K961" t="n">
        <v>5.07</v>
      </c>
      <c r="L961" t="n">
        <v>8</v>
      </c>
      <c r="M961" t="b">
        <v>0</v>
      </c>
      <c r="N961" t="n">
        <v>0</v>
      </c>
      <c r="O961" t="b">
        <v>1</v>
      </c>
      <c r="P961" t="b">
        <v>0</v>
      </c>
      <c r="Q961" t="b">
        <v>1</v>
      </c>
    </row>
    <row r="962">
      <c r="A962" t="inlineStr">
        <is>
          <t>REQ00961</t>
        </is>
      </c>
      <c r="B962" t="inlineStr">
        <is>
          <t>222100OG1MBTYH13DS88</t>
        </is>
      </c>
      <c r="C962" t="inlineStr">
        <is>
          <t>document_refresh</t>
        </is>
      </c>
      <c r="D962" s="2" t="n">
        <v>46310.59513888889</v>
      </c>
      <c r="E962" s="2" t="n">
        <v>46311.72013888889</v>
      </c>
      <c r="F962" t="inlineStr">
        <is>
          <t>M3</t>
        </is>
      </c>
      <c r="G962" t="inlineStr">
        <is>
          <t>C1</t>
        </is>
      </c>
      <c r="H962" s="2" t="n">
        <v>46310.60833333333</v>
      </c>
      <c r="I962" s="2" t="n">
        <v>46311.38611111111</v>
      </c>
      <c r="J962" t="inlineStr">
        <is>
          <t>Completed</t>
        </is>
      </c>
      <c r="K962" t="n">
        <v>3.98</v>
      </c>
      <c r="L962" t="n">
        <v>12</v>
      </c>
      <c r="M962" t="b">
        <v>0</v>
      </c>
      <c r="N962" t="n">
        <v>0</v>
      </c>
      <c r="O962" t="b">
        <v>1</v>
      </c>
      <c r="P962" t="b">
        <v>0</v>
      </c>
      <c r="Q962" t="b">
        <v>1</v>
      </c>
    </row>
    <row r="963">
      <c r="A963" t="inlineStr">
        <is>
          <t>REQ00962</t>
        </is>
      </c>
      <c r="B963" t="inlineStr">
        <is>
          <t>2138008IAZJR1E6ONQ04</t>
        </is>
      </c>
      <c r="C963" t="inlineStr">
        <is>
          <t>document_refresh</t>
        </is>
      </c>
      <c r="D963" s="2" t="n">
        <v>46310.60763888889</v>
      </c>
      <c r="E963" s="2" t="n">
        <v>46311.73263888889</v>
      </c>
      <c r="F963" t="inlineStr">
        <is>
          <t>M1</t>
        </is>
      </c>
      <c r="G963" t="inlineStr">
        <is>
          <t>C2</t>
        </is>
      </c>
      <c r="H963" s="2" t="n">
        <v>46310.62152777778</v>
      </c>
      <c r="I963" s="2" t="n">
        <v>46310.62847222222</v>
      </c>
      <c r="J963" t="inlineStr">
        <is>
          <t>Completed</t>
        </is>
      </c>
      <c r="K963" t="n">
        <v>0.49</v>
      </c>
      <c r="L963" t="n">
        <v>12</v>
      </c>
      <c r="M963" t="b">
        <v>0</v>
      </c>
      <c r="N963" t="n">
        <v>0</v>
      </c>
      <c r="O963" t="b">
        <v>1</v>
      </c>
      <c r="P963" t="b">
        <v>0</v>
      </c>
      <c r="Q963" t="b">
        <v>0</v>
      </c>
    </row>
    <row r="964">
      <c r="A964" t="inlineStr">
        <is>
          <t>REQ00963</t>
        </is>
      </c>
      <c r="B964" t="inlineStr">
        <is>
          <t>254900JB2VP28CTMQH24</t>
        </is>
      </c>
      <c r="C964" t="inlineStr">
        <is>
          <t>document_refresh</t>
        </is>
      </c>
      <c r="D964" s="2" t="n">
        <v>46310.60972222222</v>
      </c>
      <c r="E964" s="2" t="n">
        <v>46311.73472222222</v>
      </c>
      <c r="F964" t="inlineStr">
        <is>
          <t>M4</t>
        </is>
      </c>
      <c r="G964" t="inlineStr">
        <is>
          <t>C1</t>
        </is>
      </c>
      <c r="H964" s="2" t="n">
        <v>46310.62013888889</v>
      </c>
      <c r="I964" s="2" t="n">
        <v>46310.62569444445</v>
      </c>
      <c r="J964" t="inlineStr">
        <is>
          <t>Completed</t>
        </is>
      </c>
      <c r="K964" t="n">
        <v>0.39</v>
      </c>
      <c r="L964" t="n">
        <v>12</v>
      </c>
      <c r="M964" t="b">
        <v>0</v>
      </c>
      <c r="N964" t="n">
        <v>0</v>
      </c>
      <c r="O964" t="b">
        <v>1</v>
      </c>
      <c r="P964" t="b">
        <v>0</v>
      </c>
      <c r="Q964" t="b">
        <v>0</v>
      </c>
    </row>
    <row r="965">
      <c r="A965" t="inlineStr">
        <is>
          <t>REQ00964</t>
        </is>
      </c>
      <c r="B965" t="inlineStr">
        <is>
          <t>213800Z2YWWPJDCDRA61</t>
        </is>
      </c>
      <c r="C965" t="inlineStr">
        <is>
          <t>document_refresh</t>
        </is>
      </c>
      <c r="D965" s="2" t="n">
        <v>46310.61041666667</v>
      </c>
      <c r="E965" s="2" t="n">
        <v>46311.73541666667</v>
      </c>
      <c r="F965" t="inlineStr">
        <is>
          <t>M5</t>
        </is>
      </c>
      <c r="G965" t="inlineStr">
        <is>
          <t>C3</t>
        </is>
      </c>
      <c r="H965" s="2" t="n">
        <v>46310.62777777778</v>
      </c>
      <c r="I965" s="2" t="n">
        <v>46311.48055555556</v>
      </c>
      <c r="J965" t="inlineStr">
        <is>
          <t>Completed</t>
        </is>
      </c>
      <c r="K965" t="n">
        <v>5.88</v>
      </c>
      <c r="L965" t="n">
        <v>12</v>
      </c>
      <c r="M965" t="b">
        <v>0</v>
      </c>
      <c r="N965" t="n">
        <v>0</v>
      </c>
      <c r="O965" t="b">
        <v>1</v>
      </c>
      <c r="P965" t="b">
        <v>0</v>
      </c>
      <c r="Q965" t="b">
        <v>1</v>
      </c>
    </row>
    <row r="966">
      <c r="A966" t="inlineStr">
        <is>
          <t>REQ00965</t>
        </is>
      </c>
      <c r="B966" t="inlineStr">
        <is>
          <t>969500MF3IRMDEQOK169</t>
        </is>
      </c>
      <c r="C966" t="inlineStr">
        <is>
          <t>new_account</t>
        </is>
      </c>
      <c r="D966" s="2" t="n">
        <v>46310.61666666667</v>
      </c>
      <c r="E966" s="2" t="n">
        <v>46314.53333333333</v>
      </c>
      <c r="F966" t="inlineStr">
        <is>
          <t>M6</t>
        </is>
      </c>
      <c r="G966" t="inlineStr">
        <is>
          <t>C1</t>
        </is>
      </c>
      <c r="H966" s="2" t="n">
        <v>46310.64375</v>
      </c>
      <c r="I966" s="2" t="n">
        <v>46310.65208333333</v>
      </c>
      <c r="J966" t="inlineStr">
        <is>
          <t>Completed</t>
        </is>
      </c>
      <c r="K966" t="n">
        <v>0.86</v>
      </c>
      <c r="L966" t="n">
        <v>16</v>
      </c>
      <c r="M966" t="b">
        <v>0</v>
      </c>
      <c r="N966" t="n">
        <v>0</v>
      </c>
      <c r="O966" t="b">
        <v>1</v>
      </c>
      <c r="P966" t="b">
        <v>0</v>
      </c>
      <c r="Q966" t="b">
        <v>0</v>
      </c>
    </row>
    <row r="967">
      <c r="A967" t="inlineStr">
        <is>
          <t>REQ00966</t>
        </is>
      </c>
      <c r="B967" t="inlineStr">
        <is>
          <t>335800B4L9BT7Q74BU18</t>
        </is>
      </c>
      <c r="C967" t="inlineStr">
        <is>
          <t>new_account</t>
        </is>
      </c>
      <c r="D967" s="2" t="n">
        <v>46310.62083333333</v>
      </c>
      <c r="E967" s="2" t="n">
        <v>46314.5375</v>
      </c>
      <c r="F967" t="inlineStr">
        <is>
          <t>M2</t>
        </is>
      </c>
      <c r="G967" t="inlineStr">
        <is>
          <t>C2</t>
        </is>
      </c>
      <c r="H967" s="2" t="n">
        <v>46310.65208333333</v>
      </c>
      <c r="I967" s="2" t="n">
        <v>46310.66527777778</v>
      </c>
      <c r="J967" t="inlineStr">
        <is>
          <t>Completed</t>
        </is>
      </c>
      <c r="K967" t="n">
        <v>1.06</v>
      </c>
      <c r="L967" t="n">
        <v>16</v>
      </c>
      <c r="M967" t="b">
        <v>0</v>
      </c>
      <c r="N967" t="n">
        <v>0</v>
      </c>
      <c r="O967" t="b">
        <v>1</v>
      </c>
      <c r="P967" t="b">
        <v>0</v>
      </c>
      <c r="Q967" t="b">
        <v>0</v>
      </c>
    </row>
    <row r="968">
      <c r="A968" t="inlineStr">
        <is>
          <t>REQ00967</t>
        </is>
      </c>
      <c r="B968" t="inlineStr">
        <is>
          <t>391200Y4BNNA7S8UC989</t>
        </is>
      </c>
      <c r="C968" t="inlineStr">
        <is>
          <t>document_refresh</t>
        </is>
      </c>
      <c r="D968" s="2" t="n">
        <v>46310.62777777778</v>
      </c>
      <c r="E968" s="2" t="n">
        <v>46314.37777777778</v>
      </c>
      <c r="F968" t="inlineStr">
        <is>
          <t>M3</t>
        </is>
      </c>
      <c r="G968" t="inlineStr">
        <is>
          <t>C3</t>
        </is>
      </c>
      <c r="H968" s="2" t="n">
        <v>46310.64236111111</v>
      </c>
      <c r="I968" s="2" t="n">
        <v>46310.64722222222</v>
      </c>
      <c r="J968" t="inlineStr">
        <is>
          <t>Completed</t>
        </is>
      </c>
      <c r="K968" t="n">
        <v>0.47</v>
      </c>
      <c r="L968" t="n">
        <v>12</v>
      </c>
      <c r="M968" t="b">
        <v>0</v>
      </c>
      <c r="N968" t="n">
        <v>0</v>
      </c>
      <c r="O968" t="b">
        <v>1</v>
      </c>
      <c r="P968" t="b">
        <v>0</v>
      </c>
      <c r="Q968" t="b">
        <v>0</v>
      </c>
    </row>
    <row r="969">
      <c r="A969" t="inlineStr">
        <is>
          <t>REQ00968</t>
        </is>
      </c>
      <c r="B969" t="inlineStr">
        <is>
          <t>98450043GD59N182DE09</t>
        </is>
      </c>
      <c r="C969" t="inlineStr">
        <is>
          <t>data_amendment</t>
        </is>
      </c>
      <c r="D969" s="2" t="n">
        <v>46310.62777777778</v>
      </c>
      <c r="E969" s="2" t="n">
        <v>46311.58611111111</v>
      </c>
      <c r="F969" t="inlineStr">
        <is>
          <t>M4</t>
        </is>
      </c>
      <c r="G969" t="inlineStr">
        <is>
          <t>C3</t>
        </is>
      </c>
      <c r="H969" s="2" t="n">
        <v>46310.63611111111</v>
      </c>
      <c r="I969" s="2" t="n">
        <v>46310.63958333333</v>
      </c>
      <c r="J969" t="inlineStr">
        <is>
          <t>Completed</t>
        </is>
      </c>
      <c r="K969" t="n">
        <v>0.29</v>
      </c>
      <c r="L969" t="n">
        <v>8</v>
      </c>
      <c r="M969" t="b">
        <v>0</v>
      </c>
      <c r="N969" t="n">
        <v>0</v>
      </c>
      <c r="O969" t="b">
        <v>1</v>
      </c>
      <c r="P969" t="b">
        <v>0</v>
      </c>
      <c r="Q969" t="b">
        <v>0</v>
      </c>
    </row>
    <row r="970">
      <c r="A970" t="inlineStr">
        <is>
          <t>REQ00969</t>
        </is>
      </c>
      <c r="B970" t="inlineStr">
        <is>
          <t>98450055BB6B6FCSAD08</t>
        </is>
      </c>
      <c r="C970" t="inlineStr">
        <is>
          <t>new_account</t>
        </is>
      </c>
      <c r="D970" s="2" t="n">
        <v>46310.64166666667</v>
      </c>
      <c r="E970" s="2" t="n">
        <v>46314.55833333333</v>
      </c>
      <c r="F970" t="inlineStr">
        <is>
          <t>M1</t>
        </is>
      </c>
      <c r="G970" t="inlineStr">
        <is>
          <t>C3</t>
        </is>
      </c>
      <c r="H970" s="2" t="n">
        <v>46310.67013888889</v>
      </c>
      <c r="I970" s="2" t="n">
        <v>46310.67847222222</v>
      </c>
      <c r="J970" t="inlineStr">
        <is>
          <t>Completed</t>
        </is>
      </c>
      <c r="K970" t="n">
        <v>0.88</v>
      </c>
      <c r="L970" t="n">
        <v>16</v>
      </c>
      <c r="M970" t="b">
        <v>0</v>
      </c>
      <c r="N970" t="n">
        <v>0</v>
      </c>
      <c r="O970" t="b">
        <v>1</v>
      </c>
      <c r="P970" t="b">
        <v>0</v>
      </c>
      <c r="Q970" t="b">
        <v>0</v>
      </c>
    </row>
    <row r="971">
      <c r="A971" t="inlineStr">
        <is>
          <t>REQ00970</t>
        </is>
      </c>
      <c r="B971" t="inlineStr">
        <is>
          <t>2138001EMVLTABK8X624</t>
        </is>
      </c>
      <c r="C971" t="inlineStr">
        <is>
          <t>data_amendment</t>
        </is>
      </c>
      <c r="D971" s="2" t="n">
        <v>46310.64652777778</v>
      </c>
      <c r="E971" s="2" t="n">
        <v>46311.60486111111</v>
      </c>
      <c r="F971" t="inlineStr">
        <is>
          <t>M5</t>
        </is>
      </c>
      <c r="G971" t="inlineStr">
        <is>
          <t>C1</t>
        </is>
      </c>
      <c r="H971" s="2" t="n">
        <v>46310.65416666667</v>
      </c>
      <c r="I971" s="2" t="n">
        <v>46310.65833333333</v>
      </c>
      <c r="J971" t="inlineStr">
        <is>
          <t>Completed</t>
        </is>
      </c>
      <c r="K971" t="n">
        <v>0.28</v>
      </c>
      <c r="L971" t="n">
        <v>8</v>
      </c>
      <c r="M971" t="b">
        <v>0</v>
      </c>
      <c r="N971" t="n">
        <v>0</v>
      </c>
      <c r="O971" t="b">
        <v>1</v>
      </c>
      <c r="P971" t="b">
        <v>0</v>
      </c>
      <c r="Q971" t="b">
        <v>0</v>
      </c>
    </row>
    <row r="972">
      <c r="A972" t="inlineStr">
        <is>
          <t>REQ00971</t>
        </is>
      </c>
      <c r="B972" t="inlineStr">
        <is>
          <t>724500OCIP9ZVT3BDP96</t>
        </is>
      </c>
      <c r="C972" t="inlineStr">
        <is>
          <t>new_account</t>
        </is>
      </c>
      <c r="D972" s="2" t="n">
        <v>46310.65416666667</v>
      </c>
      <c r="E972" s="2" t="n">
        <v>46314.57083333333</v>
      </c>
      <c r="F972" t="inlineStr">
        <is>
          <t>M4</t>
        </is>
      </c>
      <c r="G972" t="inlineStr">
        <is>
          <t>C2</t>
        </is>
      </c>
      <c r="H972" s="2" t="n">
        <v>46310.68958333333</v>
      </c>
      <c r="I972" s="2" t="n">
        <v>46311.47152777778</v>
      </c>
      <c r="J972" t="inlineStr">
        <is>
          <t>Completed</t>
        </is>
      </c>
      <c r="K972" t="n">
        <v>4.61</v>
      </c>
      <c r="L972" t="n">
        <v>16</v>
      </c>
      <c r="M972" t="b">
        <v>0</v>
      </c>
      <c r="N972" t="n">
        <v>0</v>
      </c>
      <c r="O972" t="b">
        <v>1</v>
      </c>
      <c r="P972" t="b">
        <v>0</v>
      </c>
      <c r="Q972" t="b">
        <v>1</v>
      </c>
    </row>
    <row r="973">
      <c r="A973" t="inlineStr">
        <is>
          <t>REQ00972</t>
        </is>
      </c>
      <c r="B973" t="inlineStr">
        <is>
          <t>213800VTPPD3FVPGVA32</t>
        </is>
      </c>
      <c r="C973" t="inlineStr">
        <is>
          <t>document_refresh</t>
        </is>
      </c>
      <c r="D973" s="2" t="n">
        <v>46310.65763888889</v>
      </c>
      <c r="E973" s="2" t="n">
        <v>46314.40763888889</v>
      </c>
      <c r="F973" t="inlineStr">
        <is>
          <t>M3</t>
        </is>
      </c>
      <c r="G973" t="inlineStr">
        <is>
          <t>C1</t>
        </is>
      </c>
      <c r="H973" s="2" t="n">
        <v>46310.66736111111</v>
      </c>
      <c r="I973" s="2" t="n">
        <v>46311.49930555555</v>
      </c>
      <c r="J973" t="inlineStr">
        <is>
          <t>Completed</t>
        </is>
      </c>
      <c r="K973" t="n">
        <v>5.2</v>
      </c>
      <c r="L973" t="n">
        <v>12</v>
      </c>
      <c r="M973" t="b">
        <v>0</v>
      </c>
      <c r="N973" t="n">
        <v>0</v>
      </c>
      <c r="O973" t="b">
        <v>1</v>
      </c>
      <c r="P973" t="b">
        <v>0</v>
      </c>
      <c r="Q973" t="b">
        <v>1</v>
      </c>
    </row>
    <row r="974">
      <c r="A974" t="inlineStr">
        <is>
          <t>REQ00973</t>
        </is>
      </c>
      <c r="B974" t="inlineStr">
        <is>
          <t>529900INJH495QGU3G96</t>
        </is>
      </c>
      <c r="C974" t="inlineStr">
        <is>
          <t>data_amendment</t>
        </is>
      </c>
      <c r="D974" s="2" t="n">
        <v>46310.66527777778</v>
      </c>
      <c r="E974" s="2" t="n">
        <v>46311.62361111111</v>
      </c>
      <c r="F974" t="inlineStr">
        <is>
          <t>M6</t>
        </is>
      </c>
      <c r="G974" t="inlineStr">
        <is>
          <t>C2</t>
        </is>
      </c>
      <c r="H974" s="2" t="n">
        <v>46310.67708333334</v>
      </c>
      <c r="I974" s="2" t="n">
        <v>46311.40625</v>
      </c>
      <c r="J974" t="inlineStr">
        <is>
          <t>Completed</t>
        </is>
      </c>
      <c r="K974" t="n">
        <v>2.79</v>
      </c>
      <c r="L974" t="n">
        <v>8</v>
      </c>
      <c r="M974" t="b">
        <v>0</v>
      </c>
      <c r="N974" t="n">
        <v>0</v>
      </c>
      <c r="O974" t="b">
        <v>1</v>
      </c>
      <c r="P974" t="b">
        <v>0</v>
      </c>
      <c r="Q974" t="b">
        <v>1</v>
      </c>
    </row>
    <row r="975">
      <c r="A975" t="inlineStr">
        <is>
          <t>REQ00974</t>
        </is>
      </c>
      <c r="B975" t="inlineStr">
        <is>
          <t>5493001XSG56E9IDMI94</t>
        </is>
      </c>
      <c r="C975" t="inlineStr">
        <is>
          <t>document_refresh</t>
        </is>
      </c>
      <c r="D975" s="2" t="n">
        <v>46310.66597222222</v>
      </c>
      <c r="E975" s="2" t="n">
        <v>46314.41597222222</v>
      </c>
      <c r="F975" t="inlineStr">
        <is>
          <t>M2</t>
        </is>
      </c>
      <c r="G975" t="inlineStr">
        <is>
          <t>C2</t>
        </is>
      </c>
      <c r="H975" s="2" t="n">
        <v>46310.68333333333</v>
      </c>
      <c r="I975" s="2" t="n">
        <v>46311.45347222222</v>
      </c>
      <c r="J975" t="inlineStr">
        <is>
          <t>Completed</t>
        </is>
      </c>
      <c r="K975" t="n">
        <v>3.89</v>
      </c>
      <c r="L975" t="n">
        <v>12</v>
      </c>
      <c r="M975" t="b">
        <v>0</v>
      </c>
      <c r="N975" t="n">
        <v>0</v>
      </c>
      <c r="O975" t="b">
        <v>1</v>
      </c>
      <c r="P975" t="b">
        <v>0</v>
      </c>
      <c r="Q975" t="b">
        <v>1</v>
      </c>
    </row>
    <row r="976">
      <c r="A976" t="inlineStr">
        <is>
          <t>REQ00975</t>
        </is>
      </c>
      <c r="B976" t="inlineStr">
        <is>
          <t>6488S4W92KN6N1B66R44</t>
        </is>
      </c>
      <c r="C976" t="inlineStr">
        <is>
          <t>data_amendment</t>
        </is>
      </c>
      <c r="D976" s="2" t="n">
        <v>46310.66875</v>
      </c>
      <c r="E976" s="2" t="n">
        <v>46311.62708333333</v>
      </c>
      <c r="F976" t="inlineStr">
        <is>
          <t>M5</t>
        </is>
      </c>
      <c r="G976" t="inlineStr">
        <is>
          <t>C1</t>
        </is>
      </c>
      <c r="H976" s="2" t="n">
        <v>46310.68194444444</v>
      </c>
      <c r="I976" s="2" t="n">
        <v>46310.68611111111</v>
      </c>
      <c r="J976" t="inlineStr">
        <is>
          <t>Completed</t>
        </is>
      </c>
      <c r="K976" t="n">
        <v>0.42</v>
      </c>
      <c r="L976" t="n">
        <v>8</v>
      </c>
      <c r="M976" t="b">
        <v>0</v>
      </c>
      <c r="N976" t="n">
        <v>0</v>
      </c>
      <c r="O976" t="b">
        <v>1</v>
      </c>
      <c r="P976" t="b">
        <v>0</v>
      </c>
      <c r="Q976" t="b">
        <v>0</v>
      </c>
    </row>
    <row r="977">
      <c r="A977" t="inlineStr">
        <is>
          <t>REQ00976</t>
        </is>
      </c>
      <c r="B977" t="inlineStr">
        <is>
          <t>7245003IJS7BDK8MQJ86</t>
        </is>
      </c>
      <c r="C977" t="inlineStr">
        <is>
          <t>document_refresh</t>
        </is>
      </c>
      <c r="D977" s="2" t="n">
        <v>46310.67430555556</v>
      </c>
      <c r="E977" s="2" t="n">
        <v>46314.42430555556</v>
      </c>
      <c r="F977" t="inlineStr">
        <is>
          <t>M3</t>
        </is>
      </c>
      <c r="G977" t="inlineStr">
        <is>
          <t>C2</t>
        </is>
      </c>
      <c r="H977" s="2" t="n">
        <v>46310.69027777778</v>
      </c>
      <c r="I977" s="2" t="n">
        <v>46311.44305555556</v>
      </c>
      <c r="J977" t="inlineStr">
        <is>
          <t>Completed</t>
        </is>
      </c>
      <c r="K977" t="n">
        <v>3.45</v>
      </c>
      <c r="L977" t="n">
        <v>12</v>
      </c>
      <c r="M977" t="b">
        <v>0</v>
      </c>
      <c r="N977" t="n">
        <v>0</v>
      </c>
      <c r="O977" t="b">
        <v>1</v>
      </c>
      <c r="P977" t="b">
        <v>0</v>
      </c>
      <c r="Q977" t="b">
        <v>1</v>
      </c>
    </row>
    <row r="978">
      <c r="A978" t="inlineStr">
        <is>
          <t>REQ00977</t>
        </is>
      </c>
      <c r="B978" t="inlineStr">
        <is>
          <t>549300GJ0O22KCZW2159</t>
        </is>
      </c>
      <c r="C978" t="inlineStr">
        <is>
          <t>new_account</t>
        </is>
      </c>
      <c r="D978" s="2" t="n">
        <v>46310.67569444444</v>
      </c>
      <c r="E978" s="2" t="n">
        <v>46314.59236111111</v>
      </c>
      <c r="F978" t="inlineStr">
        <is>
          <t>M1</t>
        </is>
      </c>
      <c r="G978" t="inlineStr">
        <is>
          <t>C2</t>
        </is>
      </c>
      <c r="H978" s="2" t="n">
        <v>46310.70208333333</v>
      </c>
      <c r="I978" s="2" t="n">
        <v>46311.49513888889</v>
      </c>
      <c r="J978" t="inlineStr">
        <is>
          <t>Completed</t>
        </is>
      </c>
      <c r="K978" t="n">
        <v>4.66</v>
      </c>
      <c r="L978" t="n">
        <v>16</v>
      </c>
      <c r="M978" t="b">
        <v>0</v>
      </c>
      <c r="N978" t="n">
        <v>0</v>
      </c>
      <c r="O978" t="b">
        <v>1</v>
      </c>
      <c r="P978" t="b">
        <v>0</v>
      </c>
      <c r="Q978" t="b">
        <v>1</v>
      </c>
    </row>
    <row r="979">
      <c r="A979" t="inlineStr">
        <is>
          <t>REQ00978</t>
        </is>
      </c>
      <c r="B979" t="inlineStr">
        <is>
          <t>5493004RBAVB46Z3WI77</t>
        </is>
      </c>
      <c r="C979" t="inlineStr">
        <is>
          <t>new_account</t>
        </is>
      </c>
      <c r="D979" s="2" t="n">
        <v>46310.67638888889</v>
      </c>
      <c r="E979" s="2" t="n">
        <v>46314.59305555555</v>
      </c>
      <c r="F979" t="inlineStr">
        <is>
          <t>M6</t>
        </is>
      </c>
      <c r="G979" t="inlineStr">
        <is>
          <t>C1</t>
        </is>
      </c>
      <c r="H979" s="2" t="n">
        <v>46310.70347222222</v>
      </c>
      <c r="I979" s="2" t="n">
        <v>46310.71458333333</v>
      </c>
      <c r="J979" t="inlineStr">
        <is>
          <t>Completed</t>
        </is>
      </c>
      <c r="K979" t="n">
        <v>0.92</v>
      </c>
      <c r="L979" t="n">
        <v>16</v>
      </c>
      <c r="M979" t="b">
        <v>0</v>
      </c>
      <c r="N979" t="n">
        <v>0</v>
      </c>
      <c r="O979" t="b">
        <v>1</v>
      </c>
      <c r="P979" t="b">
        <v>0</v>
      </c>
      <c r="Q979" t="b">
        <v>0</v>
      </c>
    </row>
    <row r="980">
      <c r="A980" t="inlineStr">
        <is>
          <t>REQ00979</t>
        </is>
      </c>
      <c r="B980" t="inlineStr">
        <is>
          <t>724500XWDFHU62M76M93</t>
        </is>
      </c>
      <c r="C980" t="inlineStr">
        <is>
          <t>data_amendment</t>
        </is>
      </c>
      <c r="D980" s="2" t="n">
        <v>46310.67777777778</v>
      </c>
      <c r="E980" s="2" t="n">
        <v>46311.63611111111</v>
      </c>
      <c r="F980" t="inlineStr">
        <is>
          <t>M5</t>
        </is>
      </c>
      <c r="G980" t="inlineStr">
        <is>
          <t>C1</t>
        </is>
      </c>
      <c r="H980" s="2" t="n">
        <v>46310.69097222222</v>
      </c>
      <c r="I980" s="2" t="n">
        <v>46311.47986111111</v>
      </c>
      <c r="J980" t="inlineStr">
        <is>
          <t>Completed</t>
        </is>
      </c>
      <c r="K980" t="n">
        <v>4.25</v>
      </c>
      <c r="L980" t="n">
        <v>8</v>
      </c>
      <c r="M980" t="b">
        <v>0</v>
      </c>
      <c r="N980" t="n">
        <v>0</v>
      </c>
      <c r="O980" t="b">
        <v>1</v>
      </c>
      <c r="P980" t="b">
        <v>0</v>
      </c>
      <c r="Q980" t="b">
        <v>1</v>
      </c>
    </row>
    <row r="981">
      <c r="A981" t="inlineStr">
        <is>
          <t>REQ00980</t>
        </is>
      </c>
      <c r="B981" t="inlineStr">
        <is>
          <t>549300HJETG8JI97NS90</t>
        </is>
      </c>
      <c r="C981" t="inlineStr">
        <is>
          <t>document_refresh</t>
        </is>
      </c>
      <c r="D981" s="2" t="n">
        <v>46310.67847222222</v>
      </c>
      <c r="E981" s="2" t="n">
        <v>46314.42847222222</v>
      </c>
      <c r="F981" t="inlineStr">
        <is>
          <t>M2</t>
        </is>
      </c>
      <c r="G981" t="inlineStr">
        <is>
          <t>C2</t>
        </is>
      </c>
      <c r="H981" s="2" t="n">
        <v>46310.7</v>
      </c>
      <c r="I981" s="2" t="n">
        <v>46311.56666666667</v>
      </c>
      <c r="J981" t="inlineStr">
        <is>
          <t>Completed</t>
        </is>
      </c>
      <c r="K981" t="n">
        <v>6.32</v>
      </c>
      <c r="L981" t="n">
        <v>12</v>
      </c>
      <c r="M981" t="b">
        <v>0</v>
      </c>
      <c r="N981" t="n">
        <v>0</v>
      </c>
      <c r="O981" t="b">
        <v>1</v>
      </c>
      <c r="P981" t="b">
        <v>0</v>
      </c>
      <c r="Q981" t="b">
        <v>1</v>
      </c>
    </row>
    <row r="982">
      <c r="A982" t="inlineStr">
        <is>
          <t>REQ00981</t>
        </is>
      </c>
      <c r="B982" t="inlineStr">
        <is>
          <t>724500WAJ5PHBI5HPD68</t>
        </is>
      </c>
      <c r="C982" t="inlineStr">
        <is>
          <t>new_account</t>
        </is>
      </c>
      <c r="D982" s="2" t="n">
        <v>46310.68541666667</v>
      </c>
      <c r="E982" s="2" t="n">
        <v>46314.60208333333</v>
      </c>
      <c r="F982" t="inlineStr">
        <is>
          <t>M4</t>
        </is>
      </c>
      <c r="G982" t="inlineStr">
        <is>
          <t>C3</t>
        </is>
      </c>
      <c r="H982" s="2" t="n">
        <v>46310.72638888889</v>
      </c>
      <c r="I982" s="2" t="n">
        <v>46310.73819444444</v>
      </c>
      <c r="J982" t="inlineStr">
        <is>
          <t>Completed</t>
        </is>
      </c>
      <c r="K982" t="n">
        <v>1.26</v>
      </c>
      <c r="L982" t="n">
        <v>16</v>
      </c>
      <c r="M982" t="b">
        <v>0</v>
      </c>
      <c r="N982" t="n">
        <v>0</v>
      </c>
      <c r="O982" t="b">
        <v>1</v>
      </c>
      <c r="P982" t="b">
        <v>0</v>
      </c>
      <c r="Q982" t="b">
        <v>0</v>
      </c>
    </row>
    <row r="983">
      <c r="A983" t="inlineStr">
        <is>
          <t>REQ00982</t>
        </is>
      </c>
      <c r="B983" t="inlineStr">
        <is>
          <t>391200KAW8L9ZWYDY831</t>
        </is>
      </c>
      <c r="C983" t="inlineStr">
        <is>
          <t>document_refresh</t>
        </is>
      </c>
      <c r="D983" s="2" t="n">
        <v>46310.68819444445</v>
      </c>
      <c r="E983" s="2" t="n">
        <v>46314.43819444445</v>
      </c>
      <c r="F983" t="inlineStr">
        <is>
          <t>M3</t>
        </is>
      </c>
      <c r="G983" t="inlineStr">
        <is>
          <t>C1</t>
        </is>
      </c>
      <c r="H983" s="2" t="n">
        <v>46310.70486111111</v>
      </c>
      <c r="I983" s="2" t="n">
        <v>46311.525</v>
      </c>
      <c r="J983" t="inlineStr">
        <is>
          <t>Completed</t>
        </is>
      </c>
      <c r="K983" t="n">
        <v>5.09</v>
      </c>
      <c r="L983" t="n">
        <v>12</v>
      </c>
      <c r="M983" t="b">
        <v>0</v>
      </c>
      <c r="N983" t="n">
        <v>0</v>
      </c>
      <c r="O983" t="b">
        <v>1</v>
      </c>
      <c r="P983" t="b">
        <v>0</v>
      </c>
      <c r="Q983" t="b">
        <v>1</v>
      </c>
    </row>
    <row r="984">
      <c r="A984" t="inlineStr">
        <is>
          <t>REQ00983</t>
        </is>
      </c>
      <c r="B984" t="inlineStr">
        <is>
          <t>9845000A4059LC07D266</t>
        </is>
      </c>
      <c r="C984" t="inlineStr">
        <is>
          <t>signatory_change</t>
        </is>
      </c>
      <c r="D984" s="2" t="n">
        <v>46310.69027777778</v>
      </c>
      <c r="E984" s="2" t="n">
        <v>46311.64861111111</v>
      </c>
      <c r="F984" t="inlineStr">
        <is>
          <t>M5</t>
        </is>
      </c>
      <c r="G984" t="inlineStr">
        <is>
          <t>C3</t>
        </is>
      </c>
      <c r="H984" s="2" t="n">
        <v>46310.71319444444</v>
      </c>
      <c r="I984" s="2" t="n">
        <v>46310.71944444445</v>
      </c>
      <c r="J984" t="inlineStr">
        <is>
          <t>Completed</t>
        </is>
      </c>
      <c r="K984" t="n">
        <v>0.71</v>
      </c>
      <c r="L984" t="n">
        <v>8</v>
      </c>
      <c r="M984" t="b">
        <v>0</v>
      </c>
      <c r="N984" t="n">
        <v>0</v>
      </c>
      <c r="O984" t="b">
        <v>1</v>
      </c>
      <c r="P984" t="b">
        <v>0</v>
      </c>
      <c r="Q984" t="b">
        <v>0</v>
      </c>
    </row>
    <row r="985">
      <c r="A985" t="inlineStr">
        <is>
          <t>REQ00984</t>
        </is>
      </c>
      <c r="B985" t="inlineStr">
        <is>
          <t>391200S6STAP9FPJSL98</t>
        </is>
      </c>
      <c r="C985" t="inlineStr">
        <is>
          <t>new_account</t>
        </is>
      </c>
      <c r="D985" s="2" t="n">
        <v>46310.69236111111</v>
      </c>
      <c r="E985" s="2" t="n">
        <v>46314.60902777778</v>
      </c>
      <c r="F985" t="inlineStr">
        <is>
          <t>M2</t>
        </is>
      </c>
      <c r="G985" t="inlineStr">
        <is>
          <t>C1</t>
        </is>
      </c>
      <c r="H985" s="2" t="n">
        <v>46310.72986111111</v>
      </c>
      <c r="I985" s="2" t="n">
        <v>46310.73958333334</v>
      </c>
      <c r="J985" t="inlineStr">
        <is>
          <t>Completed</t>
        </is>
      </c>
      <c r="K985" t="n">
        <v>1.14</v>
      </c>
      <c r="L985" t="n">
        <v>16</v>
      </c>
      <c r="M985" t="b">
        <v>0</v>
      </c>
      <c r="N985" t="n">
        <v>0</v>
      </c>
      <c r="O985" t="b">
        <v>1</v>
      </c>
      <c r="P985" t="b">
        <v>0</v>
      </c>
      <c r="Q985" t="b">
        <v>0</v>
      </c>
    </row>
    <row r="986">
      <c r="A986" t="inlineStr">
        <is>
          <t>REQ00985</t>
        </is>
      </c>
      <c r="B986" t="inlineStr">
        <is>
          <t>222100SLUFRKVZ5W2G81</t>
        </is>
      </c>
      <c r="C986" t="inlineStr">
        <is>
          <t>new_account</t>
        </is>
      </c>
      <c r="D986" s="2" t="n">
        <v>46310.69375</v>
      </c>
      <c r="E986" s="2" t="n">
        <v>46314.61041666667</v>
      </c>
      <c r="F986" t="inlineStr">
        <is>
          <t>M1</t>
        </is>
      </c>
      <c r="G986" t="inlineStr">
        <is>
          <t>C2</t>
        </is>
      </c>
      <c r="H986" s="2" t="n">
        <v>46310.73125</v>
      </c>
      <c r="I986" s="2" t="n">
        <v>46310.74444444444</v>
      </c>
      <c r="J986" t="inlineStr">
        <is>
          <t>Completed</t>
        </is>
      </c>
      <c r="K986" t="n">
        <v>1.21</v>
      </c>
      <c r="L986" t="n">
        <v>16</v>
      </c>
      <c r="M986" t="b">
        <v>0</v>
      </c>
      <c r="N986" t="n">
        <v>0</v>
      </c>
      <c r="O986" t="b">
        <v>1</v>
      </c>
      <c r="P986" t="b">
        <v>0</v>
      </c>
      <c r="Q986" t="b">
        <v>0</v>
      </c>
    </row>
    <row r="987">
      <c r="A987" t="inlineStr">
        <is>
          <t>REQ00986</t>
        </is>
      </c>
      <c r="B987" t="inlineStr">
        <is>
          <t>391200NH110MZQTQAZ53</t>
        </is>
      </c>
      <c r="C987" t="inlineStr">
        <is>
          <t>document_refresh</t>
        </is>
      </c>
      <c r="D987" s="2" t="n">
        <v>46310.71597222222</v>
      </c>
      <c r="E987" s="2" t="n">
        <v>46314.46597222222</v>
      </c>
      <c r="F987" t="inlineStr">
        <is>
          <t>M6</t>
        </is>
      </c>
      <c r="G987" t="inlineStr">
        <is>
          <t>C2</t>
        </is>
      </c>
      <c r="H987" s="2" t="n">
        <v>46310.73055555556</v>
      </c>
      <c r="I987" s="2" t="n">
        <v>46310.73611111111</v>
      </c>
      <c r="J987" t="inlineStr">
        <is>
          <t>Completed</t>
        </is>
      </c>
      <c r="K987" t="n">
        <v>0.48</v>
      </c>
      <c r="L987" t="n">
        <v>12</v>
      </c>
      <c r="M987" t="b">
        <v>0</v>
      </c>
      <c r="N987" t="n">
        <v>0</v>
      </c>
      <c r="O987" t="b">
        <v>1</v>
      </c>
      <c r="P987" t="b">
        <v>0</v>
      </c>
      <c r="Q987" t="b">
        <v>0</v>
      </c>
    </row>
    <row r="988">
      <c r="A988" t="inlineStr">
        <is>
          <t>REQ00987</t>
        </is>
      </c>
      <c r="B988" t="inlineStr">
        <is>
          <t>969500P3ZEKEWHI8M918</t>
        </is>
      </c>
      <c r="C988" t="inlineStr">
        <is>
          <t>document_refresh</t>
        </is>
      </c>
      <c r="D988" s="2" t="n">
        <v>46310.71805555555</v>
      </c>
      <c r="E988" s="2" t="n">
        <v>46314.46805555555</v>
      </c>
      <c r="F988" t="inlineStr">
        <is>
          <t>M3</t>
        </is>
      </c>
      <c r="G988" t="inlineStr">
        <is>
          <t>C2</t>
        </is>
      </c>
      <c r="H988" s="2" t="n">
        <v>46310.72847222222</v>
      </c>
      <c r="I988" s="2" t="n">
        <v>46311.48263888889</v>
      </c>
      <c r="J988" t="inlineStr">
        <is>
          <t>Completed</t>
        </is>
      </c>
      <c r="K988" t="n">
        <v>3.35</v>
      </c>
      <c r="L988" t="n">
        <v>12</v>
      </c>
      <c r="M988" t="b">
        <v>0</v>
      </c>
      <c r="N988" t="n">
        <v>0</v>
      </c>
      <c r="O988" t="b">
        <v>1</v>
      </c>
      <c r="P988" t="b">
        <v>0</v>
      </c>
      <c r="Q988" t="b">
        <v>1</v>
      </c>
    </row>
    <row r="989">
      <c r="A989" t="inlineStr">
        <is>
          <t>REQ00988</t>
        </is>
      </c>
      <c r="B989" t="inlineStr">
        <is>
          <t>213800C75ZK3CC6C8B33</t>
        </is>
      </c>
      <c r="C989" t="inlineStr">
        <is>
          <t>new_account</t>
        </is>
      </c>
      <c r="D989" s="2" t="n">
        <v>46310.71875</v>
      </c>
      <c r="E989" s="2" t="n">
        <v>46314.63541666666</v>
      </c>
      <c r="F989" t="inlineStr">
        <is>
          <t>M5</t>
        </is>
      </c>
      <c r="G989" t="inlineStr">
        <is>
          <t>C1</t>
        </is>
      </c>
      <c r="H989" s="2" t="n">
        <v>46311.38194444445</v>
      </c>
      <c r="I989" s="2" t="n">
        <v>46311.62152777778</v>
      </c>
      <c r="J989" t="inlineStr">
        <is>
          <t>Completed</t>
        </is>
      </c>
      <c r="K989" t="n">
        <v>6.66</v>
      </c>
      <c r="L989" t="n">
        <v>16</v>
      </c>
      <c r="M989" t="b">
        <v>0</v>
      </c>
      <c r="N989" t="n">
        <v>0</v>
      </c>
      <c r="O989" t="b">
        <v>1</v>
      </c>
      <c r="P989" t="b">
        <v>0</v>
      </c>
      <c r="Q989" t="b">
        <v>1</v>
      </c>
    </row>
    <row r="990">
      <c r="A990" t="inlineStr">
        <is>
          <t>REQ00989</t>
        </is>
      </c>
      <c r="B990" t="inlineStr">
        <is>
          <t>549300C0FTBP4DN8B814</t>
        </is>
      </c>
      <c r="C990" t="inlineStr">
        <is>
          <t>document_refresh</t>
        </is>
      </c>
      <c r="D990" s="2" t="n">
        <v>46310.72222222222</v>
      </c>
      <c r="E990" s="2" t="n">
        <v>46314.47222222222</v>
      </c>
      <c r="F990" t="inlineStr">
        <is>
          <t>M4</t>
        </is>
      </c>
      <c r="G990" t="inlineStr">
        <is>
          <t>C1</t>
        </is>
      </c>
      <c r="H990" s="2" t="n">
        <v>46310.74236111111</v>
      </c>
      <c r="I990" s="2" t="n">
        <v>46311.56111111111</v>
      </c>
      <c r="J990" t="inlineStr">
        <is>
          <t>Completed</t>
        </is>
      </c>
      <c r="K990" t="n">
        <v>5.13</v>
      </c>
      <c r="L990" t="n">
        <v>12</v>
      </c>
      <c r="M990" t="b">
        <v>0</v>
      </c>
      <c r="N990" t="n">
        <v>0</v>
      </c>
      <c r="O990" t="b">
        <v>1</v>
      </c>
      <c r="P990" t="b">
        <v>0</v>
      </c>
      <c r="Q990" t="b">
        <v>1</v>
      </c>
    </row>
    <row r="991">
      <c r="A991" t="inlineStr">
        <is>
          <t>REQ00990</t>
        </is>
      </c>
      <c r="B991" t="inlineStr">
        <is>
          <t>969500WKA4CPG4KCON30</t>
        </is>
      </c>
      <c r="C991" t="inlineStr">
        <is>
          <t>data_amendment</t>
        </is>
      </c>
      <c r="D991" s="2" t="n">
        <v>46310.72222222222</v>
      </c>
      <c r="E991" s="2" t="n">
        <v>46311.68055555555</v>
      </c>
      <c r="F991" t="inlineStr">
        <is>
          <t>M3</t>
        </is>
      </c>
      <c r="G991" t="inlineStr">
        <is>
          <t>C3</t>
        </is>
      </c>
      <c r="H991" s="2" t="n">
        <v>46310.74097222222</v>
      </c>
      <c r="I991" s="2" t="n">
        <v>46311.46736111111</v>
      </c>
      <c r="J991" t="inlineStr">
        <is>
          <t>Completed</t>
        </is>
      </c>
      <c r="K991" t="n">
        <v>2.88</v>
      </c>
      <c r="L991" t="n">
        <v>8</v>
      </c>
      <c r="M991" t="b">
        <v>0</v>
      </c>
      <c r="N991" t="n">
        <v>0</v>
      </c>
      <c r="O991" t="b">
        <v>1</v>
      </c>
      <c r="P991" t="b">
        <v>0</v>
      </c>
      <c r="Q991" t="b">
        <v>1</v>
      </c>
    </row>
    <row r="992">
      <c r="A992" t="inlineStr">
        <is>
          <t>REQ00991</t>
        </is>
      </c>
      <c r="B992" t="inlineStr">
        <is>
          <t>254900TGM28PSBIB0P33</t>
        </is>
      </c>
      <c r="C992" t="inlineStr">
        <is>
          <t>signatory_change</t>
        </is>
      </c>
      <c r="D992" s="2" t="n">
        <v>46310.72916666666</v>
      </c>
      <c r="E992" s="2" t="n">
        <v>46311.6875</v>
      </c>
      <c r="F992" t="inlineStr">
        <is>
          <t>M2</t>
        </is>
      </c>
      <c r="G992" t="inlineStr">
        <is>
          <t>C3</t>
        </is>
      </c>
      <c r="H992" s="2" t="n">
        <v>46311.375</v>
      </c>
      <c r="I992" s="2" t="n">
        <v>46311.50416666667</v>
      </c>
      <c r="J992" t="inlineStr">
        <is>
          <t>Completed</t>
        </is>
      </c>
      <c r="K992" t="n">
        <v>3.6</v>
      </c>
      <c r="L992" t="n">
        <v>8</v>
      </c>
      <c r="M992" t="b">
        <v>0</v>
      </c>
      <c r="N992" t="n">
        <v>0</v>
      </c>
      <c r="O992" t="b">
        <v>1</v>
      </c>
      <c r="P992" t="b">
        <v>0</v>
      </c>
      <c r="Q992" t="b">
        <v>1</v>
      </c>
    </row>
    <row r="993">
      <c r="A993" t="inlineStr">
        <is>
          <t>REQ00992</t>
        </is>
      </c>
      <c r="B993" t="inlineStr">
        <is>
          <t>6488SYC674B9705NCG83</t>
        </is>
      </c>
      <c r="C993" t="inlineStr">
        <is>
          <t>document_refresh</t>
        </is>
      </c>
      <c r="D993" s="2" t="n">
        <v>46310.73402777778</v>
      </c>
      <c r="E993" s="2" t="n">
        <v>46314.48402777778</v>
      </c>
      <c r="F993" t="inlineStr">
        <is>
          <t>M6</t>
        </is>
      </c>
      <c r="G993" t="inlineStr">
        <is>
          <t>C2</t>
        </is>
      </c>
      <c r="H993" s="2" t="n">
        <v>46311.37569444445</v>
      </c>
      <c r="I993" s="2" t="n">
        <v>46311.37986111111</v>
      </c>
      <c r="J993" t="inlineStr">
        <is>
          <t>Completed</t>
        </is>
      </c>
      <c r="K993" t="n">
        <v>0.51</v>
      </c>
      <c r="L993" t="n">
        <v>12</v>
      </c>
      <c r="M993" t="b">
        <v>0</v>
      </c>
      <c r="N993" t="n">
        <v>0</v>
      </c>
      <c r="O993" t="b">
        <v>1</v>
      </c>
      <c r="P993" t="b">
        <v>0</v>
      </c>
      <c r="Q993" t="b">
        <v>0</v>
      </c>
    </row>
    <row r="994">
      <c r="A994" t="inlineStr">
        <is>
          <t>REQ00993</t>
        </is>
      </c>
      <c r="B994" t="inlineStr">
        <is>
          <t>3912009HHCS8DXKF0465</t>
        </is>
      </c>
      <c r="C994" t="inlineStr">
        <is>
          <t>document_refresh</t>
        </is>
      </c>
      <c r="D994" s="2" t="n">
        <v>46310.7375</v>
      </c>
      <c r="E994" s="2" t="n">
        <v>46314.4875</v>
      </c>
      <c r="F994" t="inlineStr">
        <is>
          <t>M1</t>
        </is>
      </c>
      <c r="G994" t="inlineStr">
        <is>
          <t>C1</t>
        </is>
      </c>
      <c r="H994" s="2" t="n">
        <v>46311.37569444445</v>
      </c>
      <c r="I994" s="2" t="n">
        <v>46311.55277777778</v>
      </c>
      <c r="J994" t="inlineStr">
        <is>
          <t>Completed</t>
        </is>
      </c>
      <c r="K994" t="n">
        <v>4.57</v>
      </c>
      <c r="L994" t="n">
        <v>12</v>
      </c>
      <c r="M994" t="b">
        <v>0</v>
      </c>
      <c r="N994" t="n">
        <v>0</v>
      </c>
      <c r="O994" t="b">
        <v>1</v>
      </c>
      <c r="P994" t="b">
        <v>0</v>
      </c>
      <c r="Q994" t="b">
        <v>1</v>
      </c>
    </row>
    <row r="995">
      <c r="A995" t="inlineStr">
        <is>
          <t>REQ00994</t>
        </is>
      </c>
      <c r="B995" t="inlineStr">
        <is>
          <t>9845003G5A7EADBFBD62</t>
        </is>
      </c>
      <c r="C995" t="inlineStr">
        <is>
          <t>new_account</t>
        </is>
      </c>
      <c r="D995" s="2" t="n">
        <v>46310.74027777778</v>
      </c>
      <c r="E995" s="2" t="n">
        <v>46314.65694444445</v>
      </c>
      <c r="F995" t="inlineStr">
        <is>
          <t>M3</t>
        </is>
      </c>
      <c r="G995" t="inlineStr">
        <is>
          <t>C3</t>
        </is>
      </c>
      <c r="H995" s="2" t="n">
        <v>46311.39722222222</v>
      </c>
      <c r="I995" s="2" t="n">
        <v>46311.41041666667</v>
      </c>
      <c r="J995" t="inlineStr">
        <is>
          <t>Completed</t>
        </is>
      </c>
      <c r="K995" t="n">
        <v>1.08</v>
      </c>
      <c r="L995" t="n">
        <v>16</v>
      </c>
      <c r="M995" t="b">
        <v>0</v>
      </c>
      <c r="N995" t="n">
        <v>0</v>
      </c>
      <c r="O995" t="b">
        <v>1</v>
      </c>
      <c r="P995" t="b">
        <v>0</v>
      </c>
      <c r="Q995" t="b">
        <v>0</v>
      </c>
    </row>
    <row r="996">
      <c r="A996" t="inlineStr">
        <is>
          <t>REQ00995</t>
        </is>
      </c>
      <c r="B996" t="inlineStr">
        <is>
          <t>969500135ZBNUOPAE358</t>
        </is>
      </c>
      <c r="C996" t="inlineStr">
        <is>
          <t>data_amendment</t>
        </is>
      </c>
      <c r="D996" s="2" t="n">
        <v>46310.74027777778</v>
      </c>
      <c r="E996" s="2" t="n">
        <v>46311.69861111111</v>
      </c>
      <c r="F996" t="inlineStr">
        <is>
          <t>M4</t>
        </is>
      </c>
      <c r="G996" t="inlineStr">
        <is>
          <t>C2</t>
        </is>
      </c>
      <c r="H996" s="2" t="n">
        <v>46311.38055555556</v>
      </c>
      <c r="I996" s="2" t="n">
        <v>46311.55347222222</v>
      </c>
      <c r="J996" t="inlineStr">
        <is>
          <t>Completed</t>
        </is>
      </c>
      <c r="K996" t="n">
        <v>4.52</v>
      </c>
      <c r="L996" t="n">
        <v>8</v>
      </c>
      <c r="M996" t="b">
        <v>0</v>
      </c>
      <c r="N996" t="n">
        <v>0</v>
      </c>
      <c r="O996" t="b">
        <v>1</v>
      </c>
      <c r="P996" t="b">
        <v>0</v>
      </c>
      <c r="Q996" t="b">
        <v>1</v>
      </c>
    </row>
    <row r="997">
      <c r="A997" t="inlineStr">
        <is>
          <t>REQ00996</t>
        </is>
      </c>
      <c r="B997" t="inlineStr">
        <is>
          <t>6488ZFUK99JZ78472N12</t>
        </is>
      </c>
      <c r="C997" t="inlineStr">
        <is>
          <t>new_account</t>
        </is>
      </c>
      <c r="D997" s="2" t="n">
        <v>46310.74305555555</v>
      </c>
      <c r="E997" s="2" t="n">
        <v>46314.65972222222</v>
      </c>
      <c r="F997" t="inlineStr">
        <is>
          <t>M2</t>
        </is>
      </c>
      <c r="G997" t="inlineStr">
        <is>
          <t>C1</t>
        </is>
      </c>
      <c r="H997" s="2" t="n">
        <v>46311.41319444445</v>
      </c>
      <c r="I997" s="2" t="n">
        <v>46311.42569444444</v>
      </c>
      <c r="J997" t="inlineStr">
        <is>
          <t>Completed</t>
        </is>
      </c>
      <c r="K997" t="n">
        <v>1.39</v>
      </c>
      <c r="L997" t="n">
        <v>16</v>
      </c>
      <c r="M997" t="b">
        <v>0</v>
      </c>
      <c r="N997" t="n">
        <v>0</v>
      </c>
      <c r="O997" t="b">
        <v>1</v>
      </c>
      <c r="P997" t="b">
        <v>0</v>
      </c>
      <c r="Q997" t="b">
        <v>0</v>
      </c>
    </row>
    <row r="998">
      <c r="A998" t="inlineStr">
        <is>
          <t>REQ00997</t>
        </is>
      </c>
      <c r="B998" t="inlineStr">
        <is>
          <t>549300VE1MC0G8SWD842</t>
        </is>
      </c>
      <c r="C998" t="inlineStr">
        <is>
          <t>new_account</t>
        </is>
      </c>
      <c r="D998" s="2" t="n">
        <v>46310.74444444444</v>
      </c>
      <c r="E998" s="2" t="n">
        <v>46314.66111111111</v>
      </c>
      <c r="F998" t="inlineStr">
        <is>
          <t>M1</t>
        </is>
      </c>
      <c r="G998" t="inlineStr">
        <is>
          <t>C2</t>
        </is>
      </c>
      <c r="H998" s="2" t="n">
        <v>46311.40833333333</v>
      </c>
      <c r="I998" s="2" t="n">
        <v>46311.61805555555</v>
      </c>
      <c r="J998" t="inlineStr">
        <is>
          <t>Completed</t>
        </is>
      </c>
      <c r="K998" t="n">
        <v>5.97</v>
      </c>
      <c r="L998" t="n">
        <v>16</v>
      </c>
      <c r="M998" t="b">
        <v>0</v>
      </c>
      <c r="N998" t="n">
        <v>1</v>
      </c>
      <c r="O998" t="b">
        <v>0</v>
      </c>
      <c r="P998" t="b">
        <v>1</v>
      </c>
      <c r="Q998" t="b">
        <v>1</v>
      </c>
    </row>
    <row r="999">
      <c r="A999" t="inlineStr">
        <is>
          <t>REQ00998</t>
        </is>
      </c>
      <c r="B999" t="inlineStr">
        <is>
          <t>984500E0E961A441E336</t>
        </is>
      </c>
      <c r="C999" t="inlineStr">
        <is>
          <t>document_refresh</t>
        </is>
      </c>
      <c r="D999" s="2" t="n">
        <v>46310.74930555555</v>
      </c>
      <c r="E999" s="2" t="n">
        <v>46314.49930555555</v>
      </c>
      <c r="F999" t="inlineStr">
        <is>
          <t>M6</t>
        </is>
      </c>
      <c r="G999" t="inlineStr">
        <is>
          <t>C3</t>
        </is>
      </c>
      <c r="H999" s="2" t="n">
        <v>46311.3875</v>
      </c>
      <c r="I999" s="2" t="n">
        <v>46311.39375</v>
      </c>
      <c r="J999" t="inlineStr">
        <is>
          <t>Completed</t>
        </is>
      </c>
      <c r="K999" t="n">
        <v>0.46</v>
      </c>
      <c r="L999" t="n">
        <v>12</v>
      </c>
      <c r="M999" t="b">
        <v>0</v>
      </c>
      <c r="N999" t="n">
        <v>0</v>
      </c>
      <c r="O999" t="b">
        <v>1</v>
      </c>
      <c r="P999" t="b">
        <v>0</v>
      </c>
      <c r="Q999" t="b">
        <v>0</v>
      </c>
    </row>
    <row r="1000">
      <c r="A1000" t="inlineStr">
        <is>
          <t>REQ00999</t>
        </is>
      </c>
      <c r="B1000" t="inlineStr">
        <is>
          <t>213800XAF78HG6LUUS87</t>
        </is>
      </c>
      <c r="C1000" t="inlineStr">
        <is>
          <t>document_refresh</t>
        </is>
      </c>
      <c r="D1000" s="2" t="n">
        <v>46311.37777777778</v>
      </c>
      <c r="E1000" s="2" t="n">
        <v>46314.50277777778</v>
      </c>
      <c r="F1000" t="inlineStr">
        <is>
          <t>M4</t>
        </is>
      </c>
      <c r="G1000" t="inlineStr">
        <is>
          <t>C1</t>
        </is>
      </c>
      <c r="H1000" s="2" t="n">
        <v>46311.39236111111</v>
      </c>
      <c r="I1000" s="2" t="n">
        <v>46311.39861111111</v>
      </c>
      <c r="J1000" t="inlineStr">
        <is>
          <t>Completed</t>
        </is>
      </c>
      <c r="K1000" t="n">
        <v>0.5</v>
      </c>
      <c r="L1000" t="n">
        <v>12</v>
      </c>
      <c r="M1000" t="b">
        <v>0</v>
      </c>
      <c r="N1000" t="n">
        <v>0</v>
      </c>
      <c r="O1000" t="b">
        <v>1</v>
      </c>
      <c r="P1000" t="b">
        <v>0</v>
      </c>
      <c r="Q1000" t="b">
        <v>0</v>
      </c>
    </row>
    <row r="1001">
      <c r="A1001" t="inlineStr">
        <is>
          <t>REQ01000</t>
        </is>
      </c>
      <c r="B1001" t="inlineStr">
        <is>
          <t>984500D6B37893E77238</t>
        </is>
      </c>
      <c r="C1001" t="inlineStr">
        <is>
          <t>signatory_change</t>
        </is>
      </c>
      <c r="D1001" s="2" t="n">
        <v>46311.37847222222</v>
      </c>
      <c r="E1001" s="2" t="n">
        <v>46311.71180555555</v>
      </c>
      <c r="F1001" t="inlineStr">
        <is>
          <t>M5</t>
        </is>
      </c>
      <c r="G1001" t="inlineStr">
        <is>
          <t>C1</t>
        </is>
      </c>
      <c r="H1001" s="2" t="n">
        <v>46311.39791666667</v>
      </c>
      <c r="I1001" s="2" t="n">
        <v>46311.40625</v>
      </c>
      <c r="J1001" t="inlineStr">
        <is>
          <t>Completed</t>
        </is>
      </c>
      <c r="K1001" t="n">
        <v>0.66</v>
      </c>
      <c r="L1001" t="n">
        <v>8</v>
      </c>
      <c r="M1001" t="b">
        <v>0</v>
      </c>
      <c r="N1001" t="n">
        <v>0</v>
      </c>
      <c r="O1001" t="b">
        <v>1</v>
      </c>
      <c r="P1001" t="b">
        <v>0</v>
      </c>
      <c r="Q1001" t="b">
        <v>0</v>
      </c>
    </row>
    <row r="1002">
      <c r="A1002" t="inlineStr">
        <is>
          <t>REQ01001</t>
        </is>
      </c>
      <c r="B1002" t="inlineStr">
        <is>
          <t>213800BJVVNNQRWAGM02</t>
        </is>
      </c>
      <c r="C1002" t="inlineStr">
        <is>
          <t>signatory_change</t>
        </is>
      </c>
      <c r="D1002" s="2" t="n">
        <v>46311.38055555556</v>
      </c>
      <c r="E1002" s="2" t="n">
        <v>46311.71388888889</v>
      </c>
      <c r="F1002" t="inlineStr">
        <is>
          <t>M6</t>
        </is>
      </c>
      <c r="G1002" t="inlineStr">
        <is>
          <t>C2</t>
        </is>
      </c>
      <c r="H1002" s="2" t="n">
        <v>46311.40625</v>
      </c>
      <c r="I1002" s="2" t="n">
        <v>46311.50208333333</v>
      </c>
      <c r="J1002" t="inlineStr">
        <is>
          <t>Completed</t>
        </is>
      </c>
      <c r="K1002" t="n">
        <v>2.92</v>
      </c>
      <c r="L1002" t="n">
        <v>8</v>
      </c>
      <c r="M1002" t="b">
        <v>0</v>
      </c>
      <c r="N1002" t="n">
        <v>0</v>
      </c>
      <c r="O1002" t="b">
        <v>1</v>
      </c>
      <c r="P1002" t="b">
        <v>0</v>
      </c>
      <c r="Q1002" t="b">
        <v>1</v>
      </c>
    </row>
    <row r="1003">
      <c r="A1003" t="inlineStr">
        <is>
          <t>REQ01002</t>
        </is>
      </c>
      <c r="B1003" t="inlineStr">
        <is>
          <t>33580081CPNRUWQGJM29</t>
        </is>
      </c>
      <c r="C1003" t="inlineStr">
        <is>
          <t>new_account</t>
        </is>
      </c>
      <c r="D1003" s="2" t="n">
        <v>46311.38333333333</v>
      </c>
      <c r="E1003" s="2" t="n">
        <v>46314.675</v>
      </c>
      <c r="F1003" t="inlineStr">
        <is>
          <t>M4</t>
        </is>
      </c>
      <c r="G1003" t="inlineStr">
        <is>
          <t>C3</t>
        </is>
      </c>
      <c r="H1003" s="2" t="n">
        <v>46311.42569444444</v>
      </c>
      <c r="I1003" s="2" t="n">
        <v>46311.43611111111</v>
      </c>
      <c r="J1003" t="inlineStr">
        <is>
          <t>Completed</t>
        </is>
      </c>
      <c r="K1003" t="n">
        <v>1.27</v>
      </c>
      <c r="L1003" t="n">
        <v>16</v>
      </c>
      <c r="M1003" t="b">
        <v>0</v>
      </c>
      <c r="N1003" t="n">
        <v>0</v>
      </c>
      <c r="O1003" t="b">
        <v>1</v>
      </c>
      <c r="P1003" t="b">
        <v>0</v>
      </c>
      <c r="Q1003" t="b">
        <v>0</v>
      </c>
    </row>
    <row r="1004">
      <c r="A1004" t="inlineStr">
        <is>
          <t>REQ01003</t>
        </is>
      </c>
      <c r="B1004" t="inlineStr">
        <is>
          <t>6354009CX2AUPTHF5S42</t>
        </is>
      </c>
      <c r="C1004" t="inlineStr">
        <is>
          <t>new_account</t>
        </is>
      </c>
      <c r="D1004" s="2" t="n">
        <v>46311.38541666666</v>
      </c>
      <c r="E1004" s="2" t="n">
        <v>46314.67708333334</v>
      </c>
      <c r="F1004" t="inlineStr">
        <is>
          <t>M3</t>
        </is>
      </c>
      <c r="G1004" t="inlineStr">
        <is>
          <t>C1</t>
        </is>
      </c>
      <c r="H1004" s="2" t="n">
        <v>46311.42986111111</v>
      </c>
      <c r="I1004" s="2" t="n">
        <v>46311.44097222222</v>
      </c>
      <c r="J1004" t="inlineStr">
        <is>
          <t>Completed</t>
        </is>
      </c>
      <c r="K1004" t="n">
        <v>1.33</v>
      </c>
      <c r="L1004" t="n">
        <v>16</v>
      </c>
      <c r="M1004" t="b">
        <v>0</v>
      </c>
      <c r="N1004" t="n">
        <v>0</v>
      </c>
      <c r="O1004" t="b">
        <v>1</v>
      </c>
      <c r="P1004" t="b">
        <v>0</v>
      </c>
      <c r="Q1004" t="b">
        <v>0</v>
      </c>
    </row>
    <row r="1005">
      <c r="A1005" t="inlineStr">
        <is>
          <t>REQ01004</t>
        </is>
      </c>
      <c r="B1005" t="inlineStr">
        <is>
          <t>96950061SO7OYIB3P982</t>
        </is>
      </c>
      <c r="C1005" t="inlineStr">
        <is>
          <t>document_refresh</t>
        </is>
      </c>
      <c r="D1005" s="2" t="n">
        <v>46311.39861111111</v>
      </c>
      <c r="E1005" s="2" t="n">
        <v>46314.52361111111</v>
      </c>
      <c r="F1005" t="inlineStr">
        <is>
          <t>M5</t>
        </is>
      </c>
      <c r="G1005" t="inlineStr">
        <is>
          <t>C2</t>
        </is>
      </c>
      <c r="H1005" s="2" t="n">
        <v>46311.41527777778</v>
      </c>
      <c r="I1005" s="2" t="n">
        <v>46311.50972222222</v>
      </c>
      <c r="J1005" t="inlineStr">
        <is>
          <t>Completed</t>
        </is>
      </c>
      <c r="K1005" t="n">
        <v>2.67</v>
      </c>
      <c r="L1005" t="n">
        <v>12</v>
      </c>
      <c r="M1005" t="b">
        <v>0</v>
      </c>
      <c r="N1005" t="n">
        <v>0</v>
      </c>
      <c r="O1005" t="b">
        <v>1</v>
      </c>
      <c r="P1005" t="b">
        <v>0</v>
      </c>
      <c r="Q1005" t="b">
        <v>1</v>
      </c>
    </row>
    <row r="1006">
      <c r="A1006" t="inlineStr">
        <is>
          <t>REQ01005</t>
        </is>
      </c>
      <c r="B1006" t="inlineStr">
        <is>
          <t>894500ELTCJ12PEV0133</t>
        </is>
      </c>
      <c r="C1006" t="inlineStr">
        <is>
          <t>new_account</t>
        </is>
      </c>
      <c r="D1006" s="2" t="n">
        <v>46311.39930555555</v>
      </c>
      <c r="E1006" s="2" t="n">
        <v>46314.69097222222</v>
      </c>
      <c r="F1006" t="inlineStr">
        <is>
          <t>M6</t>
        </is>
      </c>
      <c r="G1006" t="inlineStr">
        <is>
          <t>C2</t>
        </is>
      </c>
      <c r="H1006" s="2" t="n">
        <v>46311.42916666667</v>
      </c>
      <c r="I1006" s="2" t="n">
        <v>46311.64791666667</v>
      </c>
      <c r="J1006" t="inlineStr">
        <is>
          <t>Completed</t>
        </is>
      </c>
      <c r="K1006" t="n">
        <v>5.97</v>
      </c>
      <c r="L1006" t="n">
        <v>16</v>
      </c>
      <c r="M1006" t="b">
        <v>0</v>
      </c>
      <c r="N1006" t="n">
        <v>0</v>
      </c>
      <c r="O1006" t="b">
        <v>1</v>
      </c>
      <c r="P1006" t="b">
        <v>0</v>
      </c>
      <c r="Q1006" t="b">
        <v>1</v>
      </c>
    </row>
    <row r="1007">
      <c r="A1007" t="inlineStr">
        <is>
          <t>REQ01006</t>
        </is>
      </c>
      <c r="B1007" t="inlineStr">
        <is>
          <t>33580066HMMCI1X8I737</t>
        </is>
      </c>
      <c r="C1007" t="inlineStr">
        <is>
          <t>data_amendment</t>
        </is>
      </c>
      <c r="D1007" s="2" t="n">
        <v>46311.40208333333</v>
      </c>
      <c r="E1007" s="2" t="n">
        <v>46311.73541666667</v>
      </c>
      <c r="F1007" t="inlineStr">
        <is>
          <t>M1</t>
        </is>
      </c>
      <c r="G1007" t="inlineStr">
        <is>
          <t>C3</t>
        </is>
      </c>
      <c r="H1007" s="2" t="n">
        <v>46311.41875</v>
      </c>
      <c r="I1007" s="2" t="n">
        <v>46311.42222222222</v>
      </c>
      <c r="J1007" t="inlineStr">
        <is>
          <t>Completed</t>
        </is>
      </c>
      <c r="K1007" t="n">
        <v>0.49</v>
      </c>
      <c r="L1007" t="n">
        <v>8</v>
      </c>
      <c r="M1007" t="b">
        <v>0</v>
      </c>
      <c r="N1007" t="n">
        <v>0</v>
      </c>
      <c r="O1007" t="b">
        <v>1</v>
      </c>
      <c r="P1007" t="b">
        <v>0</v>
      </c>
      <c r="Q1007" t="b">
        <v>0</v>
      </c>
    </row>
    <row r="1008">
      <c r="A1008" t="inlineStr">
        <is>
          <t>REQ01007</t>
        </is>
      </c>
      <c r="B1008" t="inlineStr">
        <is>
          <t>254900DK1TY89YGG7C96</t>
        </is>
      </c>
      <c r="C1008" t="inlineStr">
        <is>
          <t>signatory_change</t>
        </is>
      </c>
      <c r="D1008" s="2" t="n">
        <v>46311.40208333333</v>
      </c>
      <c r="E1008" s="2" t="n">
        <v>46311.73541666667</v>
      </c>
      <c r="F1008" t="inlineStr">
        <is>
          <t>M2</t>
        </is>
      </c>
      <c r="G1008" t="inlineStr">
        <is>
          <t>C2</t>
        </is>
      </c>
      <c r="H1008" s="2" t="n">
        <v>46311.43125</v>
      </c>
      <c r="I1008" s="2" t="n">
        <v>46311.43888888889</v>
      </c>
      <c r="J1008" t="inlineStr">
        <is>
          <t>Completed</t>
        </is>
      </c>
      <c r="K1008" t="n">
        <v>0.88</v>
      </c>
      <c r="L1008" t="n">
        <v>8</v>
      </c>
      <c r="M1008" t="b">
        <v>0</v>
      </c>
      <c r="N1008" t="n">
        <v>0</v>
      </c>
      <c r="O1008" t="b">
        <v>1</v>
      </c>
      <c r="P1008" t="b">
        <v>0</v>
      </c>
      <c r="Q1008" t="b">
        <v>0</v>
      </c>
    </row>
    <row r="1009">
      <c r="A1009" t="inlineStr">
        <is>
          <t>REQ01008</t>
        </is>
      </c>
      <c r="B1009" t="inlineStr">
        <is>
          <t>335800MN88UROT2CBT58</t>
        </is>
      </c>
      <c r="C1009" t="inlineStr">
        <is>
          <t>document_refresh</t>
        </is>
      </c>
      <c r="D1009" s="2" t="n">
        <v>46311.40347222222</v>
      </c>
      <c r="E1009" s="2" t="n">
        <v>46314.52847222222</v>
      </c>
      <c r="F1009" t="inlineStr">
        <is>
          <t>M5</t>
        </is>
      </c>
      <c r="G1009" t="inlineStr">
        <is>
          <t>C3</t>
        </is>
      </c>
      <c r="H1009" s="2" t="n">
        <v>46311.43194444444</v>
      </c>
      <c r="I1009" s="2" t="n">
        <v>46311.44097222222</v>
      </c>
      <c r="J1009" t="inlineStr">
        <is>
          <t>Completed</t>
        </is>
      </c>
      <c r="K1009" t="n">
        <v>0.9</v>
      </c>
      <c r="L1009" t="n">
        <v>12</v>
      </c>
      <c r="M1009" t="b">
        <v>0</v>
      </c>
      <c r="N1009" t="n">
        <v>0</v>
      </c>
      <c r="O1009" t="b">
        <v>1</v>
      </c>
      <c r="P1009" t="b">
        <v>0</v>
      </c>
      <c r="Q1009" t="b">
        <v>0</v>
      </c>
    </row>
    <row r="1010">
      <c r="A1010" t="inlineStr">
        <is>
          <t>REQ01009</t>
        </is>
      </c>
      <c r="B1010" t="inlineStr">
        <is>
          <t>724500RK18TLUDR3P225</t>
        </is>
      </c>
      <c r="C1010" t="inlineStr">
        <is>
          <t>new_account</t>
        </is>
      </c>
      <c r="D1010" s="2" t="n">
        <v>46311.40416666667</v>
      </c>
      <c r="E1010" s="2" t="n">
        <v>46314.69583333333</v>
      </c>
      <c r="F1010" t="inlineStr">
        <is>
          <t>M1</t>
        </is>
      </c>
      <c r="G1010" t="inlineStr">
        <is>
          <t>C1</t>
        </is>
      </c>
      <c r="H1010" s="2" t="n">
        <v>46311.45138888889</v>
      </c>
      <c r="I1010" s="2" t="n">
        <v>46311.46458333333</v>
      </c>
      <c r="J1010" t="inlineStr">
        <is>
          <t>Completed</t>
        </is>
      </c>
      <c r="K1010" t="n">
        <v>1.44</v>
      </c>
      <c r="L1010" t="n">
        <v>16</v>
      </c>
      <c r="M1010" t="b">
        <v>0</v>
      </c>
      <c r="N1010" t="n">
        <v>0</v>
      </c>
      <c r="O1010" t="b">
        <v>1</v>
      </c>
      <c r="P1010" t="b">
        <v>0</v>
      </c>
      <c r="Q1010" t="b">
        <v>0</v>
      </c>
    </row>
    <row r="1011">
      <c r="A1011" t="inlineStr">
        <is>
          <t>REQ01010</t>
        </is>
      </c>
      <c r="B1011" t="inlineStr">
        <is>
          <t>969500S6BO5KZUAFT247</t>
        </is>
      </c>
      <c r="C1011" t="inlineStr">
        <is>
          <t>data_amendment</t>
        </is>
      </c>
      <c r="D1011" s="2" t="n">
        <v>46311.40694444445</v>
      </c>
      <c r="E1011" s="2" t="n">
        <v>46311.74027777778</v>
      </c>
      <c r="F1011" t="inlineStr">
        <is>
          <t>M4</t>
        </is>
      </c>
      <c r="G1011" t="inlineStr">
        <is>
          <t>C3</t>
        </is>
      </c>
      <c r="H1011" s="2" t="n">
        <v>46311.43680555555</v>
      </c>
      <c r="I1011" s="2" t="n">
        <v>46311.44583333333</v>
      </c>
      <c r="J1011" t="inlineStr">
        <is>
          <t>Completed</t>
        </is>
      </c>
      <c r="K1011" t="n">
        <v>0.9399999999999999</v>
      </c>
      <c r="L1011" t="n">
        <v>8</v>
      </c>
      <c r="M1011" t="b">
        <v>0</v>
      </c>
      <c r="N1011" t="n">
        <v>0</v>
      </c>
      <c r="O1011" t="b">
        <v>1</v>
      </c>
      <c r="P1011" t="b">
        <v>0</v>
      </c>
      <c r="Q1011" t="b">
        <v>0</v>
      </c>
    </row>
    <row r="1012">
      <c r="A1012" t="inlineStr">
        <is>
          <t>REQ01011</t>
        </is>
      </c>
      <c r="B1012" t="inlineStr">
        <is>
          <t>549300W2CJZLNISW2I31</t>
        </is>
      </c>
      <c r="C1012" t="inlineStr">
        <is>
          <t>document_refresh</t>
        </is>
      </c>
      <c r="D1012" s="2" t="n">
        <v>46311.40763888889</v>
      </c>
      <c r="E1012" s="2" t="n">
        <v>46314.53263888889</v>
      </c>
      <c r="F1012" t="inlineStr">
        <is>
          <t>M6</t>
        </is>
      </c>
      <c r="G1012" t="inlineStr">
        <is>
          <t>C2</t>
        </is>
      </c>
      <c r="H1012" s="2" t="n">
        <v>46311.44305555556</v>
      </c>
      <c r="I1012" s="2" t="n">
        <v>46311.60902777778</v>
      </c>
      <c r="J1012" t="inlineStr">
        <is>
          <t>Completed</t>
        </is>
      </c>
      <c r="K1012" t="n">
        <v>4.83</v>
      </c>
      <c r="L1012" t="n">
        <v>12</v>
      </c>
      <c r="M1012" t="b">
        <v>0</v>
      </c>
      <c r="N1012" t="n">
        <v>0</v>
      </c>
      <c r="O1012" t="b">
        <v>1</v>
      </c>
      <c r="P1012" t="b">
        <v>0</v>
      </c>
      <c r="Q1012" t="b">
        <v>1</v>
      </c>
    </row>
    <row r="1013">
      <c r="A1013" t="inlineStr">
        <is>
          <t>REQ01012</t>
        </is>
      </c>
      <c r="B1013" t="inlineStr">
        <is>
          <t>213800JABB7RJ8VJWT68</t>
        </is>
      </c>
      <c r="C1013" t="inlineStr">
        <is>
          <t>document_refresh</t>
        </is>
      </c>
      <c r="D1013" s="2" t="n">
        <v>46311.41597222222</v>
      </c>
      <c r="E1013" s="2" t="n">
        <v>46314.54097222222</v>
      </c>
      <c r="F1013" t="inlineStr">
        <is>
          <t>M3</t>
        </is>
      </c>
      <c r="G1013" t="inlineStr">
        <is>
          <t>C2</t>
        </is>
      </c>
      <c r="H1013" s="2" t="n">
        <v>46311.44513888889</v>
      </c>
      <c r="I1013" s="2" t="n">
        <v>46311.62222222222</v>
      </c>
      <c r="J1013" t="inlineStr">
        <is>
          <t>Completed</t>
        </is>
      </c>
      <c r="K1013" t="n">
        <v>4.96</v>
      </c>
      <c r="L1013" t="n">
        <v>12</v>
      </c>
      <c r="M1013" t="b">
        <v>0</v>
      </c>
      <c r="N1013" t="n">
        <v>0</v>
      </c>
      <c r="O1013" t="b">
        <v>1</v>
      </c>
      <c r="P1013" t="b">
        <v>0</v>
      </c>
      <c r="Q1013" t="b">
        <v>1</v>
      </c>
    </row>
    <row r="1014">
      <c r="A1014" t="inlineStr">
        <is>
          <t>REQ01013</t>
        </is>
      </c>
      <c r="B1014" t="inlineStr">
        <is>
          <t>254900JXH6B493IUI390</t>
        </is>
      </c>
      <c r="C1014" t="inlineStr">
        <is>
          <t>signatory_change</t>
        </is>
      </c>
      <c r="D1014" s="2" t="n">
        <v>46311.42013888889</v>
      </c>
      <c r="E1014" s="2" t="n">
        <v>46314.37847222222</v>
      </c>
      <c r="F1014" t="inlineStr">
        <is>
          <t>M2</t>
        </is>
      </c>
      <c r="G1014" t="inlineStr">
        <is>
          <t>C2</t>
        </is>
      </c>
      <c r="H1014" s="2" t="n">
        <v>46311.44791666666</v>
      </c>
      <c r="I1014" s="2" t="n">
        <v>46311.69166666667</v>
      </c>
      <c r="J1014" t="inlineStr">
        <is>
          <t>Completed</t>
        </is>
      </c>
      <c r="K1014" t="n">
        <v>6.51</v>
      </c>
      <c r="L1014" t="n">
        <v>8</v>
      </c>
      <c r="M1014" t="b">
        <v>0</v>
      </c>
      <c r="N1014" t="n">
        <v>0</v>
      </c>
      <c r="O1014" t="b">
        <v>1</v>
      </c>
      <c r="P1014" t="b">
        <v>0</v>
      </c>
      <c r="Q1014" t="b">
        <v>1</v>
      </c>
    </row>
    <row r="1015">
      <c r="A1015" t="inlineStr">
        <is>
          <t>REQ01014</t>
        </is>
      </c>
      <c r="B1015" t="inlineStr">
        <is>
          <t>213800RVKB9XDQOSTY32</t>
        </is>
      </c>
      <c r="C1015" t="inlineStr">
        <is>
          <t>data_amendment</t>
        </is>
      </c>
      <c r="D1015" s="2" t="n">
        <v>46311.42083333333</v>
      </c>
      <c r="E1015" s="2" t="n">
        <v>46314.37916666667</v>
      </c>
      <c r="F1015" t="inlineStr">
        <is>
          <t>M5</t>
        </is>
      </c>
      <c r="G1015" t="inlineStr">
        <is>
          <t>C1</t>
        </is>
      </c>
      <c r="H1015" s="2" t="n">
        <v>46311.44236111111</v>
      </c>
      <c r="I1015" s="2" t="n">
        <v>46311.44583333333</v>
      </c>
      <c r="J1015" t="inlineStr">
        <is>
          <t>Completed</t>
        </is>
      </c>
      <c r="K1015" t="n">
        <v>0.59</v>
      </c>
      <c r="L1015" t="n">
        <v>8</v>
      </c>
      <c r="M1015" t="b">
        <v>0</v>
      </c>
      <c r="N1015" t="n">
        <v>0</v>
      </c>
      <c r="O1015" t="b">
        <v>1</v>
      </c>
      <c r="P1015" t="b">
        <v>0</v>
      </c>
      <c r="Q1015" t="b">
        <v>0</v>
      </c>
    </row>
    <row r="1016">
      <c r="A1016" t="inlineStr">
        <is>
          <t>REQ01015</t>
        </is>
      </c>
      <c r="B1016" t="inlineStr">
        <is>
          <t>984500PEIC30FF5E9407</t>
        </is>
      </c>
      <c r="C1016" t="inlineStr">
        <is>
          <t>signatory_change</t>
        </is>
      </c>
      <c r="D1016" s="2" t="n">
        <v>46311.425</v>
      </c>
      <c r="E1016" s="2" t="n">
        <v>46314.38333333333</v>
      </c>
      <c r="F1016" t="inlineStr">
        <is>
          <t>M4</t>
        </is>
      </c>
      <c r="G1016" t="inlineStr">
        <is>
          <t>C2</t>
        </is>
      </c>
      <c r="H1016" s="2" t="n">
        <v>46311.45416666667</v>
      </c>
      <c r="I1016" s="2" t="n">
        <v>46311.46180555555</v>
      </c>
      <c r="J1016" t="inlineStr">
        <is>
          <t>Completed</t>
        </is>
      </c>
      <c r="K1016" t="n">
        <v>0.89</v>
      </c>
      <c r="L1016" t="n">
        <v>8</v>
      </c>
      <c r="M1016" t="b">
        <v>0</v>
      </c>
      <c r="N1016" t="n">
        <v>0</v>
      </c>
      <c r="O1016" t="b">
        <v>1</v>
      </c>
      <c r="P1016" t="b">
        <v>0</v>
      </c>
      <c r="Q1016" t="b">
        <v>0</v>
      </c>
    </row>
    <row r="1017">
      <c r="A1017" t="inlineStr">
        <is>
          <t>REQ01016</t>
        </is>
      </c>
      <c r="B1017" t="inlineStr">
        <is>
          <t>529900B8K9L5F1OKC848</t>
        </is>
      </c>
      <c r="C1017" t="inlineStr">
        <is>
          <t>document_refresh</t>
        </is>
      </c>
      <c r="D1017" s="2" t="n">
        <v>46311.43541666667</v>
      </c>
      <c r="E1017" s="2" t="n">
        <v>46314.56041666667</v>
      </c>
      <c r="F1017" t="inlineStr">
        <is>
          <t>M5</t>
        </is>
      </c>
      <c r="G1017" t="inlineStr">
        <is>
          <t>C3</t>
        </is>
      </c>
      <c r="H1017" s="2" t="n">
        <v>46311.45416666667</v>
      </c>
      <c r="I1017" s="2" t="n">
        <v>46311.46041666667</v>
      </c>
      <c r="J1017" t="inlineStr">
        <is>
          <t>Completed</t>
        </is>
      </c>
      <c r="K1017" t="n">
        <v>0.6</v>
      </c>
      <c r="L1017" t="n">
        <v>12</v>
      </c>
      <c r="M1017" t="b">
        <v>0</v>
      </c>
      <c r="N1017" t="n">
        <v>0</v>
      </c>
      <c r="O1017" t="b">
        <v>1</v>
      </c>
      <c r="P1017" t="b">
        <v>0</v>
      </c>
      <c r="Q1017" t="b">
        <v>0</v>
      </c>
    </row>
    <row r="1018">
      <c r="A1018" t="inlineStr">
        <is>
          <t>REQ01017</t>
        </is>
      </c>
      <c r="B1018" t="inlineStr">
        <is>
          <t>54930017NDCHUKMHMP44</t>
        </is>
      </c>
      <c r="C1018" t="inlineStr">
        <is>
          <t>document_refresh</t>
        </is>
      </c>
      <c r="D1018" s="2" t="n">
        <v>46311.4375</v>
      </c>
      <c r="E1018" s="2" t="n">
        <v>46314.5625</v>
      </c>
      <c r="F1018" t="inlineStr">
        <is>
          <t>M6</t>
        </is>
      </c>
      <c r="G1018" t="inlineStr">
        <is>
          <t>C3</t>
        </is>
      </c>
      <c r="H1018" s="2" t="n">
        <v>46311.45763888889</v>
      </c>
      <c r="I1018" s="2" t="n">
        <v>46311.67152777778</v>
      </c>
      <c r="J1018" t="inlineStr">
        <is>
          <t>Completed</t>
        </is>
      </c>
      <c r="K1018" t="n">
        <v>5.61</v>
      </c>
      <c r="L1018" t="n">
        <v>12</v>
      </c>
      <c r="M1018" t="b">
        <v>0</v>
      </c>
      <c r="N1018" t="n">
        <v>0</v>
      </c>
      <c r="O1018" t="b">
        <v>1</v>
      </c>
      <c r="P1018" t="b">
        <v>0</v>
      </c>
      <c r="Q1018" t="b">
        <v>1</v>
      </c>
    </row>
    <row r="1019">
      <c r="A1019" t="inlineStr">
        <is>
          <t>REQ01018</t>
        </is>
      </c>
      <c r="B1019" t="inlineStr">
        <is>
          <t>7245006YSMWH8SX6QE23</t>
        </is>
      </c>
      <c r="C1019" t="inlineStr">
        <is>
          <t>data_amendment</t>
        </is>
      </c>
      <c r="D1019" s="2" t="n">
        <v>46311.44513888889</v>
      </c>
      <c r="E1019" s="2" t="n">
        <v>46314.40347222222</v>
      </c>
      <c r="F1019" t="inlineStr">
        <is>
          <t>M3</t>
        </is>
      </c>
      <c r="G1019" t="inlineStr">
        <is>
          <t>C3</t>
        </is>
      </c>
      <c r="H1019" s="2" t="n">
        <v>46311.45625</v>
      </c>
      <c r="I1019" s="2" t="n">
        <v>46311.46458333333</v>
      </c>
      <c r="J1019" t="inlineStr">
        <is>
          <t>Completed</t>
        </is>
      </c>
      <c r="K1019" t="n">
        <v>0.46</v>
      </c>
      <c r="L1019" t="n">
        <v>8</v>
      </c>
      <c r="M1019" t="b">
        <v>0</v>
      </c>
      <c r="N1019" t="n">
        <v>0</v>
      </c>
      <c r="O1019" t="b">
        <v>1</v>
      </c>
      <c r="P1019" t="b">
        <v>0</v>
      </c>
      <c r="Q1019" t="b">
        <v>0</v>
      </c>
    </row>
    <row r="1020">
      <c r="A1020" t="inlineStr">
        <is>
          <t>REQ01019</t>
        </is>
      </c>
      <c r="B1020" t="inlineStr">
        <is>
          <t>213800SNRHJV729TFC72</t>
        </is>
      </c>
      <c r="C1020" t="inlineStr">
        <is>
          <t>new_account</t>
        </is>
      </c>
      <c r="D1020" s="2" t="n">
        <v>46311.44930555556</v>
      </c>
      <c r="E1020" s="2" t="n">
        <v>46314.74097222222</v>
      </c>
      <c r="F1020" t="inlineStr">
        <is>
          <t>M2</t>
        </is>
      </c>
      <c r="G1020" t="inlineStr">
        <is>
          <t>C3</t>
        </is>
      </c>
      <c r="H1020" s="2" t="n">
        <v>46311.48055555556</v>
      </c>
      <c r="I1020" s="2" t="n">
        <v>46311.49097222222</v>
      </c>
      <c r="J1020" t="inlineStr">
        <is>
          <t>Completed</t>
        </is>
      </c>
      <c r="K1020" t="n">
        <v>1</v>
      </c>
      <c r="L1020" t="n">
        <v>16</v>
      </c>
      <c r="M1020" t="b">
        <v>0</v>
      </c>
      <c r="N1020" t="n">
        <v>0</v>
      </c>
      <c r="O1020" t="b">
        <v>1</v>
      </c>
      <c r="P1020" t="b">
        <v>0</v>
      </c>
      <c r="Q1020" t="b">
        <v>0</v>
      </c>
    </row>
    <row r="1021">
      <c r="A1021" t="inlineStr">
        <is>
          <t>REQ01020</t>
        </is>
      </c>
      <c r="B1021" t="inlineStr">
        <is>
          <t>5493000UXS0FQEM5GS06</t>
        </is>
      </c>
      <c r="C1021" t="inlineStr">
        <is>
          <t>signatory_change</t>
        </is>
      </c>
      <c r="D1021" s="2" t="n">
        <v>46311.45763888889</v>
      </c>
      <c r="E1021" s="2" t="n">
        <v>46314.41597222222</v>
      </c>
      <c r="F1021" t="inlineStr">
        <is>
          <t>M1</t>
        </is>
      </c>
      <c r="G1021" t="inlineStr">
        <is>
          <t>C1</t>
        </is>
      </c>
      <c r="H1021" s="2" t="n">
        <v>46311.48194444444</v>
      </c>
      <c r="I1021" s="2" t="n">
        <v>46311.71458333333</v>
      </c>
      <c r="J1021" t="inlineStr">
        <is>
          <t>Completed</t>
        </is>
      </c>
      <c r="K1021" t="n">
        <v>6.17</v>
      </c>
      <c r="L1021" t="n">
        <v>8</v>
      </c>
      <c r="M1021" t="b">
        <v>0</v>
      </c>
      <c r="N1021" t="n">
        <v>0</v>
      </c>
      <c r="O1021" t="b">
        <v>1</v>
      </c>
      <c r="P1021" t="b">
        <v>0</v>
      </c>
      <c r="Q1021" t="b">
        <v>1</v>
      </c>
    </row>
    <row r="1022">
      <c r="A1022" t="inlineStr">
        <is>
          <t>REQ01021</t>
        </is>
      </c>
      <c r="B1022" t="inlineStr">
        <is>
          <t>969500NQIL88L70NAP20</t>
        </is>
      </c>
      <c r="C1022" t="inlineStr">
        <is>
          <t>document_refresh</t>
        </is>
      </c>
      <c r="D1022" s="2" t="n">
        <v>46311.45902777778</v>
      </c>
      <c r="E1022" s="2" t="n">
        <v>46314.58402777778</v>
      </c>
      <c r="F1022" t="inlineStr">
        <is>
          <t>M5</t>
        </is>
      </c>
      <c r="G1022" t="inlineStr">
        <is>
          <t>C1</t>
        </is>
      </c>
      <c r="H1022" s="2" t="n">
        <v>46311.46944444445</v>
      </c>
      <c r="I1022" s="2" t="n">
        <v>46311.58263888889</v>
      </c>
      <c r="J1022" t="inlineStr">
        <is>
          <t>Completed</t>
        </is>
      </c>
      <c r="K1022" t="n">
        <v>2.96</v>
      </c>
      <c r="L1022" t="n">
        <v>12</v>
      </c>
      <c r="M1022" t="b">
        <v>0</v>
      </c>
      <c r="N1022" t="n">
        <v>0</v>
      </c>
      <c r="O1022" t="b">
        <v>1</v>
      </c>
      <c r="P1022" t="b">
        <v>0</v>
      </c>
      <c r="Q1022" t="b">
        <v>1</v>
      </c>
    </row>
    <row r="1023">
      <c r="A1023" t="inlineStr">
        <is>
          <t>REQ01022</t>
        </is>
      </c>
      <c r="B1023" t="inlineStr">
        <is>
          <t>549300LI8QEKXKL0TU58</t>
        </is>
      </c>
      <c r="C1023" t="inlineStr">
        <is>
          <t>signatory_change</t>
        </is>
      </c>
      <c r="D1023" s="2" t="n">
        <v>46311.46111111111</v>
      </c>
      <c r="E1023" s="2" t="n">
        <v>46314.41944444444</v>
      </c>
      <c r="F1023" t="inlineStr">
        <is>
          <t>M4</t>
        </is>
      </c>
      <c r="G1023" t="inlineStr">
        <is>
          <t>C2</t>
        </is>
      </c>
      <c r="H1023" s="2" t="n">
        <v>46311.48263888889</v>
      </c>
      <c r="I1023" s="2" t="n">
        <v>46311.72430555556</v>
      </c>
      <c r="J1023" t="inlineStr">
        <is>
          <t>Completed</t>
        </is>
      </c>
      <c r="K1023" t="n">
        <v>6.31</v>
      </c>
      <c r="L1023" t="n">
        <v>8</v>
      </c>
      <c r="M1023" t="b">
        <v>0</v>
      </c>
      <c r="N1023" t="n">
        <v>0</v>
      </c>
      <c r="O1023" t="b">
        <v>1</v>
      </c>
      <c r="P1023" t="b">
        <v>0</v>
      </c>
      <c r="Q1023" t="b">
        <v>1</v>
      </c>
    </row>
    <row r="1024">
      <c r="A1024" t="inlineStr">
        <is>
          <t>REQ01023</t>
        </is>
      </c>
      <c r="B1024" t="inlineStr">
        <is>
          <t>5493001B24G0P4YVJ571</t>
        </is>
      </c>
      <c r="C1024" t="inlineStr">
        <is>
          <t>document_refresh</t>
        </is>
      </c>
      <c r="D1024" s="2" t="n">
        <v>46311.46180555555</v>
      </c>
      <c r="E1024" s="2" t="n">
        <v>46314.58680555555</v>
      </c>
      <c r="F1024" t="inlineStr">
        <is>
          <t>M3</t>
        </is>
      </c>
      <c r="G1024" t="inlineStr">
        <is>
          <t>C1</t>
        </is>
      </c>
      <c r="H1024" s="2" t="n">
        <v>46311.47708333333</v>
      </c>
      <c r="I1024" s="2" t="n">
        <v>46311.48541666667</v>
      </c>
      <c r="J1024" t="inlineStr">
        <is>
          <t>Completed</t>
        </is>
      </c>
      <c r="K1024" t="n">
        <v>0.5600000000000001</v>
      </c>
      <c r="L1024" t="n">
        <v>12</v>
      </c>
      <c r="M1024" t="b">
        <v>0</v>
      </c>
      <c r="N1024" t="n">
        <v>0</v>
      </c>
      <c r="O1024" t="b">
        <v>1</v>
      </c>
      <c r="P1024" t="b">
        <v>0</v>
      </c>
      <c r="Q1024" t="b">
        <v>0</v>
      </c>
    </row>
    <row r="1025">
      <c r="A1025" t="inlineStr">
        <is>
          <t>REQ01024</t>
        </is>
      </c>
      <c r="B1025" t="inlineStr">
        <is>
          <t>335800GS83CEVLYHRA62</t>
        </is>
      </c>
      <c r="C1025" t="inlineStr">
        <is>
          <t>data_amendment</t>
        </is>
      </c>
      <c r="D1025" s="2" t="n">
        <v>46311.46180555555</v>
      </c>
      <c r="E1025" s="2" t="n">
        <v>46314.42013888889</v>
      </c>
      <c r="F1025" t="inlineStr">
        <is>
          <t>M6</t>
        </is>
      </c>
      <c r="G1025" t="inlineStr">
        <is>
          <t>C3</t>
        </is>
      </c>
      <c r="H1025" s="2" t="n">
        <v>46311.47430555556</v>
      </c>
      <c r="I1025" s="2" t="n">
        <v>46311.7125</v>
      </c>
      <c r="J1025" t="inlineStr">
        <is>
          <t>Completed</t>
        </is>
      </c>
      <c r="K1025" t="n">
        <v>6.02</v>
      </c>
      <c r="L1025" t="n">
        <v>8</v>
      </c>
      <c r="M1025" t="b">
        <v>0</v>
      </c>
      <c r="N1025" t="n">
        <v>0</v>
      </c>
      <c r="O1025" t="b">
        <v>1</v>
      </c>
      <c r="P1025" t="b">
        <v>0</v>
      </c>
      <c r="Q1025" t="b">
        <v>1</v>
      </c>
    </row>
    <row r="1026">
      <c r="A1026" t="inlineStr">
        <is>
          <t>REQ01025</t>
        </is>
      </c>
      <c r="B1026" t="inlineStr">
        <is>
          <t>391200IQ6WWF1ANAK810</t>
        </is>
      </c>
      <c r="C1026" t="inlineStr">
        <is>
          <t>document_refresh</t>
        </is>
      </c>
      <c r="D1026" s="2" t="n">
        <v>46311.47291666667</v>
      </c>
      <c r="E1026" s="2" t="n">
        <v>46314.59791666667</v>
      </c>
      <c r="F1026" t="inlineStr">
        <is>
          <t>M5</t>
        </is>
      </c>
      <c r="G1026" t="inlineStr">
        <is>
          <t>C1</t>
        </is>
      </c>
      <c r="H1026" s="2" t="n">
        <v>46311.48611111111</v>
      </c>
      <c r="I1026" s="2" t="n">
        <v>46311.49305555555</v>
      </c>
      <c r="J1026" t="inlineStr">
        <is>
          <t>Completed</t>
        </is>
      </c>
      <c r="K1026" t="n">
        <v>0.49</v>
      </c>
      <c r="L1026" t="n">
        <v>12</v>
      </c>
      <c r="M1026" t="b">
        <v>0</v>
      </c>
      <c r="N1026" t="n">
        <v>0</v>
      </c>
      <c r="O1026" t="b">
        <v>1</v>
      </c>
      <c r="P1026" t="b">
        <v>0</v>
      </c>
      <c r="Q1026" t="b">
        <v>0</v>
      </c>
    </row>
    <row r="1027">
      <c r="A1027" t="inlineStr">
        <is>
          <t>REQ01026</t>
        </is>
      </c>
      <c r="B1027" t="inlineStr">
        <is>
          <t>25490026MOFG1LNYXQ22</t>
        </is>
      </c>
      <c r="C1027" t="inlineStr">
        <is>
          <t>new_account</t>
        </is>
      </c>
      <c r="D1027" s="2" t="n">
        <v>46311.475</v>
      </c>
      <c r="E1027" s="2" t="n">
        <v>46315.39166666667</v>
      </c>
      <c r="F1027" t="inlineStr">
        <is>
          <t>M6</t>
        </is>
      </c>
      <c r="G1027" t="inlineStr">
        <is>
          <t>C3</t>
        </is>
      </c>
      <c r="H1027" s="2" t="n">
        <v>46311.50763888889</v>
      </c>
      <c r="I1027" s="2" t="n">
        <v>46311.52083333334</v>
      </c>
      <c r="J1027" t="inlineStr">
        <is>
          <t>Completed</t>
        </is>
      </c>
      <c r="K1027" t="n">
        <v>1.1</v>
      </c>
      <c r="L1027" t="n">
        <v>16</v>
      </c>
      <c r="M1027" t="b">
        <v>0</v>
      </c>
      <c r="N1027" t="n">
        <v>0</v>
      </c>
      <c r="O1027" t="b">
        <v>1</v>
      </c>
      <c r="P1027" t="b">
        <v>0</v>
      </c>
      <c r="Q1027" t="b">
        <v>0</v>
      </c>
    </row>
    <row r="1028">
      <c r="A1028" t="inlineStr">
        <is>
          <t>REQ01027</t>
        </is>
      </c>
      <c r="B1028" t="inlineStr">
        <is>
          <t>969500TPARQIEN6QQE05</t>
        </is>
      </c>
      <c r="C1028" t="inlineStr">
        <is>
          <t>data_amendment</t>
        </is>
      </c>
      <c r="D1028" s="2" t="n">
        <v>46311.475</v>
      </c>
      <c r="E1028" s="2" t="n">
        <v>46314.43333333333</v>
      </c>
      <c r="F1028" t="inlineStr">
        <is>
          <t>M3</t>
        </is>
      </c>
      <c r="G1028" t="inlineStr">
        <is>
          <t>C3</t>
        </is>
      </c>
      <c r="H1028" s="2" t="n">
        <v>46311.48680555556</v>
      </c>
      <c r="I1028" s="2" t="n">
        <v>46311.49513888889</v>
      </c>
      <c r="J1028" t="inlineStr">
        <is>
          <t>Completed</t>
        </is>
      </c>
      <c r="K1028" t="n">
        <v>0.49</v>
      </c>
      <c r="L1028" t="n">
        <v>8</v>
      </c>
      <c r="M1028" t="b">
        <v>0</v>
      </c>
      <c r="N1028" t="n">
        <v>0</v>
      </c>
      <c r="O1028" t="b">
        <v>1</v>
      </c>
      <c r="P1028" t="b">
        <v>0</v>
      </c>
      <c r="Q1028" t="b">
        <v>0</v>
      </c>
    </row>
    <row r="1029">
      <c r="A1029" t="inlineStr">
        <is>
          <t>REQ01028</t>
        </is>
      </c>
      <c r="B1029" t="inlineStr">
        <is>
          <t>6488ZV1E87P581NLF819</t>
        </is>
      </c>
      <c r="C1029" t="inlineStr">
        <is>
          <t>document_refresh</t>
        </is>
      </c>
      <c r="D1029" s="2" t="n">
        <v>46311.48402777778</v>
      </c>
      <c r="E1029" s="2" t="n">
        <v>46314.60902777778</v>
      </c>
      <c r="F1029" t="inlineStr">
        <is>
          <t>M2</t>
        </is>
      </c>
      <c r="G1029" t="inlineStr">
        <is>
          <t>C1</t>
        </is>
      </c>
      <c r="H1029" s="2" t="n">
        <v>46311.49930555555</v>
      </c>
      <c r="I1029" s="2" t="n">
        <v>46311.50694444445</v>
      </c>
      <c r="J1029" t="inlineStr">
        <is>
          <t>Completed</t>
        </is>
      </c>
      <c r="K1029" t="n">
        <v>0.54</v>
      </c>
      <c r="L1029" t="n">
        <v>12</v>
      </c>
      <c r="M1029" t="b">
        <v>0</v>
      </c>
      <c r="N1029" t="n">
        <v>0</v>
      </c>
      <c r="O1029" t="b">
        <v>1</v>
      </c>
      <c r="P1029" t="b">
        <v>0</v>
      </c>
      <c r="Q1029" t="b">
        <v>0</v>
      </c>
    </row>
    <row r="1030">
      <c r="A1030" t="inlineStr">
        <is>
          <t>REQ01029</t>
        </is>
      </c>
      <c r="B1030" t="inlineStr">
        <is>
          <t>335800N2VQNB3QBRWM81</t>
        </is>
      </c>
      <c r="C1030" t="inlineStr">
        <is>
          <t>new_account</t>
        </is>
      </c>
      <c r="D1030" s="2" t="n">
        <v>46311.48819444444</v>
      </c>
      <c r="E1030" s="2" t="n">
        <v>46315.40486111111</v>
      </c>
      <c r="F1030" t="inlineStr">
        <is>
          <t>M1</t>
        </is>
      </c>
      <c r="G1030" t="inlineStr">
        <is>
          <t>C2</t>
        </is>
      </c>
      <c r="H1030" s="2" t="n">
        <v>46311.52291666667</v>
      </c>
      <c r="I1030" s="2" t="n">
        <v>46311.53680555556</v>
      </c>
      <c r="J1030" t="inlineStr">
        <is>
          <t>Completed</t>
        </is>
      </c>
      <c r="K1030" t="n">
        <v>1.16</v>
      </c>
      <c r="L1030" t="n">
        <v>16</v>
      </c>
      <c r="M1030" t="b">
        <v>0</v>
      </c>
      <c r="N1030" t="n">
        <v>0</v>
      </c>
      <c r="O1030" t="b">
        <v>1</v>
      </c>
      <c r="P1030" t="b">
        <v>0</v>
      </c>
      <c r="Q1030" t="b">
        <v>0</v>
      </c>
    </row>
    <row r="1031">
      <c r="A1031" t="inlineStr">
        <is>
          <t>REQ01030</t>
        </is>
      </c>
      <c r="B1031" t="inlineStr">
        <is>
          <t>96950092GHE0QSXT6J37</t>
        </is>
      </c>
      <c r="C1031" t="inlineStr">
        <is>
          <t>new_account</t>
        </is>
      </c>
      <c r="D1031" s="2" t="n">
        <v>46311.48958333334</v>
      </c>
      <c r="E1031" s="2" t="n">
        <v>46315.40625</v>
      </c>
      <c r="F1031" t="inlineStr">
        <is>
          <t>M4</t>
        </is>
      </c>
      <c r="G1031" t="inlineStr">
        <is>
          <t>C2</t>
        </is>
      </c>
      <c r="H1031" s="2" t="n">
        <v>46311.51319444444</v>
      </c>
      <c r="I1031" s="2" t="n">
        <v>46311.67569444444</v>
      </c>
      <c r="J1031" t="inlineStr">
        <is>
          <t>Completed</t>
        </is>
      </c>
      <c r="K1031" t="n">
        <v>4.47</v>
      </c>
      <c r="L1031" t="n">
        <v>16</v>
      </c>
      <c r="M1031" t="b">
        <v>0</v>
      </c>
      <c r="N1031" t="n">
        <v>0</v>
      </c>
      <c r="O1031" t="b">
        <v>1</v>
      </c>
      <c r="P1031" t="b">
        <v>0</v>
      </c>
      <c r="Q1031" t="b">
        <v>1</v>
      </c>
    </row>
    <row r="1032">
      <c r="A1032" t="inlineStr">
        <is>
          <t>REQ01031</t>
        </is>
      </c>
      <c r="B1032" t="inlineStr">
        <is>
          <t>529900JN2UD6P4MTPV26</t>
        </is>
      </c>
      <c r="C1032" t="inlineStr">
        <is>
          <t>new_account</t>
        </is>
      </c>
      <c r="D1032" s="2" t="n">
        <v>46311.49097222222</v>
      </c>
      <c r="E1032" s="2" t="n">
        <v>46315.40763888889</v>
      </c>
      <c r="F1032" t="inlineStr">
        <is>
          <t>M5</t>
        </is>
      </c>
      <c r="G1032" t="inlineStr">
        <is>
          <t>C3</t>
        </is>
      </c>
      <c r="H1032" s="2" t="n">
        <v>46311.52430555555</v>
      </c>
      <c r="I1032" s="2" t="n">
        <v>46311.53194444445</v>
      </c>
      <c r="J1032" t="inlineStr">
        <is>
          <t>Completed</t>
        </is>
      </c>
      <c r="K1032" t="n">
        <v>0.98</v>
      </c>
      <c r="L1032" t="n">
        <v>16</v>
      </c>
      <c r="M1032" t="b">
        <v>0</v>
      </c>
      <c r="N1032" t="n">
        <v>0</v>
      </c>
      <c r="O1032" t="b">
        <v>1</v>
      </c>
      <c r="P1032" t="b">
        <v>0</v>
      </c>
      <c r="Q1032" t="b">
        <v>0</v>
      </c>
    </row>
    <row r="1033">
      <c r="A1033" t="inlineStr">
        <is>
          <t>REQ01032</t>
        </is>
      </c>
      <c r="B1033" t="inlineStr">
        <is>
          <t>984500BC74C6IDYZJ325</t>
        </is>
      </c>
      <c r="C1033" t="inlineStr">
        <is>
          <t>signatory_change</t>
        </is>
      </c>
      <c r="D1033" s="2" t="n">
        <v>46311.49166666667</v>
      </c>
      <c r="E1033" s="2" t="n">
        <v>46314.45</v>
      </c>
      <c r="F1033" t="inlineStr">
        <is>
          <t>M3</t>
        </is>
      </c>
      <c r="G1033" t="inlineStr">
        <is>
          <t>C1</t>
        </is>
      </c>
      <c r="H1033" s="2" t="n">
        <v>46311.51319444444</v>
      </c>
      <c r="I1033" s="2" t="n">
        <v>46311.67777777778</v>
      </c>
      <c r="J1033" t="inlineStr">
        <is>
          <t>Completed</t>
        </is>
      </c>
      <c r="K1033" t="n">
        <v>4.47</v>
      </c>
      <c r="L1033" t="n">
        <v>8</v>
      </c>
      <c r="M1033" t="b">
        <v>0</v>
      </c>
      <c r="N1033" t="n">
        <v>0</v>
      </c>
      <c r="O1033" t="b">
        <v>1</v>
      </c>
      <c r="P1033" t="b">
        <v>0</v>
      </c>
      <c r="Q1033" t="b">
        <v>1</v>
      </c>
    </row>
    <row r="1034">
      <c r="A1034" t="inlineStr">
        <is>
          <t>REQ01033</t>
        </is>
      </c>
      <c r="B1034" t="inlineStr">
        <is>
          <t>549300M7I55JJ6N5W089</t>
        </is>
      </c>
      <c r="C1034" t="inlineStr">
        <is>
          <t>data_amendment</t>
        </is>
      </c>
      <c r="D1034" s="2" t="n">
        <v>46311.49652777778</v>
      </c>
      <c r="E1034" s="2" t="n">
        <v>46314.45486111111</v>
      </c>
      <c r="F1034" t="inlineStr">
        <is>
          <t>M2</t>
        </is>
      </c>
      <c r="G1034" t="inlineStr">
        <is>
          <t>C3</t>
        </is>
      </c>
      <c r="H1034" s="2" t="n">
        <v>46311.5125</v>
      </c>
      <c r="I1034" s="2" t="n">
        <v>46311.67638888889</v>
      </c>
      <c r="J1034" t="inlineStr">
        <is>
          <t>Completed</t>
        </is>
      </c>
      <c r="K1034" t="n">
        <v>4.32</v>
      </c>
      <c r="L1034" t="n">
        <v>8</v>
      </c>
      <c r="M1034" t="b">
        <v>0</v>
      </c>
      <c r="N1034" t="n">
        <v>0</v>
      </c>
      <c r="O1034" t="b">
        <v>1</v>
      </c>
      <c r="P1034" t="b">
        <v>0</v>
      </c>
      <c r="Q1034" t="b">
        <v>1</v>
      </c>
    </row>
    <row r="1035">
      <c r="A1035" t="inlineStr">
        <is>
          <t>REQ01034</t>
        </is>
      </c>
      <c r="B1035" t="inlineStr">
        <is>
          <t>254900V9BCWJ7YYDQ884</t>
        </is>
      </c>
      <c r="C1035" t="inlineStr">
        <is>
          <t>signatory_change</t>
        </is>
      </c>
      <c r="D1035" s="2" t="n">
        <v>46311.50902777778</v>
      </c>
      <c r="E1035" s="2" t="n">
        <v>46314.46736111111</v>
      </c>
      <c r="F1035" t="inlineStr">
        <is>
          <t>M6</t>
        </is>
      </c>
      <c r="G1035" t="inlineStr">
        <is>
          <t>C1</t>
        </is>
      </c>
      <c r="H1035" s="2" t="n">
        <v>46311.525</v>
      </c>
      <c r="I1035" s="2" t="n">
        <v>46311.53402777778</v>
      </c>
      <c r="J1035" t="inlineStr">
        <is>
          <t>Completed</t>
        </is>
      </c>
      <c r="K1035" t="n">
        <v>0.61</v>
      </c>
      <c r="L1035" t="n">
        <v>8</v>
      </c>
      <c r="M1035" t="b">
        <v>0</v>
      </c>
      <c r="N1035" t="n">
        <v>0</v>
      </c>
      <c r="O1035" t="b">
        <v>1</v>
      </c>
      <c r="P1035" t="b">
        <v>0</v>
      </c>
      <c r="Q1035" t="b">
        <v>0</v>
      </c>
    </row>
    <row r="1036">
      <c r="A1036" t="inlineStr">
        <is>
          <t>REQ01035</t>
        </is>
      </c>
      <c r="B1036" t="inlineStr">
        <is>
          <t>2549001WMHCZ5KRXG608</t>
        </is>
      </c>
      <c r="C1036" t="inlineStr">
        <is>
          <t>new_account</t>
        </is>
      </c>
      <c r="D1036" s="2" t="n">
        <v>46311.50972222222</v>
      </c>
      <c r="E1036" s="2" t="n">
        <v>46315.42638888889</v>
      </c>
      <c r="F1036" t="inlineStr">
        <is>
          <t>M2</t>
        </is>
      </c>
      <c r="G1036" t="inlineStr">
        <is>
          <t>C3</t>
        </is>
      </c>
      <c r="H1036" s="2" t="n">
        <v>46311.53819444445</v>
      </c>
      <c r="I1036" s="2" t="n">
        <v>46311.55</v>
      </c>
      <c r="J1036" t="inlineStr">
        <is>
          <t>Completed</t>
        </is>
      </c>
      <c r="K1036" t="n">
        <v>0.96</v>
      </c>
      <c r="L1036" t="n">
        <v>16</v>
      </c>
      <c r="M1036" t="b">
        <v>0</v>
      </c>
      <c r="N1036" t="n">
        <v>0</v>
      </c>
      <c r="O1036" t="b">
        <v>1</v>
      </c>
      <c r="P1036" t="b">
        <v>0</v>
      </c>
      <c r="Q1036" t="b">
        <v>0</v>
      </c>
    </row>
    <row r="1037">
      <c r="A1037" t="inlineStr">
        <is>
          <t>REQ01036</t>
        </is>
      </c>
      <c r="B1037" t="inlineStr">
        <is>
          <t>724500D2SGLM2O99ZD04</t>
        </is>
      </c>
      <c r="C1037" t="inlineStr">
        <is>
          <t>new_account</t>
        </is>
      </c>
      <c r="D1037" s="2" t="n">
        <v>46311.51319444444</v>
      </c>
      <c r="E1037" s="2" t="n">
        <v>46315.42986111111</v>
      </c>
      <c r="F1037" t="inlineStr">
        <is>
          <t>M4</t>
        </is>
      </c>
      <c r="G1037" t="inlineStr">
        <is>
          <t>C1</t>
        </is>
      </c>
      <c r="H1037" s="2" t="n">
        <v>46311.55208333334</v>
      </c>
      <c r="I1037" s="2" t="n">
        <v>46311.73611111111</v>
      </c>
      <c r="J1037" t="inlineStr">
        <is>
          <t>Completed</t>
        </is>
      </c>
      <c r="K1037" t="n">
        <v>5.34</v>
      </c>
      <c r="L1037" t="n">
        <v>16</v>
      </c>
      <c r="M1037" t="b">
        <v>0</v>
      </c>
      <c r="N1037" t="n">
        <v>0</v>
      </c>
      <c r="O1037" t="b">
        <v>1</v>
      </c>
      <c r="P1037" t="b">
        <v>0</v>
      </c>
      <c r="Q1037" t="b">
        <v>1</v>
      </c>
    </row>
    <row r="1038">
      <c r="A1038" t="inlineStr">
        <is>
          <t>REQ01037</t>
        </is>
      </c>
      <c r="B1038" t="inlineStr">
        <is>
          <t>213800K87WIVULQ2WC45</t>
        </is>
      </c>
      <c r="C1038" t="inlineStr">
        <is>
          <t>new_account</t>
        </is>
      </c>
      <c r="D1038" s="2" t="n">
        <v>46311.51319444444</v>
      </c>
      <c r="E1038" s="2" t="n">
        <v>46315.42986111111</v>
      </c>
      <c r="F1038" t="inlineStr">
        <is>
          <t>M3</t>
        </is>
      </c>
      <c r="G1038" t="inlineStr">
        <is>
          <t>C2</t>
        </is>
      </c>
      <c r="H1038" s="2" t="n">
        <v>46311.54027777778</v>
      </c>
      <c r="I1038" s="2" t="n">
        <v>46311.54861111111</v>
      </c>
      <c r="J1038" t="inlineStr">
        <is>
          <t>Completed</t>
        </is>
      </c>
      <c r="K1038" t="n">
        <v>0.85</v>
      </c>
      <c r="L1038" t="n">
        <v>16</v>
      </c>
      <c r="M1038" t="b">
        <v>0</v>
      </c>
      <c r="N1038" t="n">
        <v>0</v>
      </c>
      <c r="O1038" t="b">
        <v>1</v>
      </c>
      <c r="P1038" t="b">
        <v>0</v>
      </c>
      <c r="Q1038" t="b">
        <v>0</v>
      </c>
    </row>
    <row r="1039">
      <c r="A1039" t="inlineStr">
        <is>
          <t>REQ01038</t>
        </is>
      </c>
      <c r="B1039" t="inlineStr">
        <is>
          <t>984500D4I67F38ECYE67</t>
        </is>
      </c>
      <c r="C1039" t="inlineStr">
        <is>
          <t>data_amendment</t>
        </is>
      </c>
      <c r="D1039" s="2" t="n">
        <v>46311.51458333333</v>
      </c>
      <c r="E1039" s="2" t="n">
        <v>46314.47291666667</v>
      </c>
      <c r="F1039" t="inlineStr">
        <is>
          <t>M1</t>
        </is>
      </c>
      <c r="G1039" t="inlineStr">
        <is>
          <t>C1</t>
        </is>
      </c>
      <c r="H1039" s="2" t="n">
        <v>46311.53611111111</v>
      </c>
      <c r="I1039" s="2" t="n">
        <v>46311.70902777778</v>
      </c>
      <c r="J1039" t="inlineStr">
        <is>
          <t>Completed</t>
        </is>
      </c>
      <c r="K1039" t="n">
        <v>4.66</v>
      </c>
      <c r="L1039" t="n">
        <v>8</v>
      </c>
      <c r="M1039" t="b">
        <v>0</v>
      </c>
      <c r="N1039" t="n">
        <v>0</v>
      </c>
      <c r="O1039" t="b">
        <v>1</v>
      </c>
      <c r="P1039" t="b">
        <v>0</v>
      </c>
      <c r="Q1039" t="b">
        <v>1</v>
      </c>
    </row>
    <row r="1040">
      <c r="A1040" t="inlineStr">
        <is>
          <t>REQ01039</t>
        </is>
      </c>
      <c r="B1040" t="inlineStr">
        <is>
          <t>335800JHTZ5Y2XR8CC71</t>
        </is>
      </c>
      <c r="C1040" t="inlineStr">
        <is>
          <t>document_refresh</t>
        </is>
      </c>
      <c r="D1040" s="2" t="n">
        <v>46311.51597222222</v>
      </c>
      <c r="E1040" s="2" t="n">
        <v>46314.64097222222</v>
      </c>
      <c r="F1040" t="inlineStr">
        <is>
          <t>M5</t>
        </is>
      </c>
      <c r="G1040" t="inlineStr">
        <is>
          <t>C1</t>
        </is>
      </c>
      <c r="H1040" s="2" t="n">
        <v>46311.53888888889</v>
      </c>
      <c r="I1040" s="2" t="n">
        <v>46311.54513888889</v>
      </c>
      <c r="J1040" t="inlineStr">
        <is>
          <t>Completed</t>
        </is>
      </c>
      <c r="K1040" t="n">
        <v>0.7</v>
      </c>
      <c r="L1040" t="n">
        <v>12</v>
      </c>
      <c r="M1040" t="b">
        <v>0</v>
      </c>
      <c r="N1040" t="n">
        <v>0</v>
      </c>
      <c r="O1040" t="b">
        <v>1</v>
      </c>
      <c r="P1040" t="b">
        <v>0</v>
      </c>
      <c r="Q1040" t="b">
        <v>0</v>
      </c>
    </row>
    <row r="1041">
      <c r="A1041" t="inlineStr">
        <is>
          <t>REQ01040</t>
        </is>
      </c>
      <c r="B1041" t="inlineStr">
        <is>
          <t>969500B3SX7P7PBNKB69</t>
        </is>
      </c>
      <c r="C1041" t="inlineStr">
        <is>
          <t>document_refresh</t>
        </is>
      </c>
      <c r="D1041" s="2" t="n">
        <v>46311.51736111111</v>
      </c>
      <c r="E1041" s="2" t="n">
        <v>46314.64236111111</v>
      </c>
      <c r="F1041" t="inlineStr">
        <is>
          <t>M6</t>
        </is>
      </c>
      <c r="G1041" t="inlineStr">
        <is>
          <t>C3</t>
        </is>
      </c>
      <c r="H1041" s="2" t="n">
        <v>46311.53541666667</v>
      </c>
      <c r="I1041" s="2" t="n">
        <v>46314.38125</v>
      </c>
      <c r="J1041" t="inlineStr">
        <is>
          <t>Completed</t>
        </is>
      </c>
      <c r="K1041" t="n">
        <v>5.73</v>
      </c>
      <c r="L1041" t="n">
        <v>12</v>
      </c>
      <c r="M1041" t="b">
        <v>0</v>
      </c>
      <c r="N1041" t="n">
        <v>0</v>
      </c>
      <c r="O1041" t="b">
        <v>1</v>
      </c>
      <c r="P1041" t="b">
        <v>0</v>
      </c>
      <c r="Q1041" t="b">
        <v>1</v>
      </c>
    </row>
    <row r="1042">
      <c r="A1042" t="inlineStr">
        <is>
          <t>REQ01041</t>
        </is>
      </c>
      <c r="B1042" t="inlineStr">
        <is>
          <t>259400UBC6G513FJ1T58</t>
        </is>
      </c>
      <c r="C1042" t="inlineStr">
        <is>
          <t>signatory_change</t>
        </is>
      </c>
      <c r="D1042" s="2" t="n">
        <v>46311.52361111111</v>
      </c>
      <c r="E1042" s="2" t="n">
        <v>46314.48194444444</v>
      </c>
      <c r="F1042" t="inlineStr">
        <is>
          <t>M6</t>
        </is>
      </c>
      <c r="G1042" t="inlineStr">
        <is>
          <t>C3</t>
        </is>
      </c>
      <c r="H1042" s="2" t="n">
        <v>46311.55972222222</v>
      </c>
      <c r="I1042" s="2" t="n">
        <v>46311.65625</v>
      </c>
      <c r="J1042" t="inlineStr">
        <is>
          <t>Completed</t>
        </is>
      </c>
      <c r="K1042" t="n">
        <v>3.19</v>
      </c>
      <c r="L1042" t="n">
        <v>8</v>
      </c>
      <c r="M1042" t="b">
        <v>0</v>
      </c>
      <c r="N1042" t="n">
        <v>0</v>
      </c>
      <c r="O1042" t="b">
        <v>1</v>
      </c>
      <c r="P1042" t="b">
        <v>0</v>
      </c>
      <c r="Q1042" t="b">
        <v>1</v>
      </c>
    </row>
    <row r="1043">
      <c r="A1043" t="inlineStr">
        <is>
          <t>REQ01042</t>
        </is>
      </c>
      <c r="B1043" t="inlineStr">
        <is>
          <t>984500795F0IEEJ0BC57</t>
        </is>
      </c>
      <c r="C1043" t="inlineStr">
        <is>
          <t>document_refresh</t>
        </is>
      </c>
      <c r="D1043" s="2" t="n">
        <v>46311.52638888889</v>
      </c>
      <c r="E1043" s="2" t="n">
        <v>46314.65138888889</v>
      </c>
      <c r="F1043" t="inlineStr">
        <is>
          <t>M1</t>
        </is>
      </c>
      <c r="G1043" t="inlineStr">
        <is>
          <t>C3</t>
        </is>
      </c>
      <c r="H1043" s="2" t="n">
        <v>46311.55347222222</v>
      </c>
      <c r="I1043" s="2" t="n">
        <v>46311.55902777778</v>
      </c>
      <c r="J1043" t="inlineStr">
        <is>
          <t>Completed</t>
        </is>
      </c>
      <c r="K1043" t="n">
        <v>0.78</v>
      </c>
      <c r="L1043" t="n">
        <v>12</v>
      </c>
      <c r="M1043" t="b">
        <v>0</v>
      </c>
      <c r="N1043" t="n">
        <v>0</v>
      </c>
      <c r="O1043" t="b">
        <v>1</v>
      </c>
      <c r="P1043" t="b">
        <v>0</v>
      </c>
      <c r="Q1043" t="b">
        <v>0</v>
      </c>
    </row>
    <row r="1044">
      <c r="A1044" t="inlineStr">
        <is>
          <t>REQ01043</t>
        </is>
      </c>
      <c r="B1044" t="inlineStr">
        <is>
          <t>213800JNC5Y9JJABI383</t>
        </is>
      </c>
      <c r="C1044" t="inlineStr">
        <is>
          <t>signatory_change</t>
        </is>
      </c>
      <c r="D1044" s="2" t="n">
        <v>46311.54305555556</v>
      </c>
      <c r="E1044" s="2" t="n">
        <v>46314.50138888889</v>
      </c>
      <c r="F1044" t="inlineStr">
        <is>
          <t>M2</t>
        </is>
      </c>
      <c r="G1044" t="inlineStr">
        <is>
          <t>C3</t>
        </is>
      </c>
      <c r="H1044" s="2" t="n">
        <v>46311.56319444445</v>
      </c>
      <c r="I1044" s="2" t="n">
        <v>46311.70277777778</v>
      </c>
      <c r="J1044" t="inlineStr">
        <is>
          <t>Completed</t>
        </is>
      </c>
      <c r="K1044" t="n">
        <v>3.84</v>
      </c>
      <c r="L1044" t="n">
        <v>8</v>
      </c>
      <c r="M1044" t="b">
        <v>0</v>
      </c>
      <c r="N1044" t="n">
        <v>0</v>
      </c>
      <c r="O1044" t="b">
        <v>1</v>
      </c>
      <c r="P1044" t="b">
        <v>0</v>
      </c>
      <c r="Q1044" t="b">
        <v>1</v>
      </c>
    </row>
    <row r="1045">
      <c r="A1045" t="inlineStr">
        <is>
          <t>REQ01044</t>
        </is>
      </c>
      <c r="B1045" t="inlineStr">
        <is>
          <t>549300S8LZ7FIZTWEH12</t>
        </is>
      </c>
      <c r="C1045" t="inlineStr">
        <is>
          <t>document_refresh</t>
        </is>
      </c>
      <c r="D1045" s="2" t="n">
        <v>46311.55416666667</v>
      </c>
      <c r="E1045" s="2" t="n">
        <v>46314.67916666667</v>
      </c>
      <c r="F1045" t="inlineStr">
        <is>
          <t>M5</t>
        </is>
      </c>
      <c r="G1045" t="inlineStr">
        <is>
          <t>C2</t>
        </is>
      </c>
      <c r="H1045" s="2" t="n">
        <v>46311.57083333333</v>
      </c>
      <c r="I1045" s="2" t="n">
        <v>46314.41805555556</v>
      </c>
      <c r="J1045" t="inlineStr">
        <is>
          <t>Completed</t>
        </is>
      </c>
      <c r="K1045" t="n">
        <v>5.73</v>
      </c>
      <c r="L1045" t="n">
        <v>12</v>
      </c>
      <c r="M1045" t="b">
        <v>0</v>
      </c>
      <c r="N1045" t="n">
        <v>0</v>
      </c>
      <c r="O1045" t="b">
        <v>1</v>
      </c>
      <c r="P1045" t="b">
        <v>0</v>
      </c>
      <c r="Q1045" t="b">
        <v>1</v>
      </c>
    </row>
    <row r="1046">
      <c r="A1046" t="inlineStr">
        <is>
          <t>REQ01045</t>
        </is>
      </c>
      <c r="B1046" t="inlineStr">
        <is>
          <t>5493005ZKECW88RE2M38</t>
        </is>
      </c>
      <c r="C1046" t="inlineStr">
        <is>
          <t>document_refresh</t>
        </is>
      </c>
      <c r="D1046" s="2" t="n">
        <v>46311.55833333333</v>
      </c>
      <c r="E1046" s="2" t="n">
        <v>46314.68333333333</v>
      </c>
      <c r="F1046" t="inlineStr">
        <is>
          <t>M3</t>
        </is>
      </c>
      <c r="G1046" t="inlineStr">
        <is>
          <t>C1</t>
        </is>
      </c>
      <c r="H1046" s="2" t="n">
        <v>46311.56944444445</v>
      </c>
      <c r="I1046" s="2" t="n">
        <v>46311.72569444445</v>
      </c>
      <c r="J1046" t="inlineStr">
        <is>
          <t>Completed</t>
        </is>
      </c>
      <c r="K1046" t="n">
        <v>4.01</v>
      </c>
      <c r="L1046" t="n">
        <v>12</v>
      </c>
      <c r="M1046" t="b">
        <v>0</v>
      </c>
      <c r="N1046" t="n">
        <v>0</v>
      </c>
      <c r="O1046" t="b">
        <v>1</v>
      </c>
      <c r="P1046" t="b">
        <v>0</v>
      </c>
      <c r="Q1046" t="b">
        <v>1</v>
      </c>
    </row>
    <row r="1047">
      <c r="A1047" t="inlineStr">
        <is>
          <t>REQ01046</t>
        </is>
      </c>
      <c r="B1047" t="inlineStr">
        <is>
          <t>894500L5PH2QZNVQFH03</t>
        </is>
      </c>
      <c r="C1047" t="inlineStr">
        <is>
          <t>data_amendment</t>
        </is>
      </c>
      <c r="D1047" s="2" t="n">
        <v>46311.56041666667</v>
      </c>
      <c r="E1047" s="2" t="n">
        <v>46314.51875</v>
      </c>
      <c r="F1047" t="inlineStr">
        <is>
          <t>M4</t>
        </is>
      </c>
      <c r="G1047" t="inlineStr">
        <is>
          <t>C3</t>
        </is>
      </c>
      <c r="H1047" s="2" t="n">
        <v>46311.56944444445</v>
      </c>
      <c r="I1047" s="2" t="n">
        <v>46311.57361111111</v>
      </c>
      <c r="J1047" t="inlineStr">
        <is>
          <t>Completed</t>
        </is>
      </c>
      <c r="K1047" t="n">
        <v>0.32</v>
      </c>
      <c r="L1047" t="n">
        <v>8</v>
      </c>
      <c r="M1047" t="b">
        <v>0</v>
      </c>
      <c r="N1047" t="n">
        <v>0</v>
      </c>
      <c r="O1047" t="b">
        <v>1</v>
      </c>
      <c r="P1047" t="b">
        <v>0</v>
      </c>
      <c r="Q1047" t="b">
        <v>0</v>
      </c>
    </row>
    <row r="1048">
      <c r="A1048" t="inlineStr">
        <is>
          <t>REQ01047</t>
        </is>
      </c>
      <c r="B1048" t="inlineStr">
        <is>
          <t>391200ZMTFT6S7DBHI20</t>
        </is>
      </c>
      <c r="C1048" t="inlineStr">
        <is>
          <t>new_account</t>
        </is>
      </c>
      <c r="D1048" s="2" t="n">
        <v>46311.56319444445</v>
      </c>
      <c r="E1048" s="2" t="n">
        <v>46315.47986111111</v>
      </c>
      <c r="F1048" t="inlineStr">
        <is>
          <t>M1</t>
        </is>
      </c>
      <c r="G1048" t="inlineStr">
        <is>
          <t>C3</t>
        </is>
      </c>
      <c r="H1048" s="2" t="n">
        <v>46311.60277777778</v>
      </c>
      <c r="I1048" s="2" t="n">
        <v>46311.64166666667</v>
      </c>
      <c r="J1048" t="inlineStr">
        <is>
          <t>Completed</t>
        </is>
      </c>
      <c r="K1048" t="n">
        <v>1.88</v>
      </c>
      <c r="L1048" t="n">
        <v>16</v>
      </c>
      <c r="M1048" t="b">
        <v>0</v>
      </c>
      <c r="N1048" t="n">
        <v>1</v>
      </c>
      <c r="O1048" t="b">
        <v>0</v>
      </c>
      <c r="P1048" t="b">
        <v>1</v>
      </c>
      <c r="Q1048" t="b">
        <v>0</v>
      </c>
    </row>
    <row r="1049">
      <c r="A1049" t="inlineStr">
        <is>
          <t>REQ01048</t>
        </is>
      </c>
      <c r="B1049" t="inlineStr">
        <is>
          <t>549300RIKISSRSSA0648</t>
        </is>
      </c>
      <c r="C1049" t="inlineStr">
        <is>
          <t>new_account</t>
        </is>
      </c>
      <c r="D1049" s="2" t="n">
        <v>46311.56666666667</v>
      </c>
      <c r="E1049" s="2" t="n">
        <v>46315.48333333333</v>
      </c>
      <c r="F1049" t="inlineStr">
        <is>
          <t>M6</t>
        </is>
      </c>
      <c r="G1049" t="inlineStr">
        <is>
          <t>C3</t>
        </is>
      </c>
      <c r="H1049" s="2" t="n">
        <v>46311.59583333333</v>
      </c>
      <c r="I1049" s="2" t="n">
        <v>46311.72708333333</v>
      </c>
      <c r="J1049" t="inlineStr">
        <is>
          <t>Completed</t>
        </is>
      </c>
      <c r="K1049" t="n">
        <v>3.84</v>
      </c>
      <c r="L1049" t="n">
        <v>16</v>
      </c>
      <c r="M1049" t="b">
        <v>0</v>
      </c>
      <c r="N1049" t="n">
        <v>0</v>
      </c>
      <c r="O1049" t="b">
        <v>1</v>
      </c>
      <c r="P1049" t="b">
        <v>0</v>
      </c>
      <c r="Q1049" t="b">
        <v>1</v>
      </c>
    </row>
    <row r="1050">
      <c r="A1050" t="inlineStr">
        <is>
          <t>REQ01049</t>
        </is>
      </c>
      <c r="B1050" t="inlineStr">
        <is>
          <t>969500QTNLUD1FP9O203</t>
        </is>
      </c>
      <c r="C1050" t="inlineStr">
        <is>
          <t>data_amendment</t>
        </is>
      </c>
      <c r="D1050" s="2" t="n">
        <v>46311.56805555556</v>
      </c>
      <c r="E1050" s="2" t="n">
        <v>46314.52638888889</v>
      </c>
      <c r="F1050" t="inlineStr">
        <is>
          <t>M2</t>
        </is>
      </c>
      <c r="G1050" t="inlineStr">
        <is>
          <t>C3</t>
        </is>
      </c>
      <c r="H1050" s="2" t="n">
        <v>46311.57708333333</v>
      </c>
      <c r="I1050" s="2" t="n">
        <v>46314.45972222222</v>
      </c>
      <c r="J1050" t="inlineStr">
        <is>
          <t>Completed</t>
        </is>
      </c>
      <c r="K1050" t="n">
        <v>6.41</v>
      </c>
      <c r="L1050" t="n">
        <v>8</v>
      </c>
      <c r="M1050" t="b">
        <v>0</v>
      </c>
      <c r="N1050" t="n">
        <v>0</v>
      </c>
      <c r="O1050" t="b">
        <v>1</v>
      </c>
      <c r="P1050" t="b">
        <v>0</v>
      </c>
      <c r="Q1050" t="b">
        <v>1</v>
      </c>
    </row>
    <row r="1051">
      <c r="A1051" t="inlineStr">
        <is>
          <t>REQ01050</t>
        </is>
      </c>
      <c r="B1051" t="inlineStr">
        <is>
          <t>724500MTH5XXIC23TF73</t>
        </is>
      </c>
      <c r="C1051" t="inlineStr">
        <is>
          <t>data_amendment</t>
        </is>
      </c>
      <c r="D1051" s="2" t="n">
        <v>46311.57013888889</v>
      </c>
      <c r="E1051" s="2" t="n">
        <v>46314.52847222222</v>
      </c>
      <c r="F1051" t="inlineStr">
        <is>
          <t>M4</t>
        </is>
      </c>
      <c r="G1051" t="inlineStr">
        <is>
          <t>C3</t>
        </is>
      </c>
      <c r="H1051" s="2" t="n">
        <v>46311.57916666667</v>
      </c>
      <c r="I1051" s="2" t="n">
        <v>46311.58402777778</v>
      </c>
      <c r="J1051" t="inlineStr">
        <is>
          <t>Completed</t>
        </is>
      </c>
      <c r="K1051" t="n">
        <v>0.33</v>
      </c>
      <c r="L1051" t="n">
        <v>8</v>
      </c>
      <c r="M1051" t="b">
        <v>0</v>
      </c>
      <c r="N1051" t="n">
        <v>0</v>
      </c>
      <c r="O1051" t="b">
        <v>1</v>
      </c>
      <c r="P1051" t="b">
        <v>0</v>
      </c>
      <c r="Q1051" t="b">
        <v>0</v>
      </c>
    </row>
    <row r="1052">
      <c r="A1052" t="inlineStr">
        <is>
          <t>REQ01051</t>
        </is>
      </c>
      <c r="B1052" t="inlineStr">
        <is>
          <t>7245008XRARDJ2YBHF93</t>
        </is>
      </c>
      <c r="C1052" t="inlineStr">
        <is>
          <t>data_amendment</t>
        </is>
      </c>
      <c r="D1052" s="2" t="n">
        <v>46311.57083333333</v>
      </c>
      <c r="E1052" s="2" t="n">
        <v>46314.52916666667</v>
      </c>
      <c r="F1052" t="inlineStr">
        <is>
          <t>M3</t>
        </is>
      </c>
      <c r="G1052" t="inlineStr">
        <is>
          <t>C2</t>
        </is>
      </c>
      <c r="H1052" s="2" t="n">
        <v>46311.57847222222</v>
      </c>
      <c r="I1052" s="2" t="n">
        <v>46311.58194444444</v>
      </c>
      <c r="J1052" t="inlineStr">
        <is>
          <t>Completed</t>
        </is>
      </c>
      <c r="K1052" t="n">
        <v>0.27</v>
      </c>
      <c r="L1052" t="n">
        <v>8</v>
      </c>
      <c r="M1052" t="b">
        <v>0</v>
      </c>
      <c r="N1052" t="n">
        <v>0</v>
      </c>
      <c r="O1052" t="b">
        <v>1</v>
      </c>
      <c r="P1052" t="b">
        <v>0</v>
      </c>
      <c r="Q1052" t="b">
        <v>0</v>
      </c>
    </row>
    <row r="1053">
      <c r="A1053" t="inlineStr">
        <is>
          <t>REQ01052</t>
        </is>
      </c>
      <c r="B1053" t="inlineStr">
        <is>
          <t>2549009O93Q38UYRRD41</t>
        </is>
      </c>
      <c r="C1053" t="inlineStr">
        <is>
          <t>document_refresh</t>
        </is>
      </c>
      <c r="D1053" s="2" t="n">
        <v>46311.57986111111</v>
      </c>
      <c r="E1053" s="2" t="n">
        <v>46314.70486111111</v>
      </c>
      <c r="F1053" t="inlineStr">
        <is>
          <t>M5</t>
        </is>
      </c>
      <c r="G1053" t="inlineStr">
        <is>
          <t>C2</t>
        </is>
      </c>
      <c r="H1053" s="2" t="n">
        <v>46311.59583333333</v>
      </c>
      <c r="I1053" s="2" t="n">
        <v>46311.73541666667</v>
      </c>
      <c r="J1053" t="inlineStr">
        <is>
          <t>Completed</t>
        </is>
      </c>
      <c r="K1053" t="n">
        <v>3.74</v>
      </c>
      <c r="L1053" t="n">
        <v>12</v>
      </c>
      <c r="M1053" t="b">
        <v>0</v>
      </c>
      <c r="N1053" t="n">
        <v>0</v>
      </c>
      <c r="O1053" t="b">
        <v>1</v>
      </c>
      <c r="P1053" t="b">
        <v>0</v>
      </c>
      <c r="Q1053" t="b">
        <v>1</v>
      </c>
    </row>
    <row r="1054">
      <c r="A1054" t="inlineStr">
        <is>
          <t>REQ01053</t>
        </is>
      </c>
      <c r="B1054" t="inlineStr">
        <is>
          <t>9845003BF7R75AA8B413</t>
        </is>
      </c>
      <c r="C1054" t="inlineStr">
        <is>
          <t>data_amendment</t>
        </is>
      </c>
      <c r="D1054" s="2" t="n">
        <v>46311.59097222222</v>
      </c>
      <c r="E1054" s="2" t="n">
        <v>46314.54930555556</v>
      </c>
      <c r="F1054" t="inlineStr">
        <is>
          <t>M2</t>
        </is>
      </c>
      <c r="G1054" t="inlineStr">
        <is>
          <t>C1</t>
        </is>
      </c>
      <c r="H1054" s="2" t="n">
        <v>46311.60138888889</v>
      </c>
      <c r="I1054" s="2" t="n">
        <v>46311.60555555556</v>
      </c>
      <c r="J1054" t="inlineStr">
        <is>
          <t>Completed</t>
        </is>
      </c>
      <c r="K1054" t="n">
        <v>0.35</v>
      </c>
      <c r="L1054" t="n">
        <v>8</v>
      </c>
      <c r="M1054" t="b">
        <v>0</v>
      </c>
      <c r="N1054" t="n">
        <v>0</v>
      </c>
      <c r="O1054" t="b">
        <v>1</v>
      </c>
      <c r="P1054" t="b">
        <v>0</v>
      </c>
      <c r="Q1054" t="b">
        <v>0</v>
      </c>
    </row>
    <row r="1055">
      <c r="A1055" t="inlineStr">
        <is>
          <t>REQ01054</t>
        </is>
      </c>
      <c r="B1055" t="inlineStr">
        <is>
          <t>969500UF3Y2WVBP5MT52</t>
        </is>
      </c>
      <c r="C1055" t="inlineStr">
        <is>
          <t>document_refresh</t>
        </is>
      </c>
      <c r="D1055" s="2" t="n">
        <v>46311.61111111111</v>
      </c>
      <c r="E1055" s="2" t="n">
        <v>46314.73611111111</v>
      </c>
      <c r="F1055" t="inlineStr">
        <is>
          <t>M3</t>
        </is>
      </c>
      <c r="G1055" t="inlineStr">
        <is>
          <t>C2</t>
        </is>
      </c>
      <c r="H1055" s="2" t="n">
        <v>46311.62708333333</v>
      </c>
      <c r="I1055" s="2" t="n">
        <v>46314.45138888889</v>
      </c>
      <c r="J1055" t="inlineStr">
        <is>
          <t>Completed</t>
        </is>
      </c>
      <c r="K1055" t="n">
        <v>5.16</v>
      </c>
      <c r="L1055" t="n">
        <v>12</v>
      </c>
      <c r="M1055" t="b">
        <v>0</v>
      </c>
      <c r="N1055" t="n">
        <v>0</v>
      </c>
      <c r="O1055" t="b">
        <v>1</v>
      </c>
      <c r="P1055" t="b">
        <v>0</v>
      </c>
      <c r="Q1055" t="b">
        <v>1</v>
      </c>
    </row>
    <row r="1056">
      <c r="A1056" t="inlineStr">
        <is>
          <t>REQ01055</t>
        </is>
      </c>
      <c r="B1056" t="inlineStr">
        <is>
          <t>3358005LTFYIQYGVKM70</t>
        </is>
      </c>
      <c r="C1056" t="inlineStr">
        <is>
          <t>signatory_change</t>
        </is>
      </c>
      <c r="D1056" s="2" t="n">
        <v>46311.61597222222</v>
      </c>
      <c r="E1056" s="2" t="n">
        <v>46314.57430555556</v>
      </c>
      <c r="F1056" t="inlineStr">
        <is>
          <t>M4</t>
        </is>
      </c>
      <c r="G1056" t="inlineStr">
        <is>
          <t>C1</t>
        </is>
      </c>
      <c r="H1056" s="2" t="n">
        <v>46311.63888888889</v>
      </c>
      <c r="I1056" s="2" t="n">
        <v>46311.64722222222</v>
      </c>
      <c r="J1056" t="inlineStr">
        <is>
          <t>Completed</t>
        </is>
      </c>
      <c r="K1056" t="n">
        <v>0.74</v>
      </c>
      <c r="L1056" t="n">
        <v>8</v>
      </c>
      <c r="M1056" t="b">
        <v>0</v>
      </c>
      <c r="N1056" t="n">
        <v>0</v>
      </c>
      <c r="O1056" t="b">
        <v>1</v>
      </c>
      <c r="P1056" t="b">
        <v>0</v>
      </c>
      <c r="Q1056" t="b">
        <v>0</v>
      </c>
    </row>
    <row r="1057">
      <c r="A1057" t="inlineStr">
        <is>
          <t>REQ01056</t>
        </is>
      </c>
      <c r="B1057" t="inlineStr">
        <is>
          <t>529900X8HG1HLQAIVA12</t>
        </is>
      </c>
      <c r="C1057" t="inlineStr">
        <is>
          <t>data_amendment</t>
        </is>
      </c>
      <c r="D1057" s="2" t="n">
        <v>46311.61875</v>
      </c>
      <c r="E1057" s="2" t="n">
        <v>46314.57708333333</v>
      </c>
      <c r="F1057" t="inlineStr">
        <is>
          <t>M5</t>
        </is>
      </c>
      <c r="G1057" t="inlineStr">
        <is>
          <t>C3</t>
        </is>
      </c>
      <c r="H1057" s="2" t="n">
        <v>46311.62638888889</v>
      </c>
      <c r="I1057" s="2" t="n">
        <v>46314.44027777778</v>
      </c>
      <c r="J1057" t="inlineStr">
        <is>
          <t>Completed</t>
        </is>
      </c>
      <c r="K1057" t="n">
        <v>4.72</v>
      </c>
      <c r="L1057" t="n">
        <v>8</v>
      </c>
      <c r="M1057" t="b">
        <v>0</v>
      </c>
      <c r="N1057" t="n">
        <v>0</v>
      </c>
      <c r="O1057" t="b">
        <v>1</v>
      </c>
      <c r="P1057" t="b">
        <v>0</v>
      </c>
      <c r="Q1057" t="b">
        <v>1</v>
      </c>
    </row>
    <row r="1058">
      <c r="A1058" t="inlineStr">
        <is>
          <t>REQ01057</t>
        </is>
      </c>
      <c r="B1058" t="inlineStr">
        <is>
          <t>894500PWRKT5AIJTDJ88</t>
        </is>
      </c>
      <c r="C1058" t="inlineStr">
        <is>
          <t>data_amendment</t>
        </is>
      </c>
      <c r="D1058" s="2" t="n">
        <v>46311.62083333333</v>
      </c>
      <c r="E1058" s="2" t="n">
        <v>46314.57916666667</v>
      </c>
      <c r="F1058" t="inlineStr">
        <is>
          <t>M6</t>
        </is>
      </c>
      <c r="G1058" t="inlineStr">
        <is>
          <t>C3</t>
        </is>
      </c>
      <c r="H1058" s="2" t="n">
        <v>46311.63125</v>
      </c>
      <c r="I1058" s="2" t="n">
        <v>46311.63680555556</v>
      </c>
      <c r="J1058" t="inlineStr">
        <is>
          <t>Completed</t>
        </is>
      </c>
      <c r="K1058" t="n">
        <v>0.39</v>
      </c>
      <c r="L1058" t="n">
        <v>8</v>
      </c>
      <c r="M1058" t="b">
        <v>0</v>
      </c>
      <c r="N1058" t="n">
        <v>0</v>
      </c>
      <c r="O1058" t="b">
        <v>1</v>
      </c>
      <c r="P1058" t="b">
        <v>0</v>
      </c>
      <c r="Q1058" t="b">
        <v>0</v>
      </c>
    </row>
    <row r="1059">
      <c r="A1059" t="inlineStr">
        <is>
          <t>REQ01058</t>
        </is>
      </c>
      <c r="B1059" t="inlineStr">
        <is>
          <t>2549000WKFZ4G2MIXN48</t>
        </is>
      </c>
      <c r="C1059" t="inlineStr">
        <is>
          <t>document_refresh</t>
        </is>
      </c>
      <c r="D1059" s="2" t="n">
        <v>46311.62083333333</v>
      </c>
      <c r="E1059" s="2" t="n">
        <v>46314.74583333333</v>
      </c>
      <c r="F1059" t="inlineStr">
        <is>
          <t>M2</t>
        </is>
      </c>
      <c r="G1059" t="inlineStr">
        <is>
          <t>C1</t>
        </is>
      </c>
      <c r="H1059" s="2" t="n">
        <v>46311.63472222222</v>
      </c>
      <c r="I1059" s="2" t="n">
        <v>46311.63958333333</v>
      </c>
      <c r="J1059" t="inlineStr">
        <is>
          <t>Completed</t>
        </is>
      </c>
      <c r="K1059" t="n">
        <v>0.45</v>
      </c>
      <c r="L1059" t="n">
        <v>12</v>
      </c>
      <c r="M1059" t="b">
        <v>0</v>
      </c>
      <c r="N1059" t="n">
        <v>0</v>
      </c>
      <c r="O1059" t="b">
        <v>1</v>
      </c>
      <c r="P1059" t="b">
        <v>0</v>
      </c>
      <c r="Q1059" t="b">
        <v>0</v>
      </c>
    </row>
    <row r="1060">
      <c r="A1060" t="inlineStr">
        <is>
          <t>REQ01059</t>
        </is>
      </c>
      <c r="B1060" t="inlineStr">
        <is>
          <t>724500H1K3908V0YTU08</t>
        </is>
      </c>
      <c r="C1060" t="inlineStr">
        <is>
          <t>document_refresh</t>
        </is>
      </c>
      <c r="D1060" s="2" t="n">
        <v>46311.62083333333</v>
      </c>
      <c r="E1060" s="2" t="n">
        <v>46314.74583333333</v>
      </c>
      <c r="F1060" t="inlineStr">
        <is>
          <t>M1</t>
        </is>
      </c>
      <c r="G1060" t="inlineStr">
        <is>
          <t>C2</t>
        </is>
      </c>
      <c r="H1060" s="2" t="n">
        <v>46311.6375</v>
      </c>
      <c r="I1060" s="2" t="n">
        <v>46314.45833333334</v>
      </c>
      <c r="J1060" t="inlineStr">
        <is>
          <t>Completed</t>
        </is>
      </c>
      <c r="K1060" t="n">
        <v>5.09</v>
      </c>
      <c r="L1060" t="n">
        <v>12</v>
      </c>
      <c r="M1060" t="b">
        <v>0</v>
      </c>
      <c r="N1060" t="n">
        <v>0</v>
      </c>
      <c r="O1060" t="b">
        <v>1</v>
      </c>
      <c r="P1060" t="b">
        <v>0</v>
      </c>
      <c r="Q1060" t="b">
        <v>1</v>
      </c>
    </row>
    <row r="1061">
      <c r="A1061" t="inlineStr">
        <is>
          <t>REQ01060</t>
        </is>
      </c>
      <c r="B1061" t="inlineStr">
        <is>
          <t>7245002SZNRNDCA6AB82</t>
        </is>
      </c>
      <c r="C1061" t="inlineStr">
        <is>
          <t>data_amendment</t>
        </is>
      </c>
      <c r="D1061" s="2" t="n">
        <v>46311.62708333333</v>
      </c>
      <c r="E1061" s="2" t="n">
        <v>46314.58541666667</v>
      </c>
      <c r="F1061" t="inlineStr">
        <is>
          <t>M5</t>
        </is>
      </c>
      <c r="G1061" t="inlineStr">
        <is>
          <t>C3</t>
        </is>
      </c>
      <c r="H1061" s="2" t="n">
        <v>46311.63680555556</v>
      </c>
      <c r="I1061" s="2" t="n">
        <v>46311.64027777778</v>
      </c>
      <c r="J1061" t="inlineStr">
        <is>
          <t>Completed</t>
        </is>
      </c>
      <c r="K1061" t="n">
        <v>0.32</v>
      </c>
      <c r="L1061" t="n">
        <v>8</v>
      </c>
      <c r="M1061" t="b">
        <v>0</v>
      </c>
      <c r="N1061" t="n">
        <v>0</v>
      </c>
      <c r="O1061" t="b">
        <v>1</v>
      </c>
      <c r="P1061" t="b">
        <v>0</v>
      </c>
      <c r="Q1061" t="b">
        <v>0</v>
      </c>
    </row>
    <row r="1062">
      <c r="A1062" t="inlineStr">
        <is>
          <t>REQ01061</t>
        </is>
      </c>
      <c r="B1062" t="inlineStr">
        <is>
          <t>984500A00E03E0F9FD14</t>
        </is>
      </c>
      <c r="C1062" t="inlineStr">
        <is>
          <t>signatory_change</t>
        </is>
      </c>
      <c r="D1062" s="2" t="n">
        <v>46311.63402777778</v>
      </c>
      <c r="E1062" s="2" t="n">
        <v>46314.59236111111</v>
      </c>
      <c r="F1062" t="inlineStr">
        <is>
          <t>M3</t>
        </is>
      </c>
      <c r="G1062" t="inlineStr">
        <is>
          <t>C1</t>
        </is>
      </c>
      <c r="H1062" s="2" t="n">
        <v>46311.65</v>
      </c>
      <c r="I1062" s="2" t="n">
        <v>46311.65694444445</v>
      </c>
      <c r="J1062" t="inlineStr">
        <is>
          <t>Completed</t>
        </is>
      </c>
      <c r="K1062" t="n">
        <v>0.54</v>
      </c>
      <c r="L1062" t="n">
        <v>8</v>
      </c>
      <c r="M1062" t="b">
        <v>0</v>
      </c>
      <c r="N1062" t="n">
        <v>0</v>
      </c>
      <c r="O1062" t="b">
        <v>1</v>
      </c>
      <c r="P1062" t="b">
        <v>0</v>
      </c>
      <c r="Q1062" t="b">
        <v>0</v>
      </c>
    </row>
    <row r="1063">
      <c r="A1063" t="inlineStr">
        <is>
          <t>REQ01062</t>
        </is>
      </c>
      <c r="B1063" t="inlineStr">
        <is>
          <t>724500IJ8S6TAXW85N74</t>
        </is>
      </c>
      <c r="C1063" t="inlineStr">
        <is>
          <t>data_amendment</t>
        </is>
      </c>
      <c r="D1063" s="2" t="n">
        <v>46311.63541666666</v>
      </c>
      <c r="E1063" s="2" t="n">
        <v>46314.59375</v>
      </c>
      <c r="F1063" t="inlineStr">
        <is>
          <t>M6</t>
        </is>
      </c>
      <c r="G1063" t="inlineStr">
        <is>
          <t>C1</t>
        </is>
      </c>
      <c r="H1063" s="2" t="n">
        <v>46311.64513888889</v>
      </c>
      <c r="I1063" s="2" t="n">
        <v>46314.41666666666</v>
      </c>
      <c r="J1063" t="inlineStr">
        <is>
          <t>Completed</t>
        </is>
      </c>
      <c r="K1063" t="n">
        <v>3.75</v>
      </c>
      <c r="L1063" t="n">
        <v>8</v>
      </c>
      <c r="M1063" t="b">
        <v>0</v>
      </c>
      <c r="N1063" t="n">
        <v>0</v>
      </c>
      <c r="O1063" t="b">
        <v>1</v>
      </c>
      <c r="P1063" t="b">
        <v>0</v>
      </c>
      <c r="Q1063" t="b">
        <v>1</v>
      </c>
    </row>
    <row r="1064">
      <c r="A1064" t="inlineStr">
        <is>
          <t>REQ01063</t>
        </is>
      </c>
      <c r="B1064" t="inlineStr">
        <is>
          <t>254900WB4LR1NM0V3F45</t>
        </is>
      </c>
      <c r="C1064" t="inlineStr">
        <is>
          <t>data_amendment</t>
        </is>
      </c>
      <c r="D1064" s="2" t="n">
        <v>46311.63958333333</v>
      </c>
      <c r="E1064" s="2" t="n">
        <v>46314.59791666667</v>
      </c>
      <c r="F1064" t="inlineStr">
        <is>
          <t>M2</t>
        </is>
      </c>
      <c r="G1064" t="inlineStr">
        <is>
          <t>C2</t>
        </is>
      </c>
      <c r="H1064" s="2" t="n">
        <v>46311.65138888889</v>
      </c>
      <c r="I1064" s="2" t="n">
        <v>46311.65555555555</v>
      </c>
      <c r="J1064" t="inlineStr">
        <is>
          <t>Completed</t>
        </is>
      </c>
      <c r="K1064" t="n">
        <v>0.38</v>
      </c>
      <c r="L1064" t="n">
        <v>8</v>
      </c>
      <c r="M1064" t="b">
        <v>0</v>
      </c>
      <c r="N1064" t="n">
        <v>0</v>
      </c>
      <c r="O1064" t="b">
        <v>1</v>
      </c>
      <c r="P1064" t="b">
        <v>0</v>
      </c>
      <c r="Q1064" t="b">
        <v>0</v>
      </c>
    </row>
    <row r="1065">
      <c r="A1065" t="inlineStr">
        <is>
          <t>REQ01064</t>
        </is>
      </c>
      <c r="B1065" t="inlineStr">
        <is>
          <t>9845002ED96A2F80AE24</t>
        </is>
      </c>
      <c r="C1065" t="inlineStr">
        <is>
          <t>new_account</t>
        </is>
      </c>
      <c r="D1065" s="2" t="n">
        <v>46311.65208333333</v>
      </c>
      <c r="E1065" s="2" t="n">
        <v>46315.56875</v>
      </c>
      <c r="F1065" t="inlineStr">
        <is>
          <t>M5</t>
        </is>
      </c>
      <c r="G1065" t="inlineStr">
        <is>
          <t>C2</t>
        </is>
      </c>
      <c r="H1065" s="2" t="n">
        <v>46311.67708333334</v>
      </c>
      <c r="I1065" s="2" t="n">
        <v>46314.44444444445</v>
      </c>
      <c r="J1065" t="inlineStr">
        <is>
          <t>Completed</t>
        </is>
      </c>
      <c r="K1065" t="n">
        <v>4.02</v>
      </c>
      <c r="L1065" t="n">
        <v>16</v>
      </c>
      <c r="M1065" t="b">
        <v>0</v>
      </c>
      <c r="N1065" t="n">
        <v>0</v>
      </c>
      <c r="O1065" t="b">
        <v>1</v>
      </c>
      <c r="P1065" t="b">
        <v>0</v>
      </c>
      <c r="Q1065" t="b">
        <v>1</v>
      </c>
    </row>
    <row r="1066">
      <c r="A1066" t="inlineStr">
        <is>
          <t>REQ01065</t>
        </is>
      </c>
      <c r="B1066" t="inlineStr">
        <is>
          <t>969500CWYDO1DZVIEZ82</t>
        </is>
      </c>
      <c r="C1066" t="inlineStr">
        <is>
          <t>new_account</t>
        </is>
      </c>
      <c r="D1066" s="2" t="n">
        <v>46311.65486111111</v>
      </c>
      <c r="E1066" s="2" t="n">
        <v>46315.57152777778</v>
      </c>
      <c r="F1066" t="inlineStr">
        <is>
          <t>M1</t>
        </is>
      </c>
      <c r="G1066" t="inlineStr">
        <is>
          <t>C3</t>
        </is>
      </c>
      <c r="H1066" s="2" t="n">
        <v>46311.68333333333</v>
      </c>
      <c r="I1066" s="2" t="n">
        <v>46314.51875</v>
      </c>
      <c r="J1066" t="inlineStr">
        <is>
          <t>Completed</t>
        </is>
      </c>
      <c r="K1066" t="n">
        <v>5.73</v>
      </c>
      <c r="L1066" t="n">
        <v>16</v>
      </c>
      <c r="M1066" t="b">
        <v>0</v>
      </c>
      <c r="N1066" t="n">
        <v>0</v>
      </c>
      <c r="O1066" t="b">
        <v>1</v>
      </c>
      <c r="P1066" t="b">
        <v>0</v>
      </c>
      <c r="Q1066" t="b">
        <v>1</v>
      </c>
    </row>
    <row r="1067">
      <c r="A1067" t="inlineStr">
        <is>
          <t>REQ01066</t>
        </is>
      </c>
      <c r="B1067" t="inlineStr">
        <is>
          <t>529900RPBX6EPE1XNU32</t>
        </is>
      </c>
      <c r="C1067" t="inlineStr">
        <is>
          <t>signatory_change</t>
        </is>
      </c>
      <c r="D1067" s="2" t="n">
        <v>46311.65763888889</v>
      </c>
      <c r="E1067" s="2" t="n">
        <v>46314.61597222222</v>
      </c>
      <c r="F1067" t="inlineStr">
        <is>
          <t>M4</t>
        </is>
      </c>
      <c r="G1067" t="inlineStr">
        <is>
          <t>C1</t>
        </is>
      </c>
      <c r="H1067" s="2" t="n">
        <v>46311.68263888889</v>
      </c>
      <c r="I1067" s="2" t="n">
        <v>46314.40138888889</v>
      </c>
      <c r="J1067" t="inlineStr">
        <is>
          <t>Completed</t>
        </is>
      </c>
      <c r="K1067" t="n">
        <v>2.86</v>
      </c>
      <c r="L1067" t="n">
        <v>8</v>
      </c>
      <c r="M1067" t="b">
        <v>0</v>
      </c>
      <c r="N1067" t="n">
        <v>0</v>
      </c>
      <c r="O1067" t="b">
        <v>1</v>
      </c>
      <c r="P1067" t="b">
        <v>0</v>
      </c>
      <c r="Q1067" t="b">
        <v>1</v>
      </c>
    </row>
    <row r="1068">
      <c r="A1068" t="inlineStr">
        <is>
          <t>REQ01067</t>
        </is>
      </c>
      <c r="B1068" t="inlineStr">
        <is>
          <t>724500T5QNS4R39I5O88</t>
        </is>
      </c>
      <c r="C1068" t="inlineStr">
        <is>
          <t>document_refresh</t>
        </is>
      </c>
      <c r="D1068" s="2" t="n">
        <v>46311.6625</v>
      </c>
      <c r="E1068" s="2" t="n">
        <v>46315.4125</v>
      </c>
      <c r="F1068" t="inlineStr">
        <is>
          <t>M6</t>
        </is>
      </c>
      <c r="G1068" t="inlineStr">
        <is>
          <t>C2</t>
        </is>
      </c>
      <c r="H1068" s="2" t="n">
        <v>46311.67291666667</v>
      </c>
      <c r="I1068" s="2" t="n">
        <v>46314.48194444444</v>
      </c>
      <c r="J1068" t="inlineStr">
        <is>
          <t>Completed</t>
        </is>
      </c>
      <c r="K1068" t="n">
        <v>4.67</v>
      </c>
      <c r="L1068" t="n">
        <v>12</v>
      </c>
      <c r="M1068" t="b">
        <v>0</v>
      </c>
      <c r="N1068" t="n">
        <v>0</v>
      </c>
      <c r="O1068" t="b">
        <v>1</v>
      </c>
      <c r="P1068" t="b">
        <v>0</v>
      </c>
      <c r="Q1068" t="b">
        <v>1</v>
      </c>
    </row>
    <row r="1069">
      <c r="A1069" t="inlineStr">
        <is>
          <t>REQ01068</t>
        </is>
      </c>
      <c r="B1069" t="inlineStr">
        <is>
          <t>HIB1RJORN6PDA2VE6Q12</t>
        </is>
      </c>
      <c r="C1069" t="inlineStr">
        <is>
          <t>new_account</t>
        </is>
      </c>
      <c r="D1069" s="2" t="n">
        <v>46311.66666666666</v>
      </c>
      <c r="E1069" s="2" t="n">
        <v>46315.58333333334</v>
      </c>
      <c r="F1069" t="inlineStr">
        <is>
          <t>M3</t>
        </is>
      </c>
      <c r="G1069" t="inlineStr">
        <is>
          <t>C2</t>
        </is>
      </c>
      <c r="H1069" s="2" t="n">
        <v>46311.7</v>
      </c>
      <c r="I1069" s="2" t="n">
        <v>46311.70902777778</v>
      </c>
      <c r="J1069" t="inlineStr">
        <is>
          <t>Completed</t>
        </is>
      </c>
      <c r="K1069" t="n">
        <v>1.02</v>
      </c>
      <c r="L1069" t="n">
        <v>16</v>
      </c>
      <c r="M1069" t="b">
        <v>0</v>
      </c>
      <c r="N1069" t="n">
        <v>0</v>
      </c>
      <c r="O1069" t="b">
        <v>1</v>
      </c>
      <c r="P1069" t="b">
        <v>0</v>
      </c>
      <c r="Q1069" t="b">
        <v>0</v>
      </c>
    </row>
    <row r="1070">
      <c r="A1070" t="inlineStr">
        <is>
          <t>REQ01069</t>
        </is>
      </c>
      <c r="B1070" t="inlineStr">
        <is>
          <t>213800DQ2WPD8TA4AX55</t>
        </is>
      </c>
      <c r="C1070" t="inlineStr">
        <is>
          <t>document_refresh</t>
        </is>
      </c>
      <c r="D1070" s="2" t="n">
        <v>46311.66736111111</v>
      </c>
      <c r="E1070" s="2" t="n">
        <v>46315.41736111111</v>
      </c>
      <c r="F1070" t="inlineStr">
        <is>
          <t>M2</t>
        </is>
      </c>
      <c r="G1070" t="inlineStr">
        <is>
          <t>C1</t>
        </is>
      </c>
      <c r="H1070" s="2" t="n">
        <v>46311.67847222222</v>
      </c>
      <c r="I1070" s="2" t="n">
        <v>46314.53055555555</v>
      </c>
      <c r="J1070" t="inlineStr">
        <is>
          <t>Completed</t>
        </is>
      </c>
      <c r="K1070" t="n">
        <v>5.72</v>
      </c>
      <c r="L1070" t="n">
        <v>12</v>
      </c>
      <c r="M1070" t="b">
        <v>0</v>
      </c>
      <c r="N1070" t="n">
        <v>0</v>
      </c>
      <c r="O1070" t="b">
        <v>1</v>
      </c>
      <c r="P1070" t="b">
        <v>0</v>
      </c>
      <c r="Q1070" t="b">
        <v>1</v>
      </c>
    </row>
    <row r="1071">
      <c r="A1071" t="inlineStr">
        <is>
          <t>REQ01070</t>
        </is>
      </c>
      <c r="B1071" t="inlineStr">
        <is>
          <t>3358005BZJVORYNP1A55</t>
        </is>
      </c>
      <c r="C1071" t="inlineStr">
        <is>
          <t>data_amendment</t>
        </is>
      </c>
      <c r="D1071" s="2" t="n">
        <v>46311.67361111111</v>
      </c>
      <c r="E1071" s="2" t="n">
        <v>46314.63194444445</v>
      </c>
      <c r="F1071" t="inlineStr">
        <is>
          <t>M6</t>
        </is>
      </c>
      <c r="G1071" t="inlineStr">
        <is>
          <t>C3</t>
        </is>
      </c>
      <c r="H1071" s="2" t="n">
        <v>46311.68680555555</v>
      </c>
      <c r="I1071" s="2" t="n">
        <v>46311.69027777778</v>
      </c>
      <c r="J1071" t="inlineStr">
        <is>
          <t>Completed</t>
        </is>
      </c>
      <c r="K1071" t="n">
        <v>0.4</v>
      </c>
      <c r="L1071" t="n">
        <v>8</v>
      </c>
      <c r="M1071" t="b">
        <v>0</v>
      </c>
      <c r="N1071" t="n">
        <v>0</v>
      </c>
      <c r="O1071" t="b">
        <v>1</v>
      </c>
      <c r="P1071" t="b">
        <v>0</v>
      </c>
      <c r="Q1071" t="b">
        <v>0</v>
      </c>
    </row>
    <row r="1072">
      <c r="A1072" t="inlineStr">
        <is>
          <t>REQ01071</t>
        </is>
      </c>
      <c r="B1072" t="inlineStr">
        <is>
          <t>724500ZQ00AA3KIBUC90</t>
        </is>
      </c>
      <c r="C1072" t="inlineStr">
        <is>
          <t>document_refresh</t>
        </is>
      </c>
      <c r="D1072" s="2" t="n">
        <v>46311.67638888889</v>
      </c>
      <c r="E1072" s="2" t="n">
        <v>46315.42638888889</v>
      </c>
      <c r="F1072" t="inlineStr">
        <is>
          <t>M5</t>
        </is>
      </c>
      <c r="G1072" t="inlineStr">
        <is>
          <t>C3</t>
        </is>
      </c>
      <c r="H1072" s="2" t="n">
        <v>46311.69513888889</v>
      </c>
      <c r="I1072" s="2" t="n">
        <v>46314.50763888889</v>
      </c>
      <c r="J1072" t="inlineStr">
        <is>
          <t>Completed</t>
        </is>
      </c>
      <c r="K1072" t="n">
        <v>4.94</v>
      </c>
      <c r="L1072" t="n">
        <v>12</v>
      </c>
      <c r="M1072" t="b">
        <v>0</v>
      </c>
      <c r="N1072" t="n">
        <v>0</v>
      </c>
      <c r="O1072" t="b">
        <v>1</v>
      </c>
      <c r="P1072" t="b">
        <v>0</v>
      </c>
      <c r="Q1072" t="b">
        <v>1</v>
      </c>
    </row>
    <row r="1073">
      <c r="A1073" t="inlineStr">
        <is>
          <t>REQ01072</t>
        </is>
      </c>
      <c r="B1073" t="inlineStr">
        <is>
          <t>969500HRB2G997LHEK05</t>
        </is>
      </c>
      <c r="C1073" t="inlineStr">
        <is>
          <t>document_refresh</t>
        </is>
      </c>
      <c r="D1073" s="2" t="n">
        <v>46311.68055555555</v>
      </c>
      <c r="E1073" s="2" t="n">
        <v>46315.43055555555</v>
      </c>
      <c r="F1073" t="inlineStr">
        <is>
          <t>M2</t>
        </is>
      </c>
      <c r="G1073" t="inlineStr">
        <is>
          <t>C1</t>
        </is>
      </c>
      <c r="H1073" s="2" t="n">
        <v>46311.69652777778</v>
      </c>
      <c r="I1073" s="2" t="n">
        <v>46311.70069444444</v>
      </c>
      <c r="J1073" t="inlineStr">
        <is>
          <t>Completed</t>
        </is>
      </c>
      <c r="K1073" t="n">
        <v>0.49</v>
      </c>
      <c r="L1073" t="n">
        <v>12</v>
      </c>
      <c r="M1073" t="b">
        <v>0</v>
      </c>
      <c r="N1073" t="n">
        <v>0</v>
      </c>
      <c r="O1073" t="b">
        <v>1</v>
      </c>
      <c r="P1073" t="b">
        <v>0</v>
      </c>
      <c r="Q1073" t="b">
        <v>0</v>
      </c>
    </row>
    <row r="1074">
      <c r="A1074" t="inlineStr">
        <is>
          <t>REQ01073</t>
        </is>
      </c>
      <c r="B1074" t="inlineStr">
        <is>
          <t>64885GB8GJ8F09Q39J76</t>
        </is>
      </c>
      <c r="C1074" t="inlineStr">
        <is>
          <t>data_amendment</t>
        </is>
      </c>
      <c r="D1074" s="2" t="n">
        <v>46311.6875</v>
      </c>
      <c r="E1074" s="2" t="n">
        <v>46314.64583333334</v>
      </c>
      <c r="F1074" t="inlineStr">
        <is>
          <t>M4</t>
        </is>
      </c>
      <c r="G1074" t="inlineStr">
        <is>
          <t>C3</t>
        </is>
      </c>
      <c r="H1074" s="2" t="n">
        <v>46311.69930555556</v>
      </c>
      <c r="I1074" s="2" t="n">
        <v>46314.45555555556</v>
      </c>
      <c r="J1074" t="inlineStr">
        <is>
          <t>Completed</t>
        </is>
      </c>
      <c r="K1074" t="n">
        <v>3.43</v>
      </c>
      <c r="L1074" t="n">
        <v>8</v>
      </c>
      <c r="M1074" t="b">
        <v>0</v>
      </c>
      <c r="N1074" t="n">
        <v>0</v>
      </c>
      <c r="O1074" t="b">
        <v>1</v>
      </c>
      <c r="P1074" t="b">
        <v>0</v>
      </c>
      <c r="Q1074" t="b">
        <v>1</v>
      </c>
    </row>
    <row r="1075">
      <c r="A1075" t="inlineStr">
        <is>
          <t>REQ01074</t>
        </is>
      </c>
      <c r="B1075" t="inlineStr">
        <is>
          <t>HWR6ATEU4L0XN8IT6Y39</t>
        </is>
      </c>
      <c r="C1075" t="inlineStr">
        <is>
          <t>data_amendment</t>
        </is>
      </c>
      <c r="D1075" s="2" t="n">
        <v>46311.69513888889</v>
      </c>
      <c r="E1075" s="2" t="n">
        <v>46314.65347222222</v>
      </c>
      <c r="F1075" t="inlineStr">
        <is>
          <t>M1</t>
        </is>
      </c>
      <c r="G1075" t="inlineStr">
        <is>
          <t>C2</t>
        </is>
      </c>
      <c r="H1075" s="2" t="n">
        <v>46311.70833333334</v>
      </c>
      <c r="I1075" s="2" t="n">
        <v>46311.71458333333</v>
      </c>
      <c r="J1075" t="inlineStr">
        <is>
          <t>Completed</t>
        </is>
      </c>
      <c r="K1075" t="n">
        <v>0.46</v>
      </c>
      <c r="L1075" t="n">
        <v>8</v>
      </c>
      <c r="M1075" t="b">
        <v>0</v>
      </c>
      <c r="N1075" t="n">
        <v>0</v>
      </c>
      <c r="O1075" t="b">
        <v>1</v>
      </c>
      <c r="P1075" t="b">
        <v>0</v>
      </c>
      <c r="Q1075" t="b">
        <v>0</v>
      </c>
    </row>
    <row r="1076">
      <c r="A1076" t="inlineStr">
        <is>
          <t>REQ01075</t>
        </is>
      </c>
      <c r="B1076" t="inlineStr">
        <is>
          <t>335800RNHF6TX5ADCG30</t>
        </is>
      </c>
      <c r="C1076" t="inlineStr">
        <is>
          <t>data_amendment</t>
        </is>
      </c>
      <c r="D1076" s="2" t="n">
        <v>46311.69652777778</v>
      </c>
      <c r="E1076" s="2" t="n">
        <v>46314.65486111111</v>
      </c>
      <c r="F1076" t="inlineStr">
        <is>
          <t>M6</t>
        </is>
      </c>
      <c r="G1076" t="inlineStr">
        <is>
          <t>C3</t>
        </is>
      </c>
      <c r="H1076" s="2" t="n">
        <v>46311.70625</v>
      </c>
      <c r="I1076" s="2" t="n">
        <v>46311.71597222222</v>
      </c>
      <c r="J1076" t="inlineStr">
        <is>
          <t>Completed</t>
        </is>
      </c>
      <c r="K1076" t="n">
        <v>0.47</v>
      </c>
      <c r="L1076" t="n">
        <v>8</v>
      </c>
      <c r="M1076" t="b">
        <v>0</v>
      </c>
      <c r="N1076" t="n">
        <v>1</v>
      </c>
      <c r="O1076" t="b">
        <v>0</v>
      </c>
      <c r="P1076" t="b">
        <v>1</v>
      </c>
      <c r="Q1076" t="b">
        <v>0</v>
      </c>
    </row>
    <row r="1077">
      <c r="A1077" t="inlineStr">
        <is>
          <t>REQ01076</t>
        </is>
      </c>
      <c r="B1077" t="inlineStr">
        <is>
          <t>969500PQK796V0KW1X59</t>
        </is>
      </c>
      <c r="C1077" t="inlineStr">
        <is>
          <t>signatory_change</t>
        </is>
      </c>
      <c r="D1077" s="2" t="n">
        <v>46311.69652777778</v>
      </c>
      <c r="E1077" s="2" t="n">
        <v>46314.65486111111</v>
      </c>
      <c r="F1077" t="inlineStr">
        <is>
          <t>M5</t>
        </is>
      </c>
      <c r="G1077" t="inlineStr">
        <is>
          <t>C2</t>
        </is>
      </c>
      <c r="H1077" s="2" t="n">
        <v>46311.71736111111</v>
      </c>
      <c r="I1077" s="2" t="n">
        <v>46314.43472222222</v>
      </c>
      <c r="J1077" t="inlineStr">
        <is>
          <t>Completed</t>
        </is>
      </c>
      <c r="K1077" t="n">
        <v>2.72</v>
      </c>
      <c r="L1077" t="n">
        <v>8</v>
      </c>
      <c r="M1077" t="b">
        <v>0</v>
      </c>
      <c r="N1077" t="n">
        <v>0</v>
      </c>
      <c r="O1077" t="b">
        <v>1</v>
      </c>
      <c r="P1077" t="b">
        <v>0</v>
      </c>
      <c r="Q1077" t="b">
        <v>1</v>
      </c>
    </row>
    <row r="1078">
      <c r="A1078" t="inlineStr">
        <is>
          <t>REQ01077</t>
        </is>
      </c>
      <c r="B1078" t="inlineStr">
        <is>
          <t>549300LD7IWBD09BDR75</t>
        </is>
      </c>
      <c r="C1078" t="inlineStr">
        <is>
          <t>document_refresh</t>
        </is>
      </c>
      <c r="D1078" s="2" t="n">
        <v>46311.70555555556</v>
      </c>
      <c r="E1078" s="2" t="n">
        <v>46315.45555555556</v>
      </c>
      <c r="F1078" t="inlineStr">
        <is>
          <t>M2</t>
        </is>
      </c>
      <c r="G1078" t="inlineStr">
        <is>
          <t>C2</t>
        </is>
      </c>
      <c r="H1078" s="2" t="n">
        <v>46311.71944444445</v>
      </c>
      <c r="I1078" s="2" t="n">
        <v>46314.47430555556</v>
      </c>
      <c r="J1078" t="inlineStr">
        <is>
          <t>Completed</t>
        </is>
      </c>
      <c r="K1078" t="n">
        <v>3.46</v>
      </c>
      <c r="L1078" t="n">
        <v>12</v>
      </c>
      <c r="M1078" t="b">
        <v>0</v>
      </c>
      <c r="N1078" t="n">
        <v>0</v>
      </c>
      <c r="O1078" t="b">
        <v>1</v>
      </c>
      <c r="P1078" t="b">
        <v>0</v>
      </c>
      <c r="Q1078" t="b">
        <v>1</v>
      </c>
    </row>
    <row r="1079">
      <c r="A1079" t="inlineStr">
        <is>
          <t>REQ01078</t>
        </is>
      </c>
      <c r="B1079" t="inlineStr">
        <is>
          <t>9845003E74F6AC09B867</t>
        </is>
      </c>
      <c r="C1079" t="inlineStr">
        <is>
          <t>new_account</t>
        </is>
      </c>
      <c r="D1079" s="2" t="n">
        <v>46311.70625</v>
      </c>
      <c r="E1079" s="2" t="n">
        <v>46315.62291666667</v>
      </c>
      <c r="F1079" t="inlineStr">
        <is>
          <t>M4</t>
        </is>
      </c>
      <c r="G1079" t="inlineStr">
        <is>
          <t>C2</t>
        </is>
      </c>
      <c r="H1079" s="2" t="n">
        <v>46311.73888888889</v>
      </c>
      <c r="I1079" s="2" t="n">
        <v>46314.56041666667</v>
      </c>
      <c r="J1079" t="inlineStr">
        <is>
          <t>Completed</t>
        </is>
      </c>
      <c r="K1079" t="n">
        <v>5.5</v>
      </c>
      <c r="L1079" t="n">
        <v>16</v>
      </c>
      <c r="M1079" t="b">
        <v>0</v>
      </c>
      <c r="N1079" t="n">
        <v>0</v>
      </c>
      <c r="O1079" t="b">
        <v>1</v>
      </c>
      <c r="P1079" t="b">
        <v>0</v>
      </c>
      <c r="Q1079" t="b">
        <v>1</v>
      </c>
    </row>
    <row r="1080">
      <c r="A1080" t="inlineStr">
        <is>
          <t>REQ01079</t>
        </is>
      </c>
      <c r="B1080" t="inlineStr">
        <is>
          <t>9676002F5MJ6Z1Q57L36</t>
        </is>
      </c>
      <c r="C1080" t="inlineStr">
        <is>
          <t>document_refresh</t>
        </is>
      </c>
      <c r="D1080" s="2" t="n">
        <v>46311.70902777778</v>
      </c>
      <c r="E1080" s="2" t="n">
        <v>46315.45902777778</v>
      </c>
      <c r="F1080" t="inlineStr">
        <is>
          <t>M3</t>
        </is>
      </c>
      <c r="G1080" t="inlineStr">
        <is>
          <t>C2</t>
        </is>
      </c>
      <c r="H1080" s="2" t="n">
        <v>46311.72152777778</v>
      </c>
      <c r="I1080" s="2" t="n">
        <v>46311.73055555556</v>
      </c>
      <c r="J1080" t="inlineStr">
        <is>
          <t>Completed</t>
        </is>
      </c>
      <c r="K1080" t="n">
        <v>0.52</v>
      </c>
      <c r="L1080" t="n">
        <v>12</v>
      </c>
      <c r="M1080" t="b">
        <v>0</v>
      </c>
      <c r="N1080" t="n">
        <v>0</v>
      </c>
      <c r="O1080" t="b">
        <v>1</v>
      </c>
      <c r="P1080" t="b">
        <v>0</v>
      </c>
      <c r="Q1080" t="b">
        <v>0</v>
      </c>
    </row>
    <row r="1081">
      <c r="A1081" t="inlineStr">
        <is>
          <t>REQ01080</t>
        </is>
      </c>
      <c r="B1081" t="inlineStr">
        <is>
          <t>33580044K21QJQIBTS92</t>
        </is>
      </c>
      <c r="C1081" t="inlineStr">
        <is>
          <t>document_refresh</t>
        </is>
      </c>
      <c r="D1081" s="2" t="n">
        <v>46311.71597222222</v>
      </c>
      <c r="E1081" s="2" t="n">
        <v>46315.46597222222</v>
      </c>
      <c r="F1081" t="inlineStr">
        <is>
          <t>M6</t>
        </is>
      </c>
      <c r="G1081" t="inlineStr">
        <is>
          <t>C3</t>
        </is>
      </c>
      <c r="H1081" s="2" t="n">
        <v>46311.72708333333</v>
      </c>
      <c r="I1081" s="2" t="n">
        <v>46311.73125</v>
      </c>
      <c r="J1081" t="inlineStr">
        <is>
          <t>Completed</t>
        </is>
      </c>
      <c r="K1081" t="n">
        <v>0.36</v>
      </c>
      <c r="L1081" t="n">
        <v>12</v>
      </c>
      <c r="M1081" t="b">
        <v>0</v>
      </c>
      <c r="N1081" t="n">
        <v>0</v>
      </c>
      <c r="O1081" t="b">
        <v>1</v>
      </c>
      <c r="P1081" t="b">
        <v>0</v>
      </c>
      <c r="Q1081" t="b">
        <v>0</v>
      </c>
    </row>
    <row r="1082">
      <c r="A1082" t="inlineStr">
        <is>
          <t>REQ01081</t>
        </is>
      </c>
      <c r="B1082" t="inlineStr">
        <is>
          <t>549300JB7CU0SFNWQH42</t>
        </is>
      </c>
      <c r="C1082" t="inlineStr">
        <is>
          <t>data_amendment</t>
        </is>
      </c>
      <c r="D1082" s="2" t="n">
        <v>46311.71597222222</v>
      </c>
      <c r="E1082" s="2" t="n">
        <v>46314.67430555556</v>
      </c>
      <c r="F1082" t="inlineStr">
        <is>
          <t>M1</t>
        </is>
      </c>
      <c r="G1082" t="inlineStr">
        <is>
          <t>C3</t>
        </is>
      </c>
      <c r="H1082" s="2" t="n">
        <v>46311.72708333333</v>
      </c>
      <c r="I1082" s="2" t="n">
        <v>46314.48402777778</v>
      </c>
      <c r="J1082" t="inlineStr">
        <is>
          <t>Completed</t>
        </is>
      </c>
      <c r="K1082" t="n">
        <v>3.43</v>
      </c>
      <c r="L1082" t="n">
        <v>8</v>
      </c>
      <c r="M1082" t="b">
        <v>0</v>
      </c>
      <c r="N1082" t="n">
        <v>0</v>
      </c>
      <c r="O1082" t="b">
        <v>1</v>
      </c>
      <c r="P1082" t="b">
        <v>0</v>
      </c>
      <c r="Q1082" t="b">
        <v>1</v>
      </c>
    </row>
    <row r="1083">
      <c r="A1083" t="inlineStr">
        <is>
          <t>REQ01082</t>
        </is>
      </c>
      <c r="B1083" t="inlineStr">
        <is>
          <t>5493000S1XKEF0WZNP58</t>
        </is>
      </c>
      <c r="C1083" t="inlineStr">
        <is>
          <t>new_account</t>
        </is>
      </c>
      <c r="D1083" s="2" t="n">
        <v>46311.73958333334</v>
      </c>
      <c r="E1083" s="2" t="n">
        <v>46315.65625</v>
      </c>
      <c r="F1083" t="inlineStr">
        <is>
          <t>M5</t>
        </is>
      </c>
      <c r="G1083" t="inlineStr">
        <is>
          <t>C2</t>
        </is>
      </c>
      <c r="H1083" s="2" t="n">
        <v>46314.39444444444</v>
      </c>
      <c r="I1083" s="2" t="n">
        <v>46314.40277777778</v>
      </c>
      <c r="J1083" t="inlineStr">
        <is>
          <t>Completed</t>
        </is>
      </c>
      <c r="K1083" t="n">
        <v>0.91</v>
      </c>
      <c r="L1083" t="n">
        <v>16</v>
      </c>
      <c r="M1083" t="b">
        <v>0</v>
      </c>
      <c r="N1083" t="n">
        <v>0</v>
      </c>
      <c r="O1083" t="b">
        <v>1</v>
      </c>
      <c r="P1083" t="b">
        <v>0</v>
      </c>
      <c r="Q1083" t="b">
        <v>0</v>
      </c>
    </row>
    <row r="1084">
      <c r="A1084" t="inlineStr">
        <is>
          <t>REQ01083</t>
        </is>
      </c>
      <c r="B1084" t="inlineStr">
        <is>
          <t>54930061YXT7YIK8NN89</t>
        </is>
      </c>
      <c r="C1084" t="inlineStr">
        <is>
          <t>signatory_change</t>
        </is>
      </c>
      <c r="D1084" s="2" t="n">
        <v>46311.74166666667</v>
      </c>
      <c r="E1084" s="2" t="n">
        <v>46314.7</v>
      </c>
      <c r="F1084" t="inlineStr">
        <is>
          <t>M2</t>
        </is>
      </c>
      <c r="G1084" t="inlineStr">
        <is>
          <t>C2</t>
        </is>
      </c>
      <c r="H1084" s="2" t="n">
        <v>46314.38402777778</v>
      </c>
      <c r="I1084" s="2" t="n">
        <v>46314.38958333333</v>
      </c>
      <c r="J1084" t="inlineStr">
        <is>
          <t>Completed</t>
        </is>
      </c>
      <c r="K1084" t="n">
        <v>0.54</v>
      </c>
      <c r="L1084" t="n">
        <v>8</v>
      </c>
      <c r="M1084" t="b">
        <v>0</v>
      </c>
      <c r="N1084" t="n">
        <v>0</v>
      </c>
      <c r="O1084" t="b">
        <v>1</v>
      </c>
      <c r="P1084" t="b">
        <v>0</v>
      </c>
      <c r="Q1084" t="b">
        <v>0</v>
      </c>
    </row>
    <row r="1085">
      <c r="A1085" t="inlineStr">
        <is>
          <t>REQ01084</t>
        </is>
      </c>
      <c r="B1085" t="inlineStr">
        <is>
          <t>724500J2HV8TEDYEJS84</t>
        </is>
      </c>
      <c r="C1085" t="inlineStr">
        <is>
          <t>data_amendment</t>
        </is>
      </c>
      <c r="D1085" s="2" t="n">
        <v>46311.74236111111</v>
      </c>
      <c r="E1085" s="2" t="n">
        <v>46314.70069444444</v>
      </c>
      <c r="F1085" t="inlineStr">
        <is>
          <t>M3</t>
        </is>
      </c>
      <c r="G1085" t="inlineStr">
        <is>
          <t>C1</t>
        </is>
      </c>
      <c r="H1085" s="2" t="n">
        <v>46314.38055555556</v>
      </c>
      <c r="I1085" s="2" t="n">
        <v>46314.56180555555</v>
      </c>
      <c r="J1085" t="inlineStr">
        <is>
          <t>Completed</t>
        </is>
      </c>
      <c r="K1085" t="n">
        <v>4.66</v>
      </c>
      <c r="L1085" t="n">
        <v>8</v>
      </c>
      <c r="M1085" t="b">
        <v>0</v>
      </c>
      <c r="N1085" t="n">
        <v>0</v>
      </c>
      <c r="O1085" t="b">
        <v>1</v>
      </c>
      <c r="P1085" t="b">
        <v>0</v>
      </c>
      <c r="Q1085" t="b">
        <v>1</v>
      </c>
    </row>
    <row r="1086">
      <c r="A1086" t="inlineStr">
        <is>
          <t>REQ01085</t>
        </is>
      </c>
      <c r="B1086" t="inlineStr">
        <is>
          <t>529900INDNEA6KHX4549</t>
        </is>
      </c>
      <c r="C1086" t="inlineStr">
        <is>
          <t>signatory_change</t>
        </is>
      </c>
      <c r="D1086" s="2" t="n">
        <v>46311.74375</v>
      </c>
      <c r="E1086" s="2" t="n">
        <v>46314.70208333333</v>
      </c>
      <c r="F1086" t="inlineStr">
        <is>
          <t>M6</t>
        </is>
      </c>
      <c r="G1086" t="inlineStr">
        <is>
          <t>C3</t>
        </is>
      </c>
      <c r="H1086" s="2" t="n">
        <v>46314.39097222222</v>
      </c>
      <c r="I1086" s="2" t="n">
        <v>46314.39722222222</v>
      </c>
      <c r="J1086" t="inlineStr">
        <is>
          <t>Completed</t>
        </is>
      </c>
      <c r="K1086" t="n">
        <v>0.6899999999999999</v>
      </c>
      <c r="L1086" t="n">
        <v>8</v>
      </c>
      <c r="M1086" t="b">
        <v>0</v>
      </c>
      <c r="N1086" t="n">
        <v>0</v>
      </c>
      <c r="O1086" t="b">
        <v>1</v>
      </c>
      <c r="P1086" t="b">
        <v>0</v>
      </c>
      <c r="Q1086" t="b">
        <v>0</v>
      </c>
    </row>
    <row r="1087">
      <c r="A1087" t="inlineStr">
        <is>
          <t>REQ01086</t>
        </is>
      </c>
      <c r="B1087" t="inlineStr">
        <is>
          <t>549300HXF1K6KOWV0R15</t>
        </is>
      </c>
      <c r="C1087" t="inlineStr">
        <is>
          <t>signatory_change</t>
        </is>
      </c>
      <c r="D1087" s="2" t="n">
        <v>46311.74513888889</v>
      </c>
      <c r="E1087" s="2" t="n">
        <v>46314.70347222222</v>
      </c>
      <c r="F1087" t="inlineStr">
        <is>
          <t>M1</t>
        </is>
      </c>
      <c r="G1087" t="inlineStr">
        <is>
          <t>C3</t>
        </is>
      </c>
      <c r="H1087" s="2" t="n">
        <v>46314.39097222222</v>
      </c>
      <c r="I1087" s="2" t="n">
        <v>46314.56597222222</v>
      </c>
      <c r="J1087" t="inlineStr">
        <is>
          <t>Completed</t>
        </is>
      </c>
      <c r="K1087" t="n">
        <v>4.71</v>
      </c>
      <c r="L1087" t="n">
        <v>8</v>
      </c>
      <c r="M1087" t="b">
        <v>0</v>
      </c>
      <c r="N1087" t="n">
        <v>0</v>
      </c>
      <c r="O1087" t="b">
        <v>1</v>
      </c>
      <c r="P1087" t="b">
        <v>0</v>
      </c>
      <c r="Q1087" t="b">
        <v>1</v>
      </c>
    </row>
    <row r="1088">
      <c r="A1088" t="inlineStr">
        <is>
          <t>REQ01087</t>
        </is>
      </c>
      <c r="B1088" t="inlineStr">
        <is>
          <t>3358001K84PQDMG8VO29</t>
        </is>
      </c>
      <c r="C1088" t="inlineStr">
        <is>
          <t>document_refresh</t>
        </is>
      </c>
      <c r="D1088" s="2" t="n">
        <v>46311.74652777778</v>
      </c>
      <c r="E1088" s="2" t="n">
        <v>46315.49652777778</v>
      </c>
      <c r="F1088" t="inlineStr">
        <is>
          <t>M4</t>
        </is>
      </c>
      <c r="G1088" t="inlineStr">
        <is>
          <t>C1</t>
        </is>
      </c>
      <c r="H1088" s="2" t="n">
        <v>46314.38888888889</v>
      </c>
      <c r="I1088" s="2" t="n">
        <v>46314.39236111111</v>
      </c>
      <c r="J1088" t="inlineStr">
        <is>
          <t>Completed</t>
        </is>
      </c>
      <c r="K1088" t="n">
        <v>0.5</v>
      </c>
      <c r="L1088" t="n">
        <v>12</v>
      </c>
      <c r="M1088" t="b">
        <v>0</v>
      </c>
      <c r="N1088" t="n">
        <v>0</v>
      </c>
      <c r="O1088" t="b">
        <v>1</v>
      </c>
      <c r="P1088" t="b">
        <v>0</v>
      </c>
      <c r="Q1088" t="b">
        <v>0</v>
      </c>
    </row>
    <row r="1089">
      <c r="A1089" t="inlineStr">
        <is>
          <t>REQ01088</t>
        </is>
      </c>
      <c r="B1089" t="inlineStr">
        <is>
          <t>254900U6JGZL18NI2Z82</t>
        </is>
      </c>
      <c r="C1089" t="inlineStr">
        <is>
          <t>data_amendment</t>
        </is>
      </c>
      <c r="D1089" s="2" t="n">
        <v>46311.74722222222</v>
      </c>
      <c r="E1089" s="2" t="n">
        <v>46314.70555555556</v>
      </c>
      <c r="F1089" t="inlineStr">
        <is>
          <t>M3</t>
        </is>
      </c>
      <c r="G1089" t="inlineStr">
        <is>
          <t>C1</t>
        </is>
      </c>
      <c r="H1089" s="2" t="n">
        <v>46314.39305555556</v>
      </c>
      <c r="I1089" s="2" t="n">
        <v>46314.59583333333</v>
      </c>
      <c r="J1089" t="inlineStr">
        <is>
          <t>Completed</t>
        </is>
      </c>
      <c r="K1089" t="n">
        <v>5.36</v>
      </c>
      <c r="L1089" t="n">
        <v>8</v>
      </c>
      <c r="M1089" t="b">
        <v>0</v>
      </c>
      <c r="N1089" t="n">
        <v>0</v>
      </c>
      <c r="O1089" t="b">
        <v>1</v>
      </c>
      <c r="P1089" t="b">
        <v>0</v>
      </c>
      <c r="Q1089" t="b">
        <v>1</v>
      </c>
    </row>
    <row r="1090">
      <c r="A1090" t="inlineStr">
        <is>
          <t>REQ01089</t>
        </is>
      </c>
      <c r="B1090" t="inlineStr">
        <is>
          <t>549300QCQMY4U0VXNK29</t>
        </is>
      </c>
      <c r="C1090" t="inlineStr">
        <is>
          <t>signatory_change</t>
        </is>
      </c>
      <c r="D1090" s="2" t="n">
        <v>46314.37708333333</v>
      </c>
      <c r="E1090" s="2" t="n">
        <v>46314.71041666667</v>
      </c>
      <c r="F1090" t="inlineStr">
        <is>
          <t>M2</t>
        </is>
      </c>
      <c r="G1090" t="inlineStr">
        <is>
          <t>C2</t>
        </is>
      </c>
      <c r="H1090" s="2" t="n">
        <v>46314.40555555555</v>
      </c>
      <c r="I1090" s="2" t="n">
        <v>46314.64861111111</v>
      </c>
      <c r="J1090" t="inlineStr">
        <is>
          <t>Completed</t>
        </is>
      </c>
      <c r="K1090" t="n">
        <v>6.52</v>
      </c>
      <c r="L1090" t="n">
        <v>8</v>
      </c>
      <c r="M1090" t="b">
        <v>0</v>
      </c>
      <c r="N1090" t="n">
        <v>0</v>
      </c>
      <c r="O1090" t="b">
        <v>1</v>
      </c>
      <c r="P1090" t="b">
        <v>0</v>
      </c>
      <c r="Q1090" t="b">
        <v>1</v>
      </c>
    </row>
    <row r="1091">
      <c r="A1091" t="inlineStr">
        <is>
          <t>REQ01090</t>
        </is>
      </c>
      <c r="B1091" t="inlineStr">
        <is>
          <t>969500YVZ8DNLA8AZP59</t>
        </is>
      </c>
      <c r="C1091" t="inlineStr">
        <is>
          <t>signatory_change</t>
        </is>
      </c>
      <c r="D1091" s="2" t="n">
        <v>46314.37916666667</v>
      </c>
      <c r="E1091" s="2" t="n">
        <v>46314.7125</v>
      </c>
      <c r="F1091" t="inlineStr">
        <is>
          <t>M4</t>
        </is>
      </c>
      <c r="G1091" t="inlineStr">
        <is>
          <t>C1</t>
        </is>
      </c>
      <c r="H1091" s="2" t="n">
        <v>46314.40555555555</v>
      </c>
      <c r="I1091" s="2" t="n">
        <v>46314.62430555555</v>
      </c>
      <c r="J1091" t="inlineStr">
        <is>
          <t>Completed</t>
        </is>
      </c>
      <c r="K1091" t="n">
        <v>5.89</v>
      </c>
      <c r="L1091" t="n">
        <v>8</v>
      </c>
      <c r="M1091" t="b">
        <v>0</v>
      </c>
      <c r="N1091" t="n">
        <v>0</v>
      </c>
      <c r="O1091" t="b">
        <v>1</v>
      </c>
      <c r="P1091" t="b">
        <v>0</v>
      </c>
      <c r="Q1091" t="b">
        <v>1</v>
      </c>
    </row>
    <row r="1092">
      <c r="A1092" t="inlineStr">
        <is>
          <t>REQ01091</t>
        </is>
      </c>
      <c r="B1092" t="inlineStr">
        <is>
          <t>3358000T29TM6554Z859</t>
        </is>
      </c>
      <c r="C1092" t="inlineStr">
        <is>
          <t>new_account</t>
        </is>
      </c>
      <c r="D1092" s="2" t="n">
        <v>46314.38541666666</v>
      </c>
      <c r="E1092" s="2" t="n">
        <v>46315.67708333334</v>
      </c>
      <c r="F1092" t="inlineStr">
        <is>
          <t>M1</t>
        </is>
      </c>
      <c r="G1092" t="inlineStr">
        <is>
          <t>C3</t>
        </is>
      </c>
      <c r="H1092" s="2" t="n">
        <v>46314.41388888889</v>
      </c>
      <c r="I1092" s="2" t="n">
        <v>46314.42152777778</v>
      </c>
      <c r="J1092" t="inlineStr">
        <is>
          <t>Completed</t>
        </is>
      </c>
      <c r="K1092" t="n">
        <v>0.87</v>
      </c>
      <c r="L1092" t="n">
        <v>16</v>
      </c>
      <c r="M1092" t="b">
        <v>0</v>
      </c>
      <c r="N1092" t="n">
        <v>0</v>
      </c>
      <c r="O1092" t="b">
        <v>1</v>
      </c>
      <c r="P1092" t="b">
        <v>0</v>
      </c>
      <c r="Q1092" t="b">
        <v>0</v>
      </c>
    </row>
    <row r="1093">
      <c r="A1093" t="inlineStr">
        <is>
          <t>REQ01092</t>
        </is>
      </c>
      <c r="B1093" t="inlineStr">
        <is>
          <t>391200QEK51U9I1WZ961</t>
        </is>
      </c>
      <c r="C1093" t="inlineStr">
        <is>
          <t>document_refresh</t>
        </is>
      </c>
      <c r="D1093" s="2" t="n">
        <v>46314.38680555556</v>
      </c>
      <c r="E1093" s="2" t="n">
        <v>46315.51180555556</v>
      </c>
      <c r="F1093" t="inlineStr">
        <is>
          <t>M6</t>
        </is>
      </c>
      <c r="G1093" t="inlineStr">
        <is>
          <t>C1</t>
        </is>
      </c>
      <c r="H1093" s="2" t="n">
        <v>46314.40902777778</v>
      </c>
      <c r="I1093" s="2" t="n">
        <v>46314.49791666667</v>
      </c>
      <c r="J1093" t="inlineStr">
        <is>
          <t>Completed</t>
        </is>
      </c>
      <c r="K1093" t="n">
        <v>2.66</v>
      </c>
      <c r="L1093" t="n">
        <v>12</v>
      </c>
      <c r="M1093" t="b">
        <v>0</v>
      </c>
      <c r="N1093" t="n">
        <v>0</v>
      </c>
      <c r="O1093" t="b">
        <v>1</v>
      </c>
      <c r="P1093" t="b">
        <v>0</v>
      </c>
      <c r="Q1093" t="b">
        <v>1</v>
      </c>
    </row>
    <row r="1094">
      <c r="A1094" t="inlineStr">
        <is>
          <t>REQ01093</t>
        </is>
      </c>
      <c r="B1094" t="inlineStr">
        <is>
          <t>984500B4GEA8CEB85A46</t>
        </is>
      </c>
      <c r="C1094" t="inlineStr">
        <is>
          <t>document_refresh</t>
        </is>
      </c>
      <c r="D1094" s="2" t="n">
        <v>46314.39027777778</v>
      </c>
      <c r="E1094" s="2" t="n">
        <v>46315.51527777778</v>
      </c>
      <c r="F1094" t="inlineStr">
        <is>
          <t>M3</t>
        </is>
      </c>
      <c r="G1094" t="inlineStr">
        <is>
          <t>C3</t>
        </is>
      </c>
      <c r="H1094" s="2" t="n">
        <v>46314.40347222222</v>
      </c>
      <c r="I1094" s="2" t="n">
        <v>46314.40763888889</v>
      </c>
      <c r="J1094" t="inlineStr">
        <is>
          <t>Completed</t>
        </is>
      </c>
      <c r="K1094" t="n">
        <v>0.42</v>
      </c>
      <c r="L1094" t="n">
        <v>12</v>
      </c>
      <c r="M1094" t="b">
        <v>0</v>
      </c>
      <c r="N1094" t="n">
        <v>0</v>
      </c>
      <c r="O1094" t="b">
        <v>1</v>
      </c>
      <c r="P1094" t="b">
        <v>0</v>
      </c>
      <c r="Q1094" t="b">
        <v>0</v>
      </c>
    </row>
    <row r="1095">
      <c r="A1095" t="inlineStr">
        <is>
          <t>REQ01094</t>
        </is>
      </c>
      <c r="B1095" t="inlineStr">
        <is>
          <t>9695005BP98O7ZJ0CJ90</t>
        </is>
      </c>
      <c r="C1095" t="inlineStr">
        <is>
          <t>document_refresh</t>
        </is>
      </c>
      <c r="D1095" s="2" t="n">
        <v>46314.39097222222</v>
      </c>
      <c r="E1095" s="2" t="n">
        <v>46315.51597222222</v>
      </c>
      <c r="F1095" t="inlineStr">
        <is>
          <t>M5</t>
        </is>
      </c>
      <c r="G1095" t="inlineStr">
        <is>
          <t>C2</t>
        </is>
      </c>
      <c r="H1095" s="2" t="n">
        <v>46314.40416666667</v>
      </c>
      <c r="I1095" s="2" t="n">
        <v>46314.50486111111</v>
      </c>
      <c r="J1095" t="inlineStr">
        <is>
          <t>Completed</t>
        </is>
      </c>
      <c r="K1095" t="n">
        <v>2.74</v>
      </c>
      <c r="L1095" t="n">
        <v>12</v>
      </c>
      <c r="M1095" t="b">
        <v>0</v>
      </c>
      <c r="N1095" t="n">
        <v>0</v>
      </c>
      <c r="O1095" t="b">
        <v>1</v>
      </c>
      <c r="P1095" t="b">
        <v>0</v>
      </c>
      <c r="Q1095" t="b">
        <v>1</v>
      </c>
    </row>
    <row r="1096">
      <c r="A1096" t="inlineStr">
        <is>
          <t>REQ01095</t>
        </is>
      </c>
      <c r="B1096" t="inlineStr">
        <is>
          <t>549300HH8TDU35FGCU29</t>
        </is>
      </c>
      <c r="C1096" t="inlineStr">
        <is>
          <t>document_refresh</t>
        </is>
      </c>
      <c r="D1096" s="2" t="n">
        <v>46314.39166666667</v>
      </c>
      <c r="E1096" s="2" t="n">
        <v>46315.51666666667</v>
      </c>
      <c r="F1096" t="inlineStr">
        <is>
          <t>M3</t>
        </is>
      </c>
      <c r="G1096" t="inlineStr">
        <is>
          <t>C1</t>
        </is>
      </c>
      <c r="H1096" s="2" t="n">
        <v>46314.41944444444</v>
      </c>
      <c r="I1096" s="2" t="n">
        <v>46314.51736111111</v>
      </c>
      <c r="J1096" t="inlineStr">
        <is>
          <t>Completed</t>
        </is>
      </c>
      <c r="K1096" t="n">
        <v>3.02</v>
      </c>
      <c r="L1096" t="n">
        <v>12</v>
      </c>
      <c r="M1096" t="b">
        <v>0</v>
      </c>
      <c r="N1096" t="n">
        <v>0</v>
      </c>
      <c r="O1096" t="b">
        <v>1</v>
      </c>
      <c r="P1096" t="b">
        <v>0</v>
      </c>
      <c r="Q1096" t="b">
        <v>1</v>
      </c>
    </row>
    <row r="1097">
      <c r="A1097" t="inlineStr">
        <is>
          <t>REQ01096</t>
        </is>
      </c>
      <c r="B1097" t="inlineStr">
        <is>
          <t>984500AD6F0C99660D39</t>
        </is>
      </c>
      <c r="C1097" t="inlineStr">
        <is>
          <t>data_amendment</t>
        </is>
      </c>
      <c r="D1097" s="2" t="n">
        <v>46314.39513888889</v>
      </c>
      <c r="E1097" s="2" t="n">
        <v>46314.72847222222</v>
      </c>
      <c r="F1097" t="inlineStr">
        <is>
          <t>M5</t>
        </is>
      </c>
      <c r="G1097" t="inlineStr">
        <is>
          <t>C1</t>
        </is>
      </c>
      <c r="H1097" s="2" t="n">
        <v>46314.41597222222</v>
      </c>
      <c r="I1097" s="2" t="n">
        <v>46314.42013888889</v>
      </c>
      <c r="J1097" t="inlineStr">
        <is>
          <t>Completed</t>
        </is>
      </c>
      <c r="K1097" t="n">
        <v>0.59</v>
      </c>
      <c r="L1097" t="n">
        <v>8</v>
      </c>
      <c r="M1097" t="b">
        <v>0</v>
      </c>
      <c r="N1097" t="n">
        <v>0</v>
      </c>
      <c r="O1097" t="b">
        <v>1</v>
      </c>
      <c r="P1097" t="b">
        <v>0</v>
      </c>
      <c r="Q1097" t="b">
        <v>0</v>
      </c>
    </row>
    <row r="1098">
      <c r="A1098" t="inlineStr">
        <is>
          <t>REQ01097</t>
        </is>
      </c>
      <c r="B1098" t="inlineStr">
        <is>
          <t>254900DK1TY89YGG7C96</t>
        </is>
      </c>
      <c r="C1098" t="inlineStr">
        <is>
          <t>new_account</t>
        </is>
      </c>
      <c r="D1098" s="2" t="n">
        <v>46314.4</v>
      </c>
      <c r="E1098" s="2" t="n">
        <v>46315.69166666667</v>
      </c>
      <c r="F1098" t="inlineStr">
        <is>
          <t>M2</t>
        </is>
      </c>
      <c r="G1098" t="inlineStr">
        <is>
          <t>C1</t>
        </is>
      </c>
      <c r="H1098" s="2" t="n">
        <v>46314.44027777778</v>
      </c>
      <c r="I1098" s="2" t="n">
        <v>46314.46458333333</v>
      </c>
      <c r="J1098" t="inlineStr">
        <is>
          <t>Completed</t>
        </is>
      </c>
      <c r="K1098" t="n">
        <v>1.55</v>
      </c>
      <c r="L1098" t="n">
        <v>16</v>
      </c>
      <c r="M1098" t="b">
        <v>0</v>
      </c>
      <c r="N1098" t="n">
        <v>0</v>
      </c>
      <c r="O1098" t="b">
        <v>1</v>
      </c>
      <c r="P1098" t="b">
        <v>0</v>
      </c>
      <c r="Q1098" t="b">
        <v>0</v>
      </c>
    </row>
    <row r="1099">
      <c r="A1099" t="inlineStr">
        <is>
          <t>REQ01098</t>
        </is>
      </c>
      <c r="B1099" t="inlineStr">
        <is>
          <t>254900TQUHZ3V71H2528</t>
        </is>
      </c>
      <c r="C1099" t="inlineStr">
        <is>
          <t>new_account</t>
        </is>
      </c>
      <c r="D1099" s="2" t="n">
        <v>46314.4</v>
      </c>
      <c r="E1099" s="2" t="n">
        <v>46315.69166666667</v>
      </c>
      <c r="F1099" t="inlineStr">
        <is>
          <t>M4</t>
        </is>
      </c>
      <c r="G1099" t="inlineStr">
        <is>
          <t>C3</t>
        </is>
      </c>
      <c r="H1099" s="2" t="n">
        <v>46314.43611111111</v>
      </c>
      <c r="I1099" s="2" t="n">
        <v>46314.45208333333</v>
      </c>
      <c r="J1099" t="inlineStr">
        <is>
          <t>Completed</t>
        </is>
      </c>
      <c r="K1099" t="n">
        <v>1.24</v>
      </c>
      <c r="L1099" t="n">
        <v>16</v>
      </c>
      <c r="M1099" t="b">
        <v>0</v>
      </c>
      <c r="N1099" t="n">
        <v>0</v>
      </c>
      <c r="O1099" t="b">
        <v>1</v>
      </c>
      <c r="P1099" t="b">
        <v>0</v>
      </c>
      <c r="Q1099" t="b">
        <v>0</v>
      </c>
    </row>
    <row r="1100">
      <c r="A1100" t="inlineStr">
        <is>
          <t>REQ01099</t>
        </is>
      </c>
      <c r="B1100" t="inlineStr">
        <is>
          <t>254900S2G1V55FTA4590</t>
        </is>
      </c>
      <c r="C1100" t="inlineStr">
        <is>
          <t>new_account</t>
        </is>
      </c>
      <c r="D1100" s="2" t="n">
        <v>46314.40138888889</v>
      </c>
      <c r="E1100" s="2" t="n">
        <v>46315.69305555556</v>
      </c>
      <c r="F1100" t="inlineStr">
        <is>
          <t>M6</t>
        </is>
      </c>
      <c r="G1100" t="inlineStr">
        <is>
          <t>C1</t>
        </is>
      </c>
      <c r="H1100" s="2" t="n">
        <v>46314.43541666667</v>
      </c>
      <c r="I1100" s="2" t="n">
        <v>46314.44583333333</v>
      </c>
      <c r="J1100" t="inlineStr">
        <is>
          <t>Completed</t>
        </is>
      </c>
      <c r="K1100" t="n">
        <v>1.06</v>
      </c>
      <c r="L1100" t="n">
        <v>16</v>
      </c>
      <c r="M1100" t="b">
        <v>0</v>
      </c>
      <c r="N1100" t="n">
        <v>0</v>
      </c>
      <c r="O1100" t="b">
        <v>1</v>
      </c>
      <c r="P1100" t="b">
        <v>0</v>
      </c>
      <c r="Q1100" t="b">
        <v>0</v>
      </c>
    </row>
    <row r="1101">
      <c r="A1101" t="inlineStr">
        <is>
          <t>REQ01100</t>
        </is>
      </c>
      <c r="B1101" t="inlineStr">
        <is>
          <t>549300G0CP008XAEWK85</t>
        </is>
      </c>
      <c r="C1101" t="inlineStr">
        <is>
          <t>document_refresh</t>
        </is>
      </c>
      <c r="D1101" s="2" t="n">
        <v>46314.40208333333</v>
      </c>
      <c r="E1101" s="2" t="n">
        <v>46315.52708333333</v>
      </c>
      <c r="F1101" t="inlineStr">
        <is>
          <t>M1</t>
        </is>
      </c>
      <c r="G1101" t="inlineStr">
        <is>
          <t>C3</t>
        </is>
      </c>
      <c r="H1101" s="2" t="n">
        <v>46314.43194444444</v>
      </c>
      <c r="I1101" s="2" t="n">
        <v>46314.63819444444</v>
      </c>
      <c r="J1101" t="inlineStr">
        <is>
          <t>Completed</t>
        </is>
      </c>
      <c r="K1101" t="n">
        <v>5.67</v>
      </c>
      <c r="L1101" t="n">
        <v>12</v>
      </c>
      <c r="M1101" t="b">
        <v>0</v>
      </c>
      <c r="N1101" t="n">
        <v>0</v>
      </c>
      <c r="O1101" t="b">
        <v>1</v>
      </c>
      <c r="P1101" t="b">
        <v>0</v>
      </c>
      <c r="Q1101" t="b">
        <v>1</v>
      </c>
    </row>
    <row r="1102">
      <c r="A1102" t="inlineStr">
        <is>
          <t>REQ01101</t>
        </is>
      </c>
      <c r="B1102" t="inlineStr">
        <is>
          <t>549300N16WZ1VAEWE391</t>
        </is>
      </c>
      <c r="C1102" t="inlineStr">
        <is>
          <t>signatory_change</t>
        </is>
      </c>
      <c r="D1102" s="2" t="n">
        <v>46314.40416666667</v>
      </c>
      <c r="E1102" s="2" t="n">
        <v>46314.7375</v>
      </c>
      <c r="F1102" t="inlineStr">
        <is>
          <t>M5</t>
        </is>
      </c>
      <c r="G1102" t="inlineStr">
        <is>
          <t>C1</t>
        </is>
      </c>
      <c r="H1102" s="2" t="n">
        <v>46314.44027777778</v>
      </c>
      <c r="I1102" s="2" t="n">
        <v>46314.45069444444</v>
      </c>
      <c r="J1102" t="inlineStr">
        <is>
          <t>Completed</t>
        </is>
      </c>
      <c r="K1102" t="n">
        <v>1.12</v>
      </c>
      <c r="L1102" t="n">
        <v>8</v>
      </c>
      <c r="M1102" t="b">
        <v>0</v>
      </c>
      <c r="N1102" t="n">
        <v>0</v>
      </c>
      <c r="O1102" t="b">
        <v>1</v>
      </c>
      <c r="P1102" t="b">
        <v>0</v>
      </c>
      <c r="Q1102" t="b">
        <v>0</v>
      </c>
    </row>
    <row r="1103">
      <c r="A1103" t="inlineStr">
        <is>
          <t>REQ01102</t>
        </is>
      </c>
      <c r="B1103" t="inlineStr">
        <is>
          <t>724500I35F3VPNXUS880</t>
        </is>
      </c>
      <c r="C1103" t="inlineStr">
        <is>
          <t>signatory_change</t>
        </is>
      </c>
      <c r="D1103" s="2" t="n">
        <v>46314.40555555555</v>
      </c>
      <c r="E1103" s="2" t="n">
        <v>46314.73888888889</v>
      </c>
      <c r="F1103" t="inlineStr">
        <is>
          <t>M3</t>
        </is>
      </c>
      <c r="G1103" t="inlineStr">
        <is>
          <t>C2</t>
        </is>
      </c>
      <c r="H1103" s="2" t="n">
        <v>46314.43541666667</v>
      </c>
      <c r="I1103" s="2" t="n">
        <v>46314.67569444444</v>
      </c>
      <c r="J1103" t="inlineStr">
        <is>
          <t>Completed</t>
        </is>
      </c>
      <c r="K1103" t="n">
        <v>6.48</v>
      </c>
      <c r="L1103" t="n">
        <v>8</v>
      </c>
      <c r="M1103" t="b">
        <v>0</v>
      </c>
      <c r="N1103" t="n">
        <v>0</v>
      </c>
      <c r="O1103" t="b">
        <v>1</v>
      </c>
      <c r="P1103" t="b">
        <v>0</v>
      </c>
      <c r="Q1103" t="b">
        <v>1</v>
      </c>
    </row>
    <row r="1104">
      <c r="A1104" t="inlineStr">
        <is>
          <t>REQ01103</t>
        </is>
      </c>
      <c r="B1104" t="inlineStr">
        <is>
          <t>213800JG3P1UWL1CUS60</t>
        </is>
      </c>
      <c r="C1104" t="inlineStr">
        <is>
          <t>document_refresh</t>
        </is>
      </c>
      <c r="D1104" s="2" t="n">
        <v>46314.40763888889</v>
      </c>
      <c r="E1104" s="2" t="n">
        <v>46315.53263888889</v>
      </c>
      <c r="F1104" t="inlineStr">
        <is>
          <t>M1</t>
        </is>
      </c>
      <c r="G1104" t="inlineStr">
        <is>
          <t>C3</t>
        </is>
      </c>
      <c r="H1104" s="2" t="n">
        <v>46314.44930555556</v>
      </c>
      <c r="I1104" s="2" t="n">
        <v>46314.46597222222</v>
      </c>
      <c r="J1104" t="inlineStr">
        <is>
          <t>Completed</t>
        </is>
      </c>
      <c r="K1104" t="n">
        <v>1.4</v>
      </c>
      <c r="L1104" t="n">
        <v>12</v>
      </c>
      <c r="M1104" t="b">
        <v>0</v>
      </c>
      <c r="N1104" t="n">
        <v>0</v>
      </c>
      <c r="O1104" t="b">
        <v>1</v>
      </c>
      <c r="P1104" t="b">
        <v>0</v>
      </c>
      <c r="Q1104" t="b">
        <v>0</v>
      </c>
    </row>
    <row r="1105">
      <c r="A1105" t="inlineStr">
        <is>
          <t>REQ01104</t>
        </is>
      </c>
      <c r="B1105" t="inlineStr">
        <is>
          <t>724500HOBQNH2PNAIS83</t>
        </is>
      </c>
      <c r="C1105" t="inlineStr">
        <is>
          <t>data_amendment</t>
        </is>
      </c>
      <c r="D1105" s="2" t="n">
        <v>46314.41388888889</v>
      </c>
      <c r="E1105" s="2" t="n">
        <v>46314.74722222222</v>
      </c>
      <c r="F1105" t="inlineStr">
        <is>
          <t>M3</t>
        </is>
      </c>
      <c r="G1105" t="inlineStr">
        <is>
          <t>C2</t>
        </is>
      </c>
      <c r="H1105" s="2" t="n">
        <v>46314.44861111111</v>
      </c>
      <c r="I1105" s="2" t="n">
        <v>46314.4625</v>
      </c>
      <c r="J1105" t="inlineStr">
        <is>
          <t>Completed</t>
        </is>
      </c>
      <c r="K1105" t="n">
        <v>1.17</v>
      </c>
      <c r="L1105" t="n">
        <v>8</v>
      </c>
      <c r="M1105" t="b">
        <v>0</v>
      </c>
      <c r="N1105" t="n">
        <v>0</v>
      </c>
      <c r="O1105" t="b">
        <v>1</v>
      </c>
      <c r="P1105" t="b">
        <v>0</v>
      </c>
      <c r="Q1105" t="b">
        <v>0</v>
      </c>
    </row>
    <row r="1106">
      <c r="A1106" t="inlineStr">
        <is>
          <t>REQ01105</t>
        </is>
      </c>
      <c r="B1106" t="inlineStr">
        <is>
          <t>6488TM7961XU21N2WW45</t>
        </is>
      </c>
      <c r="C1106" t="inlineStr">
        <is>
          <t>document_refresh</t>
        </is>
      </c>
      <c r="D1106" s="2" t="n">
        <v>46314.42708333334</v>
      </c>
      <c r="E1106" s="2" t="n">
        <v>46315.55208333334</v>
      </c>
      <c r="F1106" t="inlineStr">
        <is>
          <t>M6</t>
        </is>
      </c>
      <c r="G1106" t="inlineStr">
        <is>
          <t>C2</t>
        </is>
      </c>
      <c r="H1106" s="2" t="n">
        <v>46314.45208333333</v>
      </c>
      <c r="I1106" s="2" t="n">
        <v>46314.46736111111</v>
      </c>
      <c r="J1106" t="inlineStr">
        <is>
          <t>Completed</t>
        </is>
      </c>
      <c r="K1106" t="n">
        <v>0.97</v>
      </c>
      <c r="L1106" t="n">
        <v>12</v>
      </c>
      <c r="M1106" t="b">
        <v>0</v>
      </c>
      <c r="N1106" t="n">
        <v>0</v>
      </c>
      <c r="O1106" t="b">
        <v>1</v>
      </c>
      <c r="P1106" t="b">
        <v>0</v>
      </c>
      <c r="Q1106" t="b">
        <v>0</v>
      </c>
    </row>
    <row r="1107">
      <c r="A1107" t="inlineStr">
        <is>
          <t>REQ01106</t>
        </is>
      </c>
      <c r="B1107" t="inlineStr">
        <is>
          <t>213800ZH6DZIBP9PZR84</t>
        </is>
      </c>
      <c r="C1107" t="inlineStr">
        <is>
          <t>signatory_change</t>
        </is>
      </c>
      <c r="D1107" s="2" t="n">
        <v>46314.43055555555</v>
      </c>
      <c r="E1107" s="2" t="n">
        <v>46315.38888888889</v>
      </c>
      <c r="F1107" t="inlineStr">
        <is>
          <t>M4</t>
        </is>
      </c>
      <c r="G1107" t="inlineStr">
        <is>
          <t>C3</t>
        </is>
      </c>
      <c r="H1107" s="2" t="n">
        <v>46314.45625</v>
      </c>
      <c r="I1107" s="2" t="n">
        <v>46314.47152777778</v>
      </c>
      <c r="J1107" t="inlineStr">
        <is>
          <t>Completed</t>
        </is>
      </c>
      <c r="K1107" t="n">
        <v>0.99</v>
      </c>
      <c r="L1107" t="n">
        <v>8</v>
      </c>
      <c r="M1107" t="b">
        <v>0</v>
      </c>
      <c r="N1107" t="n">
        <v>0</v>
      </c>
      <c r="O1107" t="b">
        <v>1</v>
      </c>
      <c r="P1107" t="b">
        <v>0</v>
      </c>
      <c r="Q1107" t="b">
        <v>0</v>
      </c>
    </row>
    <row r="1108">
      <c r="A1108" t="inlineStr">
        <is>
          <t>REQ01107</t>
        </is>
      </c>
      <c r="B1108" t="inlineStr">
        <is>
          <t>894500EQ4R82VNLABU12</t>
        </is>
      </c>
      <c r="C1108" t="inlineStr">
        <is>
          <t>document_refresh</t>
        </is>
      </c>
      <c r="D1108" s="2" t="n">
        <v>46314.43194444444</v>
      </c>
      <c r="E1108" s="2" t="n">
        <v>46315.55694444444</v>
      </c>
      <c r="F1108" t="inlineStr">
        <is>
          <t>M5</t>
        </is>
      </c>
      <c r="G1108" t="inlineStr">
        <is>
          <t>C1</t>
        </is>
      </c>
      <c r="H1108" s="2" t="n">
        <v>46314.45416666667</v>
      </c>
      <c r="I1108" s="2" t="n">
        <v>46314.46875</v>
      </c>
      <c r="J1108" t="inlineStr">
        <is>
          <t>Completed</t>
        </is>
      </c>
      <c r="K1108" t="n">
        <v>0.88</v>
      </c>
      <c r="L1108" t="n">
        <v>12</v>
      </c>
      <c r="M1108" t="b">
        <v>0</v>
      </c>
      <c r="N1108" t="n">
        <v>0</v>
      </c>
      <c r="O1108" t="b">
        <v>1</v>
      </c>
      <c r="P1108" t="b">
        <v>0</v>
      </c>
      <c r="Q1108" t="b">
        <v>0</v>
      </c>
    </row>
    <row r="1109">
      <c r="A1109" t="inlineStr">
        <is>
          <t>REQ01108</t>
        </is>
      </c>
      <c r="B1109" t="inlineStr">
        <is>
          <t>222100T975WVXB8ZLF90</t>
        </is>
      </c>
      <c r="C1109" t="inlineStr">
        <is>
          <t>signatory_change</t>
        </is>
      </c>
      <c r="D1109" s="2" t="n">
        <v>46314.4375</v>
      </c>
      <c r="E1109" s="2" t="n">
        <v>46315.39583333334</v>
      </c>
      <c r="F1109" t="inlineStr">
        <is>
          <t>M2</t>
        </is>
      </c>
      <c r="G1109" t="inlineStr">
        <is>
          <t>C3</t>
        </is>
      </c>
      <c r="H1109" s="2" t="n">
        <v>46314.45763888889</v>
      </c>
      <c r="I1109" s="2" t="n">
        <v>46314.55694444444</v>
      </c>
      <c r="J1109" t="inlineStr">
        <is>
          <t>Completed</t>
        </is>
      </c>
      <c r="K1109" t="n">
        <v>2.87</v>
      </c>
      <c r="L1109" t="n">
        <v>8</v>
      </c>
      <c r="M1109" t="b">
        <v>0</v>
      </c>
      <c r="N1109" t="n">
        <v>0</v>
      </c>
      <c r="O1109" t="b">
        <v>1</v>
      </c>
      <c r="P1109" t="b">
        <v>0</v>
      </c>
      <c r="Q1109" t="b">
        <v>1</v>
      </c>
    </row>
    <row r="1110">
      <c r="A1110" t="inlineStr">
        <is>
          <t>REQ01109</t>
        </is>
      </c>
      <c r="B1110" t="inlineStr">
        <is>
          <t>529900QROGUQMJG7YM32</t>
        </is>
      </c>
      <c r="C1110" t="inlineStr">
        <is>
          <t>new_account</t>
        </is>
      </c>
      <c r="D1110" s="2" t="n">
        <v>46314.44027777778</v>
      </c>
      <c r="E1110" s="2" t="n">
        <v>46315.73194444444</v>
      </c>
      <c r="F1110" t="inlineStr">
        <is>
          <t>M3</t>
        </is>
      </c>
      <c r="G1110" t="inlineStr">
        <is>
          <t>C2</t>
        </is>
      </c>
      <c r="H1110" s="2" t="n">
        <v>46314.47152777778</v>
      </c>
      <c r="I1110" s="2" t="n">
        <v>46314.6375</v>
      </c>
      <c r="J1110" t="inlineStr">
        <is>
          <t>Completed</t>
        </is>
      </c>
      <c r="K1110" t="n">
        <v>4.73</v>
      </c>
      <c r="L1110" t="n">
        <v>16</v>
      </c>
      <c r="M1110" t="b">
        <v>0</v>
      </c>
      <c r="N1110" t="n">
        <v>0</v>
      </c>
      <c r="O1110" t="b">
        <v>1</v>
      </c>
      <c r="P1110" t="b">
        <v>0</v>
      </c>
      <c r="Q1110" t="b">
        <v>1</v>
      </c>
    </row>
    <row r="1111">
      <c r="A1111" t="inlineStr">
        <is>
          <t>REQ01110</t>
        </is>
      </c>
      <c r="B1111" t="inlineStr">
        <is>
          <t>984500BKB4C9AA79E352</t>
        </is>
      </c>
      <c r="C1111" t="inlineStr">
        <is>
          <t>data_amendment</t>
        </is>
      </c>
      <c r="D1111" s="2" t="n">
        <v>46314.44027777778</v>
      </c>
      <c r="E1111" s="2" t="n">
        <v>46315.39861111111</v>
      </c>
      <c r="F1111" t="inlineStr">
        <is>
          <t>M1</t>
        </is>
      </c>
      <c r="G1111" t="inlineStr">
        <is>
          <t>C3</t>
        </is>
      </c>
      <c r="H1111" s="2" t="n">
        <v>46314.45902777778</v>
      </c>
      <c r="I1111" s="2" t="n">
        <v>46314.58541666667</v>
      </c>
      <c r="J1111" t="inlineStr">
        <is>
          <t>Completed</t>
        </is>
      </c>
      <c r="K1111" t="n">
        <v>3.49</v>
      </c>
      <c r="L1111" t="n">
        <v>8</v>
      </c>
      <c r="M1111" t="b">
        <v>0</v>
      </c>
      <c r="N1111" t="n">
        <v>0</v>
      </c>
      <c r="O1111" t="b">
        <v>1</v>
      </c>
      <c r="P1111" t="b">
        <v>0</v>
      </c>
      <c r="Q1111" t="b">
        <v>1</v>
      </c>
    </row>
    <row r="1112">
      <c r="A1112" t="inlineStr">
        <is>
          <t>REQ01111</t>
        </is>
      </c>
      <c r="B1112" t="inlineStr">
        <is>
          <t>213800C75ZK3CC6C8B33</t>
        </is>
      </c>
      <c r="C1112" t="inlineStr">
        <is>
          <t>new_account</t>
        </is>
      </c>
      <c r="D1112" s="2" t="n">
        <v>46314.44166666667</v>
      </c>
      <c r="E1112" s="2" t="n">
        <v>46315.73333333333</v>
      </c>
      <c r="F1112" t="inlineStr">
        <is>
          <t>M6</t>
        </is>
      </c>
      <c r="G1112" t="inlineStr">
        <is>
          <t>C1</t>
        </is>
      </c>
      <c r="H1112" s="2" t="n">
        <v>46314.47638888889</v>
      </c>
      <c r="I1112" s="2" t="n">
        <v>46314.58194444444</v>
      </c>
      <c r="J1112" t="inlineStr">
        <is>
          <t>Completed</t>
        </is>
      </c>
      <c r="K1112" t="n">
        <v>3.37</v>
      </c>
      <c r="L1112" t="n">
        <v>16</v>
      </c>
      <c r="M1112" t="b">
        <v>0</v>
      </c>
      <c r="N1112" t="n">
        <v>0</v>
      </c>
      <c r="O1112" t="b">
        <v>1</v>
      </c>
      <c r="P1112" t="b">
        <v>0</v>
      </c>
      <c r="Q1112" t="b">
        <v>1</v>
      </c>
    </row>
    <row r="1113">
      <c r="A1113" t="inlineStr">
        <is>
          <t>REQ01112</t>
        </is>
      </c>
      <c r="B1113" t="inlineStr">
        <is>
          <t>96950009POI7VIPOI541</t>
        </is>
      </c>
      <c r="C1113" t="inlineStr">
        <is>
          <t>document_refresh</t>
        </is>
      </c>
      <c r="D1113" s="2" t="n">
        <v>46314.44305555556</v>
      </c>
      <c r="E1113" s="2" t="n">
        <v>46315.56805555556</v>
      </c>
      <c r="F1113" t="inlineStr">
        <is>
          <t>M5</t>
        </is>
      </c>
      <c r="G1113" t="inlineStr">
        <is>
          <t>C3</t>
        </is>
      </c>
      <c r="H1113" s="2" t="n">
        <v>46314.47152777778</v>
      </c>
      <c r="I1113" s="2" t="n">
        <v>46314.70694444444</v>
      </c>
      <c r="J1113" t="inlineStr">
        <is>
          <t>Completed</t>
        </is>
      </c>
      <c r="K1113" t="n">
        <v>6.33</v>
      </c>
      <c r="L1113" t="n">
        <v>12</v>
      </c>
      <c r="M1113" t="b">
        <v>0</v>
      </c>
      <c r="N1113" t="n">
        <v>0</v>
      </c>
      <c r="O1113" t="b">
        <v>1</v>
      </c>
      <c r="P1113" t="b">
        <v>0</v>
      </c>
      <c r="Q1113" t="b">
        <v>1</v>
      </c>
    </row>
    <row r="1114">
      <c r="A1114" t="inlineStr">
        <is>
          <t>REQ01113</t>
        </is>
      </c>
      <c r="B1114" t="inlineStr">
        <is>
          <t>98450085EA5C5B687C30</t>
        </is>
      </c>
      <c r="C1114" t="inlineStr">
        <is>
          <t>signatory_change</t>
        </is>
      </c>
      <c r="D1114" s="2" t="n">
        <v>46314.44444444445</v>
      </c>
      <c r="E1114" s="2" t="n">
        <v>46315.40277777778</v>
      </c>
      <c r="F1114" t="inlineStr">
        <is>
          <t>M4</t>
        </is>
      </c>
      <c r="G1114" t="inlineStr">
        <is>
          <t>C3</t>
        </is>
      </c>
      <c r="H1114" s="2" t="n">
        <v>46314.47291666667</v>
      </c>
      <c r="I1114" s="2" t="n">
        <v>46314.48055555556</v>
      </c>
      <c r="J1114" t="inlineStr">
        <is>
          <t>Completed</t>
        </is>
      </c>
      <c r="K1114" t="n">
        <v>0.87</v>
      </c>
      <c r="L1114" t="n">
        <v>8</v>
      </c>
      <c r="M1114" t="b">
        <v>0</v>
      </c>
      <c r="N1114" t="n">
        <v>0</v>
      </c>
      <c r="O1114" t="b">
        <v>1</v>
      </c>
      <c r="P1114" t="b">
        <v>0</v>
      </c>
      <c r="Q1114" t="b">
        <v>0</v>
      </c>
    </row>
    <row r="1115">
      <c r="A1115" t="inlineStr">
        <is>
          <t>REQ01114</t>
        </is>
      </c>
      <c r="B1115" t="inlineStr">
        <is>
          <t>335800C27JF4ENLESB25</t>
        </is>
      </c>
      <c r="C1115" t="inlineStr">
        <is>
          <t>data_amendment</t>
        </is>
      </c>
      <c r="D1115" s="2" t="n">
        <v>46314.44652777778</v>
      </c>
      <c r="E1115" s="2" t="n">
        <v>46315.40486111111</v>
      </c>
      <c r="F1115" t="inlineStr">
        <is>
          <t>M2</t>
        </is>
      </c>
      <c r="G1115" t="inlineStr">
        <is>
          <t>C1</t>
        </is>
      </c>
      <c r="H1115" s="2" t="n">
        <v>46314.46944444445</v>
      </c>
      <c r="I1115" s="2" t="n">
        <v>46314.47430555556</v>
      </c>
      <c r="J1115" t="inlineStr">
        <is>
          <t>Completed</t>
        </is>
      </c>
      <c r="K1115" t="n">
        <v>0.66</v>
      </c>
      <c r="L1115" t="n">
        <v>8</v>
      </c>
      <c r="M1115" t="b">
        <v>0</v>
      </c>
      <c r="N1115" t="n">
        <v>0</v>
      </c>
      <c r="O1115" t="b">
        <v>1</v>
      </c>
      <c r="P1115" t="b">
        <v>0</v>
      </c>
      <c r="Q1115" t="b">
        <v>0</v>
      </c>
    </row>
    <row r="1116">
      <c r="A1116" t="inlineStr">
        <is>
          <t>REQ01115</t>
        </is>
      </c>
      <c r="B1116" t="inlineStr">
        <is>
          <t>335800JTVLVZZDZOZE57</t>
        </is>
      </c>
      <c r="C1116" t="inlineStr">
        <is>
          <t>signatory_change</t>
        </is>
      </c>
      <c r="D1116" s="2" t="n">
        <v>46314.45486111111</v>
      </c>
      <c r="E1116" s="2" t="n">
        <v>46315.41319444445</v>
      </c>
      <c r="F1116" t="inlineStr">
        <is>
          <t>M1</t>
        </is>
      </c>
      <c r="G1116" t="inlineStr">
        <is>
          <t>C1</t>
        </is>
      </c>
      <c r="H1116" s="2" t="n">
        <v>46314.47430555556</v>
      </c>
      <c r="I1116" s="2" t="n">
        <v>46314.48125</v>
      </c>
      <c r="J1116" t="inlineStr">
        <is>
          <t>Completed</t>
        </is>
      </c>
      <c r="K1116" t="n">
        <v>0.63</v>
      </c>
      <c r="L1116" t="n">
        <v>8</v>
      </c>
      <c r="M1116" t="b">
        <v>0</v>
      </c>
      <c r="N1116" t="n">
        <v>0</v>
      </c>
      <c r="O1116" t="b">
        <v>1</v>
      </c>
      <c r="P1116" t="b">
        <v>0</v>
      </c>
      <c r="Q1116" t="b">
        <v>0</v>
      </c>
    </row>
    <row r="1117">
      <c r="A1117" t="inlineStr">
        <is>
          <t>REQ01116</t>
        </is>
      </c>
      <c r="B1117" t="inlineStr">
        <is>
          <t>969500CYMK6S969L2O30</t>
        </is>
      </c>
      <c r="C1117" t="inlineStr">
        <is>
          <t>document_refresh</t>
        </is>
      </c>
      <c r="D1117" s="2" t="n">
        <v>46314.46319444444</v>
      </c>
      <c r="E1117" s="2" t="n">
        <v>46315.58819444444</v>
      </c>
      <c r="F1117" t="inlineStr">
        <is>
          <t>M2</t>
        </is>
      </c>
      <c r="G1117" t="inlineStr">
        <is>
          <t>C2</t>
        </is>
      </c>
      <c r="H1117" s="2" t="n">
        <v>46314.48680555556</v>
      </c>
      <c r="I1117" s="2" t="n">
        <v>46314.73680555556</v>
      </c>
      <c r="J1117" t="inlineStr">
        <is>
          <t>Completed</t>
        </is>
      </c>
      <c r="K1117" t="n">
        <v>6.57</v>
      </c>
      <c r="L1117" t="n">
        <v>12</v>
      </c>
      <c r="M1117" t="b">
        <v>0</v>
      </c>
      <c r="N1117" t="n">
        <v>0</v>
      </c>
      <c r="O1117" t="b">
        <v>1</v>
      </c>
      <c r="P1117" t="b">
        <v>0</v>
      </c>
      <c r="Q1117" t="b">
        <v>1</v>
      </c>
    </row>
    <row r="1118">
      <c r="A1118" t="inlineStr">
        <is>
          <t>REQ01117</t>
        </is>
      </c>
      <c r="B1118" t="inlineStr">
        <is>
          <t>3358004CQUJP56Z2EN45</t>
        </is>
      </c>
      <c r="C1118" t="inlineStr">
        <is>
          <t>document_refresh</t>
        </is>
      </c>
      <c r="D1118" s="2" t="n">
        <v>46314.47152777778</v>
      </c>
      <c r="E1118" s="2" t="n">
        <v>46315.59652777778</v>
      </c>
      <c r="F1118" t="inlineStr">
        <is>
          <t>M5</t>
        </is>
      </c>
      <c r="G1118" t="inlineStr">
        <is>
          <t>C2</t>
        </is>
      </c>
      <c r="H1118" s="2" t="n">
        <v>46314.48888888889</v>
      </c>
      <c r="I1118" s="2" t="n">
        <v>46314.66805555556</v>
      </c>
      <c r="J1118" t="inlineStr">
        <is>
          <t>Completed</t>
        </is>
      </c>
      <c r="K1118" t="n">
        <v>4.72</v>
      </c>
      <c r="L1118" t="n">
        <v>12</v>
      </c>
      <c r="M1118" t="b">
        <v>0</v>
      </c>
      <c r="N1118" t="n">
        <v>0</v>
      </c>
      <c r="O1118" t="b">
        <v>1</v>
      </c>
      <c r="P1118" t="b">
        <v>0</v>
      </c>
      <c r="Q1118" t="b">
        <v>1</v>
      </c>
    </row>
    <row r="1119">
      <c r="A1119" t="inlineStr">
        <is>
          <t>REQ01118</t>
        </is>
      </c>
      <c r="B1119" t="inlineStr">
        <is>
          <t>391200JWK3RRW6KLCM54</t>
        </is>
      </c>
      <c r="C1119" t="inlineStr">
        <is>
          <t>signatory_change</t>
        </is>
      </c>
      <c r="D1119" s="2" t="n">
        <v>46314.48194444444</v>
      </c>
      <c r="E1119" s="2" t="n">
        <v>46315.44027777778</v>
      </c>
      <c r="F1119" t="inlineStr">
        <is>
          <t>M3</t>
        </is>
      </c>
      <c r="G1119" t="inlineStr">
        <is>
          <t>C2</t>
        </is>
      </c>
      <c r="H1119" s="2" t="n">
        <v>46314.50763888889</v>
      </c>
      <c r="I1119" s="2" t="n">
        <v>46314.5125</v>
      </c>
      <c r="J1119" t="inlineStr">
        <is>
          <t>Completed</t>
        </is>
      </c>
      <c r="K1119" t="n">
        <v>0.74</v>
      </c>
      <c r="L1119" t="n">
        <v>8</v>
      </c>
      <c r="M1119" t="b">
        <v>0</v>
      </c>
      <c r="N1119" t="n">
        <v>0</v>
      </c>
      <c r="O1119" t="b">
        <v>1</v>
      </c>
      <c r="P1119" t="b">
        <v>0</v>
      </c>
      <c r="Q1119" t="b">
        <v>0</v>
      </c>
    </row>
    <row r="1120">
      <c r="A1120" t="inlineStr">
        <is>
          <t>REQ01119</t>
        </is>
      </c>
      <c r="B1120" t="inlineStr">
        <is>
          <t>724500K5ANP3XK5MJ844</t>
        </is>
      </c>
      <c r="C1120" t="inlineStr">
        <is>
          <t>signatory_change</t>
        </is>
      </c>
      <c r="D1120" s="2" t="n">
        <v>46314.48680555556</v>
      </c>
      <c r="E1120" s="2" t="n">
        <v>46315.44513888889</v>
      </c>
      <c r="F1120" t="inlineStr">
        <is>
          <t>M4</t>
        </is>
      </c>
      <c r="G1120" t="inlineStr">
        <is>
          <t>C2</t>
        </is>
      </c>
      <c r="H1120" s="2" t="n">
        <v>46314.51319444444</v>
      </c>
      <c r="I1120" s="2" t="n">
        <v>46314.51875</v>
      </c>
      <c r="J1120" t="inlineStr">
        <is>
          <t>Completed</t>
        </is>
      </c>
      <c r="K1120" t="n">
        <v>0.76</v>
      </c>
      <c r="L1120" t="n">
        <v>8</v>
      </c>
      <c r="M1120" t="b">
        <v>0</v>
      </c>
      <c r="N1120" t="n">
        <v>0</v>
      </c>
      <c r="O1120" t="b">
        <v>1</v>
      </c>
      <c r="P1120" t="b">
        <v>0</v>
      </c>
      <c r="Q1120" t="b">
        <v>0</v>
      </c>
    </row>
    <row r="1121">
      <c r="A1121" t="inlineStr">
        <is>
          <t>REQ01120</t>
        </is>
      </c>
      <c r="B1121" t="inlineStr">
        <is>
          <t>391200QL0DJ7A6HHID89</t>
        </is>
      </c>
      <c r="C1121" t="inlineStr">
        <is>
          <t>document_refresh</t>
        </is>
      </c>
      <c r="D1121" s="2" t="n">
        <v>46314.48958333334</v>
      </c>
      <c r="E1121" s="2" t="n">
        <v>46315.61458333334</v>
      </c>
      <c r="F1121" t="inlineStr">
        <is>
          <t>M1</t>
        </is>
      </c>
      <c r="G1121" t="inlineStr">
        <is>
          <t>C1</t>
        </is>
      </c>
      <c r="H1121" s="2" t="n">
        <v>46314.50625</v>
      </c>
      <c r="I1121" s="2" t="n">
        <v>46314.51180555556</v>
      </c>
      <c r="J1121" t="inlineStr">
        <is>
          <t>Completed</t>
        </is>
      </c>
      <c r="K1121" t="n">
        <v>0.54</v>
      </c>
      <c r="L1121" t="n">
        <v>12</v>
      </c>
      <c r="M1121" t="b">
        <v>0</v>
      </c>
      <c r="N1121" t="n">
        <v>0</v>
      </c>
      <c r="O1121" t="b">
        <v>1</v>
      </c>
      <c r="P1121" t="b">
        <v>0</v>
      </c>
      <c r="Q1121" t="b">
        <v>0</v>
      </c>
    </row>
    <row r="1122">
      <c r="A1122" t="inlineStr">
        <is>
          <t>REQ01121</t>
        </is>
      </c>
      <c r="B1122" t="inlineStr">
        <is>
          <t>2549006BQCZBAEXOJO31</t>
        </is>
      </c>
      <c r="C1122" t="inlineStr">
        <is>
          <t>document_refresh</t>
        </is>
      </c>
      <c r="D1122" s="2" t="n">
        <v>46314.50069444445</v>
      </c>
      <c r="E1122" s="2" t="n">
        <v>46315.62569444445</v>
      </c>
      <c r="F1122" t="inlineStr">
        <is>
          <t>M6</t>
        </is>
      </c>
      <c r="G1122" t="inlineStr">
        <is>
          <t>C1</t>
        </is>
      </c>
      <c r="H1122" s="2" t="n">
        <v>46314.51736111111</v>
      </c>
      <c r="I1122" s="2" t="n">
        <v>46314.52222222222</v>
      </c>
      <c r="J1122" t="inlineStr">
        <is>
          <t>Completed</t>
        </is>
      </c>
      <c r="K1122" t="n">
        <v>0.52</v>
      </c>
      <c r="L1122" t="n">
        <v>12</v>
      </c>
      <c r="M1122" t="b">
        <v>0</v>
      </c>
      <c r="N1122" t="n">
        <v>0</v>
      </c>
      <c r="O1122" t="b">
        <v>1</v>
      </c>
      <c r="P1122" t="b">
        <v>0</v>
      </c>
      <c r="Q1122" t="b">
        <v>0</v>
      </c>
    </row>
    <row r="1123">
      <c r="A1123" t="inlineStr">
        <is>
          <t>REQ01122</t>
        </is>
      </c>
      <c r="B1123" t="inlineStr">
        <is>
          <t>335800YUTPB4LCLIWR44</t>
        </is>
      </c>
      <c r="C1123" t="inlineStr">
        <is>
          <t>document_refresh</t>
        </is>
      </c>
      <c r="D1123" s="2" t="n">
        <v>46314.50486111111</v>
      </c>
      <c r="E1123" s="2" t="n">
        <v>46315.62986111111</v>
      </c>
      <c r="F1123" t="inlineStr">
        <is>
          <t>M2</t>
        </is>
      </c>
      <c r="G1123" t="inlineStr">
        <is>
          <t>C3</t>
        </is>
      </c>
      <c r="H1123" s="2" t="n">
        <v>46314.52222222222</v>
      </c>
      <c r="I1123" s="2" t="n">
        <v>46314.52708333333</v>
      </c>
      <c r="J1123" t="inlineStr">
        <is>
          <t>Completed</t>
        </is>
      </c>
      <c r="K1123" t="n">
        <v>0.53</v>
      </c>
      <c r="L1123" t="n">
        <v>12</v>
      </c>
      <c r="M1123" t="b">
        <v>0</v>
      </c>
      <c r="N1123" t="n">
        <v>0</v>
      </c>
      <c r="O1123" t="b">
        <v>1</v>
      </c>
      <c r="P1123" t="b">
        <v>0</v>
      </c>
      <c r="Q1123" t="b">
        <v>0</v>
      </c>
    </row>
    <row r="1124">
      <c r="A1124" t="inlineStr">
        <is>
          <t>REQ01123</t>
        </is>
      </c>
      <c r="B1124" t="inlineStr">
        <is>
          <t>969500CWY9HOJP2D2B38</t>
        </is>
      </c>
      <c r="C1124" t="inlineStr">
        <is>
          <t>new_account</t>
        </is>
      </c>
      <c r="D1124" s="2" t="n">
        <v>46314.50555555556</v>
      </c>
      <c r="E1124" s="2" t="n">
        <v>46316.42222222222</v>
      </c>
      <c r="F1124" t="inlineStr">
        <is>
          <t>M5</t>
        </is>
      </c>
      <c r="G1124" t="inlineStr">
        <is>
          <t>C1</t>
        </is>
      </c>
      <c r="H1124" s="2" t="n">
        <v>46314.54166666666</v>
      </c>
      <c r="I1124" s="2" t="n">
        <v>46314.55416666667</v>
      </c>
      <c r="J1124" t="inlineStr">
        <is>
          <t>Completed</t>
        </is>
      </c>
      <c r="K1124" t="n">
        <v>1.17</v>
      </c>
      <c r="L1124" t="n">
        <v>16</v>
      </c>
      <c r="M1124" t="b">
        <v>0</v>
      </c>
      <c r="N1124" t="n">
        <v>0</v>
      </c>
      <c r="O1124" t="b">
        <v>1</v>
      </c>
      <c r="P1124" t="b">
        <v>0</v>
      </c>
      <c r="Q1124" t="b">
        <v>0</v>
      </c>
    </row>
    <row r="1125">
      <c r="A1125" t="inlineStr">
        <is>
          <t>REQ01124</t>
        </is>
      </c>
      <c r="B1125" t="inlineStr">
        <is>
          <t>984500Q2B654653JE163</t>
        </is>
      </c>
      <c r="C1125" t="inlineStr">
        <is>
          <t>document_refresh</t>
        </is>
      </c>
      <c r="D1125" s="2" t="n">
        <v>46314.50833333333</v>
      </c>
      <c r="E1125" s="2" t="n">
        <v>46315.63333333333</v>
      </c>
      <c r="F1125" t="inlineStr">
        <is>
          <t>M1</t>
        </is>
      </c>
      <c r="G1125" t="inlineStr">
        <is>
          <t>C2</t>
        </is>
      </c>
      <c r="H1125" s="2" t="n">
        <v>46314.52083333334</v>
      </c>
      <c r="I1125" s="2" t="n">
        <v>46314.52638888889</v>
      </c>
      <c r="J1125" t="inlineStr">
        <is>
          <t>Completed</t>
        </is>
      </c>
      <c r="K1125" t="n">
        <v>0.44</v>
      </c>
      <c r="L1125" t="n">
        <v>12</v>
      </c>
      <c r="M1125" t="b">
        <v>0</v>
      </c>
      <c r="N1125" t="n">
        <v>0</v>
      </c>
      <c r="O1125" t="b">
        <v>1</v>
      </c>
      <c r="P1125" t="b">
        <v>0</v>
      </c>
      <c r="Q1125" t="b">
        <v>0</v>
      </c>
    </row>
    <row r="1126">
      <c r="A1126" t="inlineStr">
        <is>
          <t>REQ01125</t>
        </is>
      </c>
      <c r="B1126" t="inlineStr">
        <is>
          <t>98450008AG6E5D0U7725</t>
        </is>
      </c>
      <c r="C1126" t="inlineStr">
        <is>
          <t>document_refresh</t>
        </is>
      </c>
      <c r="D1126" s="2" t="n">
        <v>46314.51388888889</v>
      </c>
      <c r="E1126" s="2" t="n">
        <v>46315.63888888889</v>
      </c>
      <c r="F1126" t="inlineStr">
        <is>
          <t>M3</t>
        </is>
      </c>
      <c r="G1126" t="inlineStr">
        <is>
          <t>C2</t>
        </is>
      </c>
      <c r="H1126" s="2" t="n">
        <v>46314.52569444444</v>
      </c>
      <c r="I1126" s="2" t="n">
        <v>46314.68194444444</v>
      </c>
      <c r="J1126" t="inlineStr">
        <is>
          <t>Completed</t>
        </is>
      </c>
      <c r="K1126" t="n">
        <v>4.03</v>
      </c>
      <c r="L1126" t="n">
        <v>12</v>
      </c>
      <c r="M1126" t="b">
        <v>0</v>
      </c>
      <c r="N1126" t="n">
        <v>0</v>
      </c>
      <c r="O1126" t="b">
        <v>1</v>
      </c>
      <c r="P1126" t="b">
        <v>0</v>
      </c>
      <c r="Q1126" t="b">
        <v>1</v>
      </c>
    </row>
    <row r="1127">
      <c r="A1127" t="inlineStr">
        <is>
          <t>REQ01126</t>
        </is>
      </c>
      <c r="B1127" t="inlineStr">
        <is>
          <t>391200HFL495UZH5YK43</t>
        </is>
      </c>
      <c r="C1127" t="inlineStr">
        <is>
          <t>data_amendment</t>
        </is>
      </c>
      <c r="D1127" s="2" t="n">
        <v>46314.51666666667</v>
      </c>
      <c r="E1127" s="2" t="n">
        <v>46315.475</v>
      </c>
      <c r="F1127" t="inlineStr">
        <is>
          <t>M4</t>
        </is>
      </c>
      <c r="G1127" t="inlineStr">
        <is>
          <t>C2</t>
        </is>
      </c>
      <c r="H1127" s="2" t="n">
        <v>46314.52986111111</v>
      </c>
      <c r="I1127" s="2" t="n">
        <v>46314.53263888889</v>
      </c>
      <c r="J1127" t="inlineStr">
        <is>
          <t>Completed</t>
        </is>
      </c>
      <c r="K1127" t="n">
        <v>0.39</v>
      </c>
      <c r="L1127" t="n">
        <v>8</v>
      </c>
      <c r="M1127" t="b">
        <v>0</v>
      </c>
      <c r="N1127" t="n">
        <v>0</v>
      </c>
      <c r="O1127" t="b">
        <v>1</v>
      </c>
      <c r="P1127" t="b">
        <v>0</v>
      </c>
      <c r="Q1127" t="b">
        <v>0</v>
      </c>
    </row>
    <row r="1128">
      <c r="A1128" t="inlineStr">
        <is>
          <t>REQ01127</t>
        </is>
      </c>
      <c r="B1128" t="inlineStr">
        <is>
          <t>724500JCCIOIL3V8SM30</t>
        </is>
      </c>
      <c r="C1128" t="inlineStr">
        <is>
          <t>data_amendment</t>
        </is>
      </c>
      <c r="D1128" s="2" t="n">
        <v>46314.52083333334</v>
      </c>
      <c r="E1128" s="2" t="n">
        <v>46315.47916666666</v>
      </c>
      <c r="F1128" t="inlineStr">
        <is>
          <t>M6</t>
        </is>
      </c>
      <c r="G1128" t="inlineStr">
        <is>
          <t>C3</t>
        </is>
      </c>
      <c r="H1128" s="2" t="n">
        <v>46314.53125</v>
      </c>
      <c r="I1128" s="2" t="n">
        <v>46314.53541666667</v>
      </c>
      <c r="J1128" t="inlineStr">
        <is>
          <t>Completed</t>
        </is>
      </c>
      <c r="K1128" t="n">
        <v>0.35</v>
      </c>
      <c r="L1128" t="n">
        <v>8</v>
      </c>
      <c r="M1128" t="b">
        <v>0</v>
      </c>
      <c r="N1128" t="n">
        <v>0</v>
      </c>
      <c r="O1128" t="b">
        <v>1</v>
      </c>
      <c r="P1128" t="b">
        <v>0</v>
      </c>
      <c r="Q1128" t="b">
        <v>0</v>
      </c>
    </row>
    <row r="1129">
      <c r="A1129" t="inlineStr">
        <is>
          <t>REQ01128</t>
        </is>
      </c>
      <c r="B1129" t="inlineStr">
        <is>
          <t>8755008OFEC0VXP7BF13</t>
        </is>
      </c>
      <c r="C1129" t="inlineStr">
        <is>
          <t>signatory_change</t>
        </is>
      </c>
      <c r="D1129" s="2" t="n">
        <v>46314.53819444445</v>
      </c>
      <c r="E1129" s="2" t="n">
        <v>46315.49652777778</v>
      </c>
      <c r="F1129" t="inlineStr">
        <is>
          <t>M1</t>
        </is>
      </c>
      <c r="G1129" t="inlineStr">
        <is>
          <t>C3</t>
        </is>
      </c>
      <c r="H1129" s="2" t="n">
        <v>46314.55763888889</v>
      </c>
      <c r="I1129" s="2" t="n">
        <v>46314.74861111111</v>
      </c>
      <c r="J1129" t="inlineStr">
        <is>
          <t>Completed</t>
        </is>
      </c>
      <c r="K1129" t="n">
        <v>5.04</v>
      </c>
      <c r="L1129" t="n">
        <v>8</v>
      </c>
      <c r="M1129" t="b">
        <v>0</v>
      </c>
      <c r="N1129" t="n">
        <v>0</v>
      </c>
      <c r="O1129" t="b">
        <v>1</v>
      </c>
      <c r="P1129" t="b">
        <v>0</v>
      </c>
      <c r="Q1129" t="b">
        <v>1</v>
      </c>
    </row>
    <row r="1130">
      <c r="A1130" t="inlineStr">
        <is>
          <t>REQ01129</t>
        </is>
      </c>
      <c r="B1130" t="inlineStr">
        <is>
          <t>549300Z3U3JX0IK8DF04</t>
        </is>
      </c>
      <c r="C1130" t="inlineStr">
        <is>
          <t>signatory_change</t>
        </is>
      </c>
      <c r="D1130" s="2" t="n">
        <v>46314.54791666667</v>
      </c>
      <c r="E1130" s="2" t="n">
        <v>46315.50625</v>
      </c>
      <c r="F1130" t="inlineStr">
        <is>
          <t>M2</t>
        </is>
      </c>
      <c r="G1130" t="inlineStr">
        <is>
          <t>C1</t>
        </is>
      </c>
      <c r="H1130" s="2" t="n">
        <v>46314.56736111111</v>
      </c>
      <c r="I1130" s="2" t="n">
        <v>46314.69652777778</v>
      </c>
      <c r="J1130" t="inlineStr">
        <is>
          <t>Completed</t>
        </is>
      </c>
      <c r="K1130" t="n">
        <v>3.57</v>
      </c>
      <c r="L1130" t="n">
        <v>8</v>
      </c>
      <c r="M1130" t="b">
        <v>0</v>
      </c>
      <c r="N1130" t="n">
        <v>1</v>
      </c>
      <c r="O1130" t="b">
        <v>0</v>
      </c>
      <c r="P1130" t="b">
        <v>1</v>
      </c>
      <c r="Q1130" t="b">
        <v>1</v>
      </c>
    </row>
    <row r="1131">
      <c r="A1131" t="inlineStr">
        <is>
          <t>REQ01130</t>
        </is>
      </c>
      <c r="B1131" t="inlineStr">
        <is>
          <t>724500JB8K8M6OYN0G48</t>
        </is>
      </c>
      <c r="C1131" t="inlineStr">
        <is>
          <t>data_amendment</t>
        </is>
      </c>
      <c r="D1131" s="2" t="n">
        <v>46314.55625</v>
      </c>
      <c r="E1131" s="2" t="n">
        <v>46315.51458333333</v>
      </c>
      <c r="F1131" t="inlineStr">
        <is>
          <t>M3</t>
        </is>
      </c>
      <c r="G1131" t="inlineStr">
        <is>
          <t>C2</t>
        </is>
      </c>
      <c r="H1131" s="2" t="n">
        <v>46314.56527777778</v>
      </c>
      <c r="I1131" s="2" t="n">
        <v>46314.57013888889</v>
      </c>
      <c r="J1131" t="inlineStr">
        <is>
          <t>Completed</t>
        </is>
      </c>
      <c r="K1131" t="n">
        <v>0.33</v>
      </c>
      <c r="L1131" t="n">
        <v>8</v>
      </c>
      <c r="M1131" t="b">
        <v>0</v>
      </c>
      <c r="N1131" t="n">
        <v>0</v>
      </c>
      <c r="O1131" t="b">
        <v>1</v>
      </c>
      <c r="P1131" t="b">
        <v>0</v>
      </c>
      <c r="Q1131" t="b">
        <v>0</v>
      </c>
    </row>
    <row r="1132">
      <c r="A1132" t="inlineStr">
        <is>
          <t>REQ01131</t>
        </is>
      </c>
      <c r="B1132" t="inlineStr">
        <is>
          <t>98450040E0404F957716</t>
        </is>
      </c>
      <c r="C1132" t="inlineStr">
        <is>
          <t>signatory_change</t>
        </is>
      </c>
      <c r="D1132" s="2" t="n">
        <v>46314.56458333333</v>
      </c>
      <c r="E1132" s="2" t="n">
        <v>46315.52291666667</v>
      </c>
      <c r="F1132" t="inlineStr">
        <is>
          <t>M4</t>
        </is>
      </c>
      <c r="G1132" t="inlineStr">
        <is>
          <t>C2</t>
        </is>
      </c>
      <c r="H1132" s="2" t="n">
        <v>46314.58402777778</v>
      </c>
      <c r="I1132" s="2" t="n">
        <v>46314.59236111111</v>
      </c>
      <c r="J1132" t="inlineStr">
        <is>
          <t>Completed</t>
        </is>
      </c>
      <c r="K1132" t="n">
        <v>0.66</v>
      </c>
      <c r="L1132" t="n">
        <v>8</v>
      </c>
      <c r="M1132" t="b">
        <v>0</v>
      </c>
      <c r="N1132" t="n">
        <v>0</v>
      </c>
      <c r="O1132" t="b">
        <v>1</v>
      </c>
      <c r="P1132" t="b">
        <v>0</v>
      </c>
      <c r="Q1132" t="b">
        <v>0</v>
      </c>
    </row>
    <row r="1133">
      <c r="A1133" t="inlineStr">
        <is>
          <t>REQ01132</t>
        </is>
      </c>
      <c r="B1133" t="inlineStr">
        <is>
          <t>724500HF9Z8ZVQD7IC74</t>
        </is>
      </c>
      <c r="C1133" t="inlineStr">
        <is>
          <t>document_refresh</t>
        </is>
      </c>
      <c r="D1133" s="2" t="n">
        <v>46314.56736111111</v>
      </c>
      <c r="E1133" s="2" t="n">
        <v>46315.69236111111</v>
      </c>
      <c r="F1133" t="inlineStr">
        <is>
          <t>M6</t>
        </is>
      </c>
      <c r="G1133" t="inlineStr">
        <is>
          <t>C3</t>
        </is>
      </c>
      <c r="H1133" s="2" t="n">
        <v>46314.57986111111</v>
      </c>
      <c r="I1133" s="2" t="n">
        <v>46315.44305555556</v>
      </c>
      <c r="J1133" t="inlineStr">
        <is>
          <t>Completed</t>
        </is>
      </c>
      <c r="K1133" t="n">
        <v>6.01</v>
      </c>
      <c r="L1133" t="n">
        <v>12</v>
      </c>
      <c r="M1133" t="b">
        <v>0</v>
      </c>
      <c r="N1133" t="n">
        <v>0</v>
      </c>
      <c r="O1133" t="b">
        <v>1</v>
      </c>
      <c r="P1133" t="b">
        <v>0</v>
      </c>
      <c r="Q1133" t="b">
        <v>1</v>
      </c>
    </row>
    <row r="1134">
      <c r="A1134" t="inlineStr">
        <is>
          <t>REQ01133</t>
        </is>
      </c>
      <c r="B1134" t="inlineStr">
        <is>
          <t>98450077D05B5D1A0707</t>
        </is>
      </c>
      <c r="C1134" t="inlineStr">
        <is>
          <t>signatory_change</t>
        </is>
      </c>
      <c r="D1134" s="2" t="n">
        <v>46314.56805555556</v>
      </c>
      <c r="E1134" s="2" t="n">
        <v>46315.52638888889</v>
      </c>
      <c r="F1134" t="inlineStr">
        <is>
          <t>M5</t>
        </is>
      </c>
      <c r="G1134" t="inlineStr">
        <is>
          <t>C1</t>
        </is>
      </c>
      <c r="H1134" s="2" t="n">
        <v>46314.58472222222</v>
      </c>
      <c r="I1134" s="2" t="n">
        <v>46314.59166666667</v>
      </c>
      <c r="J1134" t="inlineStr">
        <is>
          <t>Completed</t>
        </is>
      </c>
      <c r="K1134" t="n">
        <v>0.5600000000000001</v>
      </c>
      <c r="L1134" t="n">
        <v>8</v>
      </c>
      <c r="M1134" t="b">
        <v>0</v>
      </c>
      <c r="N1134" t="n">
        <v>0</v>
      </c>
      <c r="O1134" t="b">
        <v>1</v>
      </c>
      <c r="P1134" t="b">
        <v>0</v>
      </c>
      <c r="Q1134" t="b">
        <v>0</v>
      </c>
    </row>
    <row r="1135">
      <c r="A1135" t="inlineStr">
        <is>
          <t>REQ01134</t>
        </is>
      </c>
      <c r="B1135" t="inlineStr">
        <is>
          <t>894500PP7YWJ0FDQBA69</t>
        </is>
      </c>
      <c r="C1135" t="inlineStr">
        <is>
          <t>data_amendment</t>
        </is>
      </c>
      <c r="D1135" s="2" t="n">
        <v>46314.57986111111</v>
      </c>
      <c r="E1135" s="2" t="n">
        <v>46315.53819444445</v>
      </c>
      <c r="F1135" t="inlineStr">
        <is>
          <t>M1</t>
        </is>
      </c>
      <c r="G1135" t="inlineStr">
        <is>
          <t>C3</t>
        </is>
      </c>
      <c r="H1135" s="2" t="n">
        <v>46314.59097222222</v>
      </c>
      <c r="I1135" s="2" t="n">
        <v>46314.59444444445</v>
      </c>
      <c r="J1135" t="inlineStr">
        <is>
          <t>Completed</t>
        </is>
      </c>
      <c r="K1135" t="n">
        <v>0.36</v>
      </c>
      <c r="L1135" t="n">
        <v>8</v>
      </c>
      <c r="M1135" t="b">
        <v>0</v>
      </c>
      <c r="N1135" t="n">
        <v>0</v>
      </c>
      <c r="O1135" t="b">
        <v>1</v>
      </c>
      <c r="P1135" t="b">
        <v>0</v>
      </c>
      <c r="Q1135" t="b">
        <v>0</v>
      </c>
    </row>
    <row r="1136">
      <c r="A1136" t="inlineStr">
        <is>
          <t>REQ01135</t>
        </is>
      </c>
      <c r="B1136" t="inlineStr">
        <is>
          <t>9695002AE685CROPDD85</t>
        </is>
      </c>
      <c r="C1136" t="inlineStr">
        <is>
          <t>data_amendment</t>
        </is>
      </c>
      <c r="D1136" s="2" t="n">
        <v>46314.58680555555</v>
      </c>
      <c r="E1136" s="2" t="n">
        <v>46315.54513888889</v>
      </c>
      <c r="F1136" t="inlineStr">
        <is>
          <t>M3</t>
        </is>
      </c>
      <c r="G1136" t="inlineStr">
        <is>
          <t>C2</t>
        </is>
      </c>
      <c r="H1136" s="2" t="n">
        <v>46314.59861111111</v>
      </c>
      <c r="I1136" s="2" t="n">
        <v>46315.39861111111</v>
      </c>
      <c r="J1136" t="inlineStr">
        <is>
          <t>Completed</t>
        </is>
      </c>
      <c r="K1136" t="n">
        <v>4.48</v>
      </c>
      <c r="L1136" t="n">
        <v>8</v>
      </c>
      <c r="M1136" t="b">
        <v>0</v>
      </c>
      <c r="N1136" t="n">
        <v>0</v>
      </c>
      <c r="O1136" t="b">
        <v>1</v>
      </c>
      <c r="P1136" t="b">
        <v>0</v>
      </c>
      <c r="Q1136" t="b">
        <v>1</v>
      </c>
    </row>
    <row r="1137">
      <c r="A1137" t="inlineStr">
        <is>
          <t>REQ01136</t>
        </is>
      </c>
      <c r="B1137" t="inlineStr">
        <is>
          <t>213800UG3R1S5PKV3M55</t>
        </is>
      </c>
      <c r="C1137" t="inlineStr">
        <is>
          <t>new_account</t>
        </is>
      </c>
      <c r="D1137" s="2" t="n">
        <v>46314.59027777778</v>
      </c>
      <c r="E1137" s="2" t="n">
        <v>46316.50694444445</v>
      </c>
      <c r="F1137" t="inlineStr">
        <is>
          <t>M2</t>
        </is>
      </c>
      <c r="G1137" t="inlineStr">
        <is>
          <t>C3</t>
        </is>
      </c>
      <c r="H1137" s="2" t="n">
        <v>46314.62013888889</v>
      </c>
      <c r="I1137" s="2" t="n">
        <v>46315.38402777778</v>
      </c>
      <c r="J1137" t="inlineStr">
        <is>
          <t>Completed</t>
        </is>
      </c>
      <c r="K1137" t="n">
        <v>4.05</v>
      </c>
      <c r="L1137" t="n">
        <v>16</v>
      </c>
      <c r="M1137" t="b">
        <v>0</v>
      </c>
      <c r="N1137" t="n">
        <v>0</v>
      </c>
      <c r="O1137" t="b">
        <v>1</v>
      </c>
      <c r="P1137" t="b">
        <v>0</v>
      </c>
      <c r="Q1137" t="b">
        <v>1</v>
      </c>
    </row>
    <row r="1138">
      <c r="A1138" t="inlineStr">
        <is>
          <t>REQ01137</t>
        </is>
      </c>
      <c r="B1138" t="inlineStr">
        <is>
          <t>984500FE7K37P7DFEF39</t>
        </is>
      </c>
      <c r="C1138" t="inlineStr">
        <is>
          <t>document_refresh</t>
        </is>
      </c>
      <c r="D1138" s="2" t="n">
        <v>46314.59027777778</v>
      </c>
      <c r="E1138" s="2" t="n">
        <v>46315.71527777778</v>
      </c>
      <c r="F1138" t="inlineStr">
        <is>
          <t>M6</t>
        </is>
      </c>
      <c r="G1138" t="inlineStr">
        <is>
          <t>C2</t>
        </is>
      </c>
      <c r="H1138" s="2" t="n">
        <v>46314.60069444445</v>
      </c>
      <c r="I1138" s="2" t="n">
        <v>46314.60625</v>
      </c>
      <c r="J1138" t="inlineStr">
        <is>
          <t>Completed</t>
        </is>
      </c>
      <c r="K1138" t="n">
        <v>0.39</v>
      </c>
      <c r="L1138" t="n">
        <v>12</v>
      </c>
      <c r="M1138" t="b">
        <v>0</v>
      </c>
      <c r="N1138" t="n">
        <v>0</v>
      </c>
      <c r="O1138" t="b">
        <v>1</v>
      </c>
      <c r="P1138" t="b">
        <v>0</v>
      </c>
      <c r="Q1138" t="b">
        <v>0</v>
      </c>
    </row>
    <row r="1139">
      <c r="A1139" t="inlineStr">
        <is>
          <t>REQ01138</t>
        </is>
      </c>
      <c r="B1139" t="inlineStr">
        <is>
          <t>391200GJJM3TKAM78J20</t>
        </is>
      </c>
      <c r="C1139" t="inlineStr">
        <is>
          <t>new_account</t>
        </is>
      </c>
      <c r="D1139" s="2" t="n">
        <v>46314.59236111111</v>
      </c>
      <c r="E1139" s="2" t="n">
        <v>46316.50902777778</v>
      </c>
      <c r="F1139" t="inlineStr">
        <is>
          <t>M4</t>
        </is>
      </c>
      <c r="G1139" t="inlineStr">
        <is>
          <t>C3</t>
        </is>
      </c>
      <c r="H1139" s="2" t="n">
        <v>46314.62361111111</v>
      </c>
      <c r="I1139" s="2" t="n">
        <v>46314.63402777778</v>
      </c>
      <c r="J1139" t="inlineStr">
        <is>
          <t>Completed</t>
        </is>
      </c>
      <c r="K1139" t="n">
        <v>1</v>
      </c>
      <c r="L1139" t="n">
        <v>16</v>
      </c>
      <c r="M1139" t="b">
        <v>0</v>
      </c>
      <c r="N1139" t="n">
        <v>0</v>
      </c>
      <c r="O1139" t="b">
        <v>1</v>
      </c>
      <c r="P1139" t="b">
        <v>0</v>
      </c>
      <c r="Q1139" t="b">
        <v>0</v>
      </c>
    </row>
    <row r="1140">
      <c r="A1140" t="inlineStr">
        <is>
          <t>REQ01139</t>
        </is>
      </c>
      <c r="B1140" t="inlineStr">
        <is>
          <t>335800WCNRJKJXSTDS49</t>
        </is>
      </c>
      <c r="C1140" t="inlineStr">
        <is>
          <t>signatory_change</t>
        </is>
      </c>
      <c r="D1140" s="2" t="n">
        <v>46314.59930555556</v>
      </c>
      <c r="E1140" s="2" t="n">
        <v>46315.55763888889</v>
      </c>
      <c r="F1140" t="inlineStr">
        <is>
          <t>M5</t>
        </is>
      </c>
      <c r="G1140" t="inlineStr">
        <is>
          <t>C1</t>
        </is>
      </c>
      <c r="H1140" s="2" t="n">
        <v>46314.625</v>
      </c>
      <c r="I1140" s="2" t="n">
        <v>46314.63263888889</v>
      </c>
      <c r="J1140" t="inlineStr">
        <is>
          <t>Completed</t>
        </is>
      </c>
      <c r="K1140" t="n">
        <v>0.8</v>
      </c>
      <c r="L1140" t="n">
        <v>8</v>
      </c>
      <c r="M1140" t="b">
        <v>0</v>
      </c>
      <c r="N1140" t="n">
        <v>0</v>
      </c>
      <c r="O1140" t="b">
        <v>1</v>
      </c>
      <c r="P1140" t="b">
        <v>0</v>
      </c>
      <c r="Q1140" t="b">
        <v>0</v>
      </c>
    </row>
    <row r="1141">
      <c r="A1141" t="inlineStr">
        <is>
          <t>REQ01140</t>
        </is>
      </c>
      <c r="B1141" t="inlineStr">
        <is>
          <t>335800TUO9E1UQZBAN65</t>
        </is>
      </c>
      <c r="C1141" t="inlineStr">
        <is>
          <t>document_refresh</t>
        </is>
      </c>
      <c r="D1141" s="2" t="n">
        <v>46314.60069444445</v>
      </c>
      <c r="E1141" s="2" t="n">
        <v>46315.72569444445</v>
      </c>
      <c r="F1141" t="inlineStr">
        <is>
          <t>M1</t>
        </is>
      </c>
      <c r="G1141" t="inlineStr">
        <is>
          <t>C3</t>
        </is>
      </c>
      <c r="H1141" s="2" t="n">
        <v>46314.6125</v>
      </c>
      <c r="I1141" s="2" t="n">
        <v>46314.61875</v>
      </c>
      <c r="J1141" t="inlineStr">
        <is>
          <t>Completed</t>
        </is>
      </c>
      <c r="K1141" t="n">
        <v>0.43</v>
      </c>
      <c r="L1141" t="n">
        <v>12</v>
      </c>
      <c r="M1141" t="b">
        <v>0</v>
      </c>
      <c r="N1141" t="n">
        <v>0</v>
      </c>
      <c r="O1141" t="b">
        <v>1</v>
      </c>
      <c r="P1141" t="b">
        <v>0</v>
      </c>
      <c r="Q1141" t="b">
        <v>0</v>
      </c>
    </row>
    <row r="1142">
      <c r="A1142" t="inlineStr">
        <is>
          <t>REQ01141</t>
        </is>
      </c>
      <c r="B1142" t="inlineStr">
        <is>
          <t>724500G65XAKUG0TMP45</t>
        </is>
      </c>
      <c r="C1142" t="inlineStr">
        <is>
          <t>signatory_change</t>
        </is>
      </c>
      <c r="D1142" s="2" t="n">
        <v>46314.60277777778</v>
      </c>
      <c r="E1142" s="2" t="n">
        <v>46315.56111111111</v>
      </c>
      <c r="F1142" t="inlineStr">
        <is>
          <t>M3</t>
        </is>
      </c>
      <c r="G1142" t="inlineStr">
        <is>
          <t>C2</t>
        </is>
      </c>
      <c r="H1142" s="2" t="n">
        <v>46314.61875</v>
      </c>
      <c r="I1142" s="2" t="n">
        <v>46314.62569444445</v>
      </c>
      <c r="J1142" t="inlineStr">
        <is>
          <t>Completed</t>
        </is>
      </c>
      <c r="K1142" t="n">
        <v>0.55</v>
      </c>
      <c r="L1142" t="n">
        <v>8</v>
      </c>
      <c r="M1142" t="b">
        <v>0</v>
      </c>
      <c r="N1142" t="n">
        <v>0</v>
      </c>
      <c r="O1142" t="b">
        <v>1</v>
      </c>
      <c r="P1142" t="b">
        <v>0</v>
      </c>
      <c r="Q1142" t="b">
        <v>0</v>
      </c>
    </row>
    <row r="1143">
      <c r="A1143" t="inlineStr">
        <is>
          <t>REQ01142</t>
        </is>
      </c>
      <c r="B1143" t="inlineStr">
        <is>
          <t>9695004QER63HOR93K45</t>
        </is>
      </c>
      <c r="C1143" t="inlineStr">
        <is>
          <t>signatory_change</t>
        </is>
      </c>
      <c r="D1143" s="2" t="n">
        <v>46314.60902777778</v>
      </c>
      <c r="E1143" s="2" t="n">
        <v>46315.56736111111</v>
      </c>
      <c r="F1143" t="inlineStr">
        <is>
          <t>M6</t>
        </is>
      </c>
      <c r="G1143" t="inlineStr">
        <is>
          <t>C1</t>
        </is>
      </c>
      <c r="H1143" s="2" t="n">
        <v>46314.62986111111</v>
      </c>
      <c r="I1143" s="2" t="n">
        <v>46314.63888888889</v>
      </c>
      <c r="J1143" t="inlineStr">
        <is>
          <t>Completed</t>
        </is>
      </c>
      <c r="K1143" t="n">
        <v>0.72</v>
      </c>
      <c r="L1143" t="n">
        <v>8</v>
      </c>
      <c r="M1143" t="b">
        <v>0</v>
      </c>
      <c r="N1143" t="n">
        <v>0</v>
      </c>
      <c r="O1143" t="b">
        <v>1</v>
      </c>
      <c r="P1143" t="b">
        <v>0</v>
      </c>
      <c r="Q1143" t="b">
        <v>0</v>
      </c>
    </row>
    <row r="1144">
      <c r="A1144" t="inlineStr">
        <is>
          <t>REQ01143</t>
        </is>
      </c>
      <c r="B1144" t="inlineStr">
        <is>
          <t>549300OELFEKB38QMC04</t>
        </is>
      </c>
      <c r="C1144" t="inlineStr">
        <is>
          <t>document_refresh</t>
        </is>
      </c>
      <c r="D1144" s="2" t="n">
        <v>46314.61111111111</v>
      </c>
      <c r="E1144" s="2" t="n">
        <v>46315.73611111111</v>
      </c>
      <c r="F1144" t="inlineStr">
        <is>
          <t>M1</t>
        </is>
      </c>
      <c r="G1144" t="inlineStr">
        <is>
          <t>C2</t>
        </is>
      </c>
      <c r="H1144" s="2" t="n">
        <v>46314.625</v>
      </c>
      <c r="I1144" s="2" t="n">
        <v>46315.38541666666</v>
      </c>
      <c r="J1144" t="inlineStr">
        <is>
          <t>Completed</t>
        </is>
      </c>
      <c r="K1144" t="n">
        <v>3.58</v>
      </c>
      <c r="L1144" t="n">
        <v>12</v>
      </c>
      <c r="M1144" t="b">
        <v>0</v>
      </c>
      <c r="N1144" t="n">
        <v>0</v>
      </c>
      <c r="O1144" t="b">
        <v>1</v>
      </c>
      <c r="P1144" t="b">
        <v>0</v>
      </c>
      <c r="Q1144" t="b">
        <v>1</v>
      </c>
    </row>
    <row r="1145">
      <c r="A1145" t="inlineStr">
        <is>
          <t>REQ01144</t>
        </is>
      </c>
      <c r="B1145" t="inlineStr">
        <is>
          <t>529900FI28CD8BHEC737</t>
        </is>
      </c>
      <c r="C1145" t="inlineStr">
        <is>
          <t>document_refresh</t>
        </is>
      </c>
      <c r="D1145" s="2" t="n">
        <v>46314.61388888889</v>
      </c>
      <c r="E1145" s="2" t="n">
        <v>46315.73888888889</v>
      </c>
      <c r="F1145" t="inlineStr">
        <is>
          <t>M3</t>
        </is>
      </c>
      <c r="G1145" t="inlineStr">
        <is>
          <t>C1</t>
        </is>
      </c>
      <c r="H1145" s="2" t="n">
        <v>46314.63680555556</v>
      </c>
      <c r="I1145" s="2" t="n">
        <v>46314.64513888889</v>
      </c>
      <c r="J1145" t="inlineStr">
        <is>
          <t>Completed</t>
        </is>
      </c>
      <c r="K1145" t="n">
        <v>0.75</v>
      </c>
      <c r="L1145" t="n">
        <v>12</v>
      </c>
      <c r="M1145" t="b">
        <v>0</v>
      </c>
      <c r="N1145" t="n">
        <v>0</v>
      </c>
      <c r="O1145" t="b">
        <v>1</v>
      </c>
      <c r="P1145" t="b">
        <v>0</v>
      </c>
      <c r="Q1145" t="b">
        <v>0</v>
      </c>
    </row>
    <row r="1146">
      <c r="A1146" t="inlineStr">
        <is>
          <t>REQ01145</t>
        </is>
      </c>
      <c r="B1146" t="inlineStr">
        <is>
          <t>54930053FSN4KGHTRX83</t>
        </is>
      </c>
      <c r="C1146" t="inlineStr">
        <is>
          <t>document_refresh</t>
        </is>
      </c>
      <c r="D1146" s="2" t="n">
        <v>46314.61527777778</v>
      </c>
      <c r="E1146" s="2" t="n">
        <v>46315.74027777778</v>
      </c>
      <c r="F1146" t="inlineStr">
        <is>
          <t>M2</t>
        </is>
      </c>
      <c r="G1146" t="inlineStr">
        <is>
          <t>C2</t>
        </is>
      </c>
      <c r="H1146" s="2" t="n">
        <v>46314.63194444445</v>
      </c>
      <c r="I1146" s="2" t="n">
        <v>46314.64236111111</v>
      </c>
      <c r="J1146" t="inlineStr">
        <is>
          <t>Completed</t>
        </is>
      </c>
      <c r="K1146" t="n">
        <v>0.65</v>
      </c>
      <c r="L1146" t="n">
        <v>12</v>
      </c>
      <c r="M1146" t="b">
        <v>0</v>
      </c>
      <c r="N1146" t="n">
        <v>0</v>
      </c>
      <c r="O1146" t="b">
        <v>1</v>
      </c>
      <c r="P1146" t="b">
        <v>0</v>
      </c>
      <c r="Q1146" t="b">
        <v>0</v>
      </c>
    </row>
    <row r="1147">
      <c r="A1147" t="inlineStr">
        <is>
          <t>REQ01146</t>
        </is>
      </c>
      <c r="B1147" t="inlineStr">
        <is>
          <t>391200EHAKSSWU7KXY12</t>
        </is>
      </c>
      <c r="C1147" t="inlineStr">
        <is>
          <t>document_refresh</t>
        </is>
      </c>
      <c r="D1147" s="2" t="n">
        <v>46314.61736111111</v>
      </c>
      <c r="E1147" s="2" t="n">
        <v>46315.74236111111</v>
      </c>
      <c r="F1147" t="inlineStr">
        <is>
          <t>M4</t>
        </is>
      </c>
      <c r="G1147" t="inlineStr">
        <is>
          <t>C3</t>
        </is>
      </c>
      <c r="H1147" s="2" t="n">
        <v>46314.63611111111</v>
      </c>
      <c r="I1147" s="2" t="n">
        <v>46314.64236111111</v>
      </c>
      <c r="J1147" t="inlineStr">
        <is>
          <t>Completed</t>
        </is>
      </c>
      <c r="K1147" t="n">
        <v>0.6</v>
      </c>
      <c r="L1147" t="n">
        <v>12</v>
      </c>
      <c r="M1147" t="b">
        <v>0</v>
      </c>
      <c r="N1147" t="n">
        <v>0</v>
      </c>
      <c r="O1147" t="b">
        <v>1</v>
      </c>
      <c r="P1147" t="b">
        <v>0</v>
      </c>
      <c r="Q1147" t="b">
        <v>0</v>
      </c>
    </row>
    <row r="1148">
      <c r="A1148" t="inlineStr">
        <is>
          <t>REQ01147</t>
        </is>
      </c>
      <c r="B1148" t="inlineStr">
        <is>
          <t>335800FHZKNK6WB3OG68</t>
        </is>
      </c>
      <c r="C1148" t="inlineStr">
        <is>
          <t>new_account</t>
        </is>
      </c>
      <c r="D1148" s="2" t="n">
        <v>46314.61736111111</v>
      </c>
      <c r="E1148" s="2" t="n">
        <v>46316.53402777778</v>
      </c>
      <c r="F1148" t="inlineStr">
        <is>
          <t>M1</t>
        </is>
      </c>
      <c r="G1148" t="inlineStr">
        <is>
          <t>C3</t>
        </is>
      </c>
      <c r="H1148" s="2" t="n">
        <v>46314.66111111111</v>
      </c>
      <c r="I1148" s="2" t="n">
        <v>46314.67222222222</v>
      </c>
      <c r="J1148" t="inlineStr">
        <is>
          <t>Completed</t>
        </is>
      </c>
      <c r="K1148" t="n">
        <v>1.32</v>
      </c>
      <c r="L1148" t="n">
        <v>16</v>
      </c>
      <c r="M1148" t="b">
        <v>0</v>
      </c>
      <c r="N1148" t="n">
        <v>0</v>
      </c>
      <c r="O1148" t="b">
        <v>1</v>
      </c>
      <c r="P1148" t="b">
        <v>0</v>
      </c>
      <c r="Q1148" t="b">
        <v>0</v>
      </c>
    </row>
    <row r="1149">
      <c r="A1149" t="inlineStr">
        <is>
          <t>REQ01148</t>
        </is>
      </c>
      <c r="B1149" t="inlineStr">
        <is>
          <t>254900K2PGE9CM37RL80</t>
        </is>
      </c>
      <c r="C1149" t="inlineStr">
        <is>
          <t>signatory_change</t>
        </is>
      </c>
      <c r="D1149" s="2" t="n">
        <v>46314.625</v>
      </c>
      <c r="E1149" s="2" t="n">
        <v>46315.58333333334</v>
      </c>
      <c r="F1149" t="inlineStr">
        <is>
          <t>M5</t>
        </is>
      </c>
      <c r="G1149" t="inlineStr">
        <is>
          <t>C3</t>
        </is>
      </c>
      <c r="H1149" s="2" t="n">
        <v>46314.64305555556</v>
      </c>
      <c r="I1149" s="2" t="n">
        <v>46315.42569444444</v>
      </c>
      <c r="J1149" t="inlineStr">
        <is>
          <t>Completed</t>
        </is>
      </c>
      <c r="K1149" t="n">
        <v>4.22</v>
      </c>
      <c r="L1149" t="n">
        <v>8</v>
      </c>
      <c r="M1149" t="b">
        <v>0</v>
      </c>
      <c r="N1149" t="n">
        <v>0</v>
      </c>
      <c r="O1149" t="b">
        <v>1</v>
      </c>
      <c r="P1149" t="b">
        <v>0</v>
      </c>
      <c r="Q1149" t="b">
        <v>1</v>
      </c>
    </row>
    <row r="1150">
      <c r="A1150" t="inlineStr">
        <is>
          <t>REQ01149</t>
        </is>
      </c>
      <c r="B1150" t="inlineStr">
        <is>
          <t>LFV2H207YCAOQ3S8HA31</t>
        </is>
      </c>
      <c r="C1150" t="inlineStr">
        <is>
          <t>data_amendment</t>
        </is>
      </c>
      <c r="D1150" s="2" t="n">
        <v>46314.63125</v>
      </c>
      <c r="E1150" s="2" t="n">
        <v>46315.58958333333</v>
      </c>
      <c r="F1150" t="inlineStr">
        <is>
          <t>M6</t>
        </is>
      </c>
      <c r="G1150" t="inlineStr">
        <is>
          <t>C2</t>
        </is>
      </c>
      <c r="H1150" s="2" t="n">
        <v>46314.63958333333</v>
      </c>
      <c r="I1150" s="2" t="n">
        <v>46315.37847222222</v>
      </c>
      <c r="J1150" t="inlineStr">
        <is>
          <t>Completed</t>
        </is>
      </c>
      <c r="K1150" t="n">
        <v>2.93</v>
      </c>
      <c r="L1150" t="n">
        <v>8</v>
      </c>
      <c r="M1150" t="b">
        <v>0</v>
      </c>
      <c r="N1150" t="n">
        <v>0</v>
      </c>
      <c r="O1150" t="b">
        <v>1</v>
      </c>
      <c r="P1150" t="b">
        <v>0</v>
      </c>
      <c r="Q1150" t="b">
        <v>1</v>
      </c>
    </row>
    <row r="1151">
      <c r="A1151" t="inlineStr">
        <is>
          <t>REQ01150</t>
        </is>
      </c>
      <c r="B1151" t="inlineStr">
        <is>
          <t>54930036GBKO02AQVT36</t>
        </is>
      </c>
      <c r="C1151" t="inlineStr">
        <is>
          <t>new_account</t>
        </is>
      </c>
      <c r="D1151" s="2" t="n">
        <v>46314.63263888889</v>
      </c>
      <c r="E1151" s="2" t="n">
        <v>46316.54930555556</v>
      </c>
      <c r="F1151" t="inlineStr">
        <is>
          <t>M2</t>
        </is>
      </c>
      <c r="G1151" t="inlineStr">
        <is>
          <t>C1</t>
        </is>
      </c>
      <c r="H1151" s="2" t="n">
        <v>46314.66111111111</v>
      </c>
      <c r="I1151" s="2" t="n">
        <v>46314.67430555556</v>
      </c>
      <c r="J1151" t="inlineStr">
        <is>
          <t>Completed</t>
        </is>
      </c>
      <c r="K1151" t="n">
        <v>1.01</v>
      </c>
      <c r="L1151" t="n">
        <v>16</v>
      </c>
      <c r="M1151" t="b">
        <v>0</v>
      </c>
      <c r="N1151" t="n">
        <v>0</v>
      </c>
      <c r="O1151" t="b">
        <v>1</v>
      </c>
      <c r="P1151" t="b">
        <v>0</v>
      </c>
      <c r="Q1151" t="b">
        <v>0</v>
      </c>
    </row>
    <row r="1152">
      <c r="A1152" t="inlineStr">
        <is>
          <t>REQ01151</t>
        </is>
      </c>
      <c r="B1152" t="inlineStr">
        <is>
          <t>254900G8AXG45LR3HD33</t>
        </is>
      </c>
      <c r="C1152" t="inlineStr">
        <is>
          <t>document_refresh</t>
        </is>
      </c>
      <c r="D1152" s="2" t="n">
        <v>46314.64027777778</v>
      </c>
      <c r="E1152" s="2" t="n">
        <v>46316.39027777778</v>
      </c>
      <c r="F1152" t="inlineStr">
        <is>
          <t>M4</t>
        </is>
      </c>
      <c r="G1152" t="inlineStr">
        <is>
          <t>C2</t>
        </is>
      </c>
      <c r="H1152" s="2" t="n">
        <v>46314.65277777778</v>
      </c>
      <c r="I1152" s="2" t="n">
        <v>46315.43958333333</v>
      </c>
      <c r="J1152" t="inlineStr">
        <is>
          <t>Completed</t>
        </is>
      </c>
      <c r="K1152" t="n">
        <v>4.18</v>
      </c>
      <c r="L1152" t="n">
        <v>12</v>
      </c>
      <c r="M1152" t="b">
        <v>0</v>
      </c>
      <c r="N1152" t="n">
        <v>0</v>
      </c>
      <c r="O1152" t="b">
        <v>1</v>
      </c>
      <c r="P1152" t="b">
        <v>0</v>
      </c>
      <c r="Q1152" t="b">
        <v>1</v>
      </c>
    </row>
    <row r="1153">
      <c r="A1153" t="inlineStr">
        <is>
          <t>REQ01152</t>
        </is>
      </c>
      <c r="B1153" t="inlineStr">
        <is>
          <t>984500D4I67F38ECYE67</t>
        </is>
      </c>
      <c r="C1153" t="inlineStr">
        <is>
          <t>signatory_change</t>
        </is>
      </c>
      <c r="D1153" s="2" t="n">
        <v>46314.64444444444</v>
      </c>
      <c r="E1153" s="2" t="n">
        <v>46315.60277777778</v>
      </c>
      <c r="F1153" t="inlineStr">
        <is>
          <t>M3</t>
        </is>
      </c>
      <c r="G1153" t="inlineStr">
        <is>
          <t>C2</t>
        </is>
      </c>
      <c r="H1153" s="2" t="n">
        <v>46314.66041666667</v>
      </c>
      <c r="I1153" s="2" t="n">
        <v>46315.52430555555</v>
      </c>
      <c r="J1153" t="inlineStr">
        <is>
          <t>Completed</t>
        </is>
      </c>
      <c r="K1153" t="n">
        <v>6.12</v>
      </c>
      <c r="L1153" t="n">
        <v>8</v>
      </c>
      <c r="M1153" t="b">
        <v>0</v>
      </c>
      <c r="N1153" t="n">
        <v>0</v>
      </c>
      <c r="O1153" t="b">
        <v>1</v>
      </c>
      <c r="P1153" t="b">
        <v>0</v>
      </c>
      <c r="Q1153" t="b">
        <v>1</v>
      </c>
    </row>
    <row r="1154">
      <c r="A1154" t="inlineStr">
        <is>
          <t>REQ01153</t>
        </is>
      </c>
      <c r="B1154" t="inlineStr">
        <is>
          <t>213800HWNCWH2LL2M396</t>
        </is>
      </c>
      <c r="C1154" t="inlineStr">
        <is>
          <t>new_account</t>
        </is>
      </c>
      <c r="D1154" s="2" t="n">
        <v>46314.64652777778</v>
      </c>
      <c r="E1154" s="2" t="n">
        <v>46316.56319444445</v>
      </c>
      <c r="F1154" t="inlineStr">
        <is>
          <t>M6</t>
        </is>
      </c>
      <c r="G1154" t="inlineStr">
        <is>
          <t>C3</t>
        </is>
      </c>
      <c r="H1154" s="2" t="n">
        <v>46314.67291666667</v>
      </c>
      <c r="I1154" s="2" t="n">
        <v>46315.40138888889</v>
      </c>
      <c r="J1154" t="inlineStr">
        <is>
          <t>Completed</t>
        </is>
      </c>
      <c r="K1154" t="n">
        <v>3.11</v>
      </c>
      <c r="L1154" t="n">
        <v>16</v>
      </c>
      <c r="M1154" t="b">
        <v>0</v>
      </c>
      <c r="N1154" t="n">
        <v>0</v>
      </c>
      <c r="O1154" t="b">
        <v>1</v>
      </c>
      <c r="P1154" t="b">
        <v>0</v>
      </c>
      <c r="Q1154" t="b">
        <v>1</v>
      </c>
    </row>
    <row r="1155">
      <c r="A1155" t="inlineStr">
        <is>
          <t>REQ01154</t>
        </is>
      </c>
      <c r="B1155" t="inlineStr">
        <is>
          <t>549300HKK6MEH4L0PB88</t>
        </is>
      </c>
      <c r="C1155" t="inlineStr">
        <is>
          <t>new_account</t>
        </is>
      </c>
      <c r="D1155" s="2" t="n">
        <v>46314.64722222222</v>
      </c>
      <c r="E1155" s="2" t="n">
        <v>46316.56388888889</v>
      </c>
      <c r="F1155" t="inlineStr">
        <is>
          <t>M5</t>
        </is>
      </c>
      <c r="G1155" t="inlineStr">
        <is>
          <t>C1</t>
        </is>
      </c>
      <c r="H1155" s="2" t="n">
        <v>46314.67291666667</v>
      </c>
      <c r="I1155" s="2" t="n">
        <v>46315.53680555556</v>
      </c>
      <c r="J1155" t="inlineStr">
        <is>
          <t>Completed</t>
        </is>
      </c>
      <c r="K1155" t="n">
        <v>6.35</v>
      </c>
      <c r="L1155" t="n">
        <v>16</v>
      </c>
      <c r="M1155" t="b">
        <v>0</v>
      </c>
      <c r="N1155" t="n">
        <v>0</v>
      </c>
      <c r="O1155" t="b">
        <v>1</v>
      </c>
      <c r="P1155" t="b">
        <v>0</v>
      </c>
      <c r="Q1155" t="b">
        <v>1</v>
      </c>
    </row>
    <row r="1156">
      <c r="A1156" t="inlineStr">
        <is>
          <t>REQ01155</t>
        </is>
      </c>
      <c r="B1156" t="inlineStr">
        <is>
          <t>984500A9EB06613E2D86</t>
        </is>
      </c>
      <c r="C1156" t="inlineStr">
        <is>
          <t>document_refresh</t>
        </is>
      </c>
      <c r="D1156" s="2" t="n">
        <v>46314.64791666667</v>
      </c>
      <c r="E1156" s="2" t="n">
        <v>46316.39791666667</v>
      </c>
      <c r="F1156" t="inlineStr">
        <is>
          <t>M4</t>
        </is>
      </c>
      <c r="G1156" t="inlineStr">
        <is>
          <t>C1</t>
        </is>
      </c>
      <c r="H1156" s="2" t="n">
        <v>46314.66458333333</v>
      </c>
      <c r="I1156" s="2" t="n">
        <v>46315.41597222222</v>
      </c>
      <c r="J1156" t="inlineStr">
        <is>
          <t>Completed</t>
        </is>
      </c>
      <c r="K1156" t="n">
        <v>3.43</v>
      </c>
      <c r="L1156" t="n">
        <v>12</v>
      </c>
      <c r="M1156" t="b">
        <v>0</v>
      </c>
      <c r="N1156" t="n">
        <v>0</v>
      </c>
      <c r="O1156" t="b">
        <v>1</v>
      </c>
      <c r="P1156" t="b">
        <v>0</v>
      </c>
      <c r="Q1156" t="b">
        <v>1</v>
      </c>
    </row>
    <row r="1157">
      <c r="A1157" t="inlineStr">
        <is>
          <t>REQ01156</t>
        </is>
      </c>
      <c r="B1157" t="inlineStr">
        <is>
          <t>648828G6Z9J39VAU2B75</t>
        </is>
      </c>
      <c r="C1157" t="inlineStr">
        <is>
          <t>data_amendment</t>
        </is>
      </c>
      <c r="D1157" s="2" t="n">
        <v>46314.65555555555</v>
      </c>
      <c r="E1157" s="2" t="n">
        <v>46315.61388888889</v>
      </c>
      <c r="F1157" t="inlineStr">
        <is>
          <t>M3</t>
        </is>
      </c>
      <c r="G1157" t="inlineStr">
        <is>
          <t>C3</t>
        </is>
      </c>
      <c r="H1157" s="2" t="n">
        <v>46314.66805555556</v>
      </c>
      <c r="I1157" s="2" t="n">
        <v>46314.67638888889</v>
      </c>
      <c r="J1157" t="inlineStr">
        <is>
          <t>Completed</t>
        </is>
      </c>
      <c r="K1157" t="n">
        <v>0.49</v>
      </c>
      <c r="L1157" t="n">
        <v>8</v>
      </c>
      <c r="M1157" t="b">
        <v>0</v>
      </c>
      <c r="N1157" t="n">
        <v>0</v>
      </c>
      <c r="O1157" t="b">
        <v>1</v>
      </c>
      <c r="P1157" t="b">
        <v>0</v>
      </c>
      <c r="Q1157" t="b">
        <v>0</v>
      </c>
    </row>
    <row r="1158">
      <c r="A1158" t="inlineStr">
        <is>
          <t>REQ01157</t>
        </is>
      </c>
      <c r="B1158" t="inlineStr">
        <is>
          <t>213800KVD9QPRSK9X490</t>
        </is>
      </c>
      <c r="C1158" t="inlineStr">
        <is>
          <t>signatory_change</t>
        </is>
      </c>
      <c r="D1158" s="2" t="n">
        <v>46314.66527777778</v>
      </c>
      <c r="E1158" s="2" t="n">
        <v>46315.62361111111</v>
      </c>
      <c r="F1158" t="inlineStr">
        <is>
          <t>M1</t>
        </is>
      </c>
      <c r="G1158" t="inlineStr">
        <is>
          <t>C1</t>
        </is>
      </c>
      <c r="H1158" s="2" t="n">
        <v>46314.69236111111</v>
      </c>
      <c r="I1158" s="2" t="n">
        <v>46315.52152777778</v>
      </c>
      <c r="J1158" t="inlineStr">
        <is>
          <t>Completed</t>
        </is>
      </c>
      <c r="K1158" t="n">
        <v>5.55</v>
      </c>
      <c r="L1158" t="n">
        <v>8</v>
      </c>
      <c r="M1158" t="b">
        <v>0</v>
      </c>
      <c r="N1158" t="n">
        <v>0</v>
      </c>
      <c r="O1158" t="b">
        <v>1</v>
      </c>
      <c r="P1158" t="b">
        <v>0</v>
      </c>
      <c r="Q1158" t="b">
        <v>1</v>
      </c>
    </row>
    <row r="1159">
      <c r="A1159" t="inlineStr">
        <is>
          <t>REQ01158</t>
        </is>
      </c>
      <c r="B1159" t="inlineStr">
        <is>
          <t>984500KA7A7075BD9997</t>
        </is>
      </c>
      <c r="C1159" t="inlineStr">
        <is>
          <t>document_refresh</t>
        </is>
      </c>
      <c r="D1159" s="2" t="n">
        <v>46314.66944444444</v>
      </c>
      <c r="E1159" s="2" t="n">
        <v>46316.41944444444</v>
      </c>
      <c r="F1159" t="inlineStr">
        <is>
          <t>M2</t>
        </is>
      </c>
      <c r="G1159" t="inlineStr">
        <is>
          <t>C3</t>
        </is>
      </c>
      <c r="H1159" s="2" t="n">
        <v>46314.68194444444</v>
      </c>
      <c r="I1159" s="2" t="n">
        <v>46314.68888888889</v>
      </c>
      <c r="J1159" t="inlineStr">
        <is>
          <t>Completed</t>
        </is>
      </c>
      <c r="K1159" t="n">
        <v>0.46</v>
      </c>
      <c r="L1159" t="n">
        <v>12</v>
      </c>
      <c r="M1159" t="b">
        <v>0</v>
      </c>
      <c r="N1159" t="n">
        <v>0</v>
      </c>
      <c r="O1159" t="b">
        <v>1</v>
      </c>
      <c r="P1159" t="b">
        <v>0</v>
      </c>
      <c r="Q1159" t="b">
        <v>0</v>
      </c>
    </row>
    <row r="1160">
      <c r="A1160" t="inlineStr">
        <is>
          <t>REQ01159</t>
        </is>
      </c>
      <c r="B1160" t="inlineStr">
        <is>
          <t>5493004O38W8EYGEZ656</t>
        </is>
      </c>
      <c r="C1160" t="inlineStr">
        <is>
          <t>signatory_change</t>
        </is>
      </c>
      <c r="D1160" s="2" t="n">
        <v>46314.67222222222</v>
      </c>
      <c r="E1160" s="2" t="n">
        <v>46315.63055555556</v>
      </c>
      <c r="F1160" t="inlineStr">
        <is>
          <t>M4</t>
        </is>
      </c>
      <c r="G1160" t="inlineStr">
        <is>
          <t>C1</t>
        </is>
      </c>
      <c r="H1160" s="2" t="n">
        <v>46314.69861111111</v>
      </c>
      <c r="I1160" s="2" t="n">
        <v>46315.55208333334</v>
      </c>
      <c r="J1160" t="inlineStr">
        <is>
          <t>Completed</t>
        </is>
      </c>
      <c r="K1160" t="n">
        <v>6.12</v>
      </c>
      <c r="L1160" t="n">
        <v>8</v>
      </c>
      <c r="M1160" t="b">
        <v>0</v>
      </c>
      <c r="N1160" t="n">
        <v>0</v>
      </c>
      <c r="O1160" t="b">
        <v>1</v>
      </c>
      <c r="P1160" t="b">
        <v>0</v>
      </c>
      <c r="Q1160" t="b">
        <v>1</v>
      </c>
    </row>
    <row r="1161">
      <c r="A1161" t="inlineStr">
        <is>
          <t>REQ01160</t>
        </is>
      </c>
      <c r="B1161" t="inlineStr">
        <is>
          <t>529900C625WY24DGNN89</t>
        </is>
      </c>
      <c r="C1161" t="inlineStr">
        <is>
          <t>document_refresh</t>
        </is>
      </c>
      <c r="D1161" s="2" t="n">
        <v>46314.67222222222</v>
      </c>
      <c r="E1161" s="2" t="n">
        <v>46316.42222222222</v>
      </c>
      <c r="F1161" t="inlineStr">
        <is>
          <t>M3</t>
        </is>
      </c>
      <c r="G1161" t="inlineStr">
        <is>
          <t>C1</t>
        </is>
      </c>
      <c r="H1161" s="2" t="n">
        <v>46314.68819444445</v>
      </c>
      <c r="I1161" s="2" t="n">
        <v>46314.70694444444</v>
      </c>
      <c r="J1161" t="inlineStr">
        <is>
          <t>Completed</t>
        </is>
      </c>
      <c r="K1161" t="n">
        <v>0.84</v>
      </c>
      <c r="L1161" t="n">
        <v>12</v>
      </c>
      <c r="M1161" t="b">
        <v>0</v>
      </c>
      <c r="N1161" t="n">
        <v>1</v>
      </c>
      <c r="O1161" t="b">
        <v>0</v>
      </c>
      <c r="P1161" t="b">
        <v>1</v>
      </c>
      <c r="Q1161" t="b">
        <v>0</v>
      </c>
    </row>
    <row r="1162">
      <c r="A1162" t="inlineStr">
        <is>
          <t>REQ01161</t>
        </is>
      </c>
      <c r="B1162" t="inlineStr">
        <is>
          <t>391200AQ28YJD7CONV09</t>
        </is>
      </c>
      <c r="C1162" t="inlineStr">
        <is>
          <t>new_account</t>
        </is>
      </c>
      <c r="D1162" s="2" t="n">
        <v>46314.67638888889</v>
      </c>
      <c r="E1162" s="2" t="n">
        <v>46316.59305555555</v>
      </c>
      <c r="F1162" t="inlineStr">
        <is>
          <t>M6</t>
        </is>
      </c>
      <c r="G1162" t="inlineStr">
        <is>
          <t>C2</t>
        </is>
      </c>
      <c r="H1162" s="2" t="n">
        <v>46314.70833333334</v>
      </c>
      <c r="I1162" s="2" t="n">
        <v>46315.48055555556</v>
      </c>
      <c r="J1162" t="inlineStr">
        <is>
          <t>Completed</t>
        </is>
      </c>
      <c r="K1162" t="n">
        <v>4.31</v>
      </c>
      <c r="L1162" t="n">
        <v>16</v>
      </c>
      <c r="M1162" t="b">
        <v>0</v>
      </c>
      <c r="N1162" t="n">
        <v>0</v>
      </c>
      <c r="O1162" t="b">
        <v>1</v>
      </c>
      <c r="P1162" t="b">
        <v>0</v>
      </c>
      <c r="Q1162" t="b">
        <v>1</v>
      </c>
    </row>
    <row r="1163">
      <c r="A1163" t="inlineStr">
        <is>
          <t>REQ01162</t>
        </is>
      </c>
      <c r="B1163" t="inlineStr">
        <is>
          <t>254900OA25NETWT1OH76</t>
        </is>
      </c>
      <c r="C1163" t="inlineStr">
        <is>
          <t>signatory_change</t>
        </is>
      </c>
      <c r="D1163" s="2" t="n">
        <v>46314.68194444444</v>
      </c>
      <c r="E1163" s="2" t="n">
        <v>46315.64027777778</v>
      </c>
      <c r="F1163" t="inlineStr">
        <is>
          <t>M5</t>
        </is>
      </c>
      <c r="G1163" t="inlineStr">
        <is>
          <t>C2</t>
        </is>
      </c>
      <c r="H1163" s="2" t="n">
        <v>46314.70208333333</v>
      </c>
      <c r="I1163" s="2" t="n">
        <v>46314.70694444444</v>
      </c>
      <c r="J1163" t="inlineStr">
        <is>
          <t>Completed</t>
        </is>
      </c>
      <c r="K1163" t="n">
        <v>0.61</v>
      </c>
      <c r="L1163" t="n">
        <v>8</v>
      </c>
      <c r="M1163" t="b">
        <v>0</v>
      </c>
      <c r="N1163" t="n">
        <v>0</v>
      </c>
      <c r="O1163" t="b">
        <v>1</v>
      </c>
      <c r="P1163" t="b">
        <v>0</v>
      </c>
      <c r="Q1163" t="b">
        <v>0</v>
      </c>
    </row>
    <row r="1164">
      <c r="A1164" t="inlineStr">
        <is>
          <t>REQ01163</t>
        </is>
      </c>
      <c r="B1164" t="inlineStr">
        <is>
          <t>969500R95SCGYGEMYE04</t>
        </is>
      </c>
      <c r="C1164" t="inlineStr">
        <is>
          <t>data_amendment</t>
        </is>
      </c>
      <c r="D1164" s="2" t="n">
        <v>46314.69027777778</v>
      </c>
      <c r="E1164" s="2" t="n">
        <v>46315.64861111111</v>
      </c>
      <c r="F1164" t="inlineStr">
        <is>
          <t>M2</t>
        </is>
      </c>
      <c r="G1164" t="inlineStr">
        <is>
          <t>C2</t>
        </is>
      </c>
      <c r="H1164" s="2" t="n">
        <v>46314.69791666666</v>
      </c>
      <c r="I1164" s="2" t="n">
        <v>46315.50347222222</v>
      </c>
      <c r="J1164" t="inlineStr">
        <is>
          <t>Completed</t>
        </is>
      </c>
      <c r="K1164" t="n">
        <v>4.52</v>
      </c>
      <c r="L1164" t="n">
        <v>8</v>
      </c>
      <c r="M1164" t="b">
        <v>0</v>
      </c>
      <c r="N1164" t="n">
        <v>0</v>
      </c>
      <c r="O1164" t="b">
        <v>1</v>
      </c>
      <c r="P1164" t="b">
        <v>0</v>
      </c>
      <c r="Q1164" t="b">
        <v>1</v>
      </c>
    </row>
    <row r="1165">
      <c r="A1165" t="inlineStr">
        <is>
          <t>REQ01164</t>
        </is>
      </c>
      <c r="B1165" t="inlineStr">
        <is>
          <t>724500Y95N7LO8E19A03</t>
        </is>
      </c>
      <c r="C1165" t="inlineStr">
        <is>
          <t>data_amendment</t>
        </is>
      </c>
      <c r="D1165" s="2" t="n">
        <v>46314.69097222222</v>
      </c>
      <c r="E1165" s="2" t="n">
        <v>46315.64930555555</v>
      </c>
      <c r="F1165" t="inlineStr">
        <is>
          <t>M3</t>
        </is>
      </c>
      <c r="G1165" t="inlineStr">
        <is>
          <t>C2</t>
        </is>
      </c>
      <c r="H1165" s="2" t="n">
        <v>46314.70208333333</v>
      </c>
      <c r="I1165" s="2" t="n">
        <v>46315.55347222222</v>
      </c>
      <c r="J1165" t="inlineStr">
        <is>
          <t>Completed</t>
        </is>
      </c>
      <c r="K1165" t="n">
        <v>5.71</v>
      </c>
      <c r="L1165" t="n">
        <v>8</v>
      </c>
      <c r="M1165" t="b">
        <v>0</v>
      </c>
      <c r="N1165" t="n">
        <v>0</v>
      </c>
      <c r="O1165" t="b">
        <v>1</v>
      </c>
      <c r="P1165" t="b">
        <v>0</v>
      </c>
      <c r="Q1165" t="b">
        <v>1</v>
      </c>
    </row>
    <row r="1166">
      <c r="A1166" t="inlineStr">
        <is>
          <t>REQ01165</t>
        </is>
      </c>
      <c r="B1166" t="inlineStr">
        <is>
          <t>RDAX5L6VO866KXNLZX89</t>
        </is>
      </c>
      <c r="C1166" t="inlineStr">
        <is>
          <t>document_refresh</t>
        </is>
      </c>
      <c r="D1166" s="2" t="n">
        <v>46314.69444444445</v>
      </c>
      <c r="E1166" s="2" t="n">
        <v>46316.44444444445</v>
      </c>
      <c r="F1166" t="inlineStr">
        <is>
          <t>M1</t>
        </is>
      </c>
      <c r="G1166" t="inlineStr">
        <is>
          <t>C1</t>
        </is>
      </c>
      <c r="H1166" s="2" t="n">
        <v>46314.7125</v>
      </c>
      <c r="I1166" s="2" t="n">
        <v>46315.5625</v>
      </c>
      <c r="J1166" t="inlineStr">
        <is>
          <t>Completed</t>
        </is>
      </c>
      <c r="K1166" t="n">
        <v>5.84</v>
      </c>
      <c r="L1166" t="n">
        <v>12</v>
      </c>
      <c r="M1166" t="b">
        <v>0</v>
      </c>
      <c r="N1166" t="n">
        <v>0</v>
      </c>
      <c r="O1166" t="b">
        <v>1</v>
      </c>
      <c r="P1166" t="b">
        <v>0</v>
      </c>
      <c r="Q1166" t="b">
        <v>1</v>
      </c>
    </row>
    <row r="1167">
      <c r="A1167" t="inlineStr">
        <is>
          <t>REQ01166</t>
        </is>
      </c>
      <c r="B1167" t="inlineStr">
        <is>
          <t>529900EI1Y6PU2Z3FY88</t>
        </is>
      </c>
      <c r="C1167" t="inlineStr">
        <is>
          <t>data_amendment</t>
        </is>
      </c>
      <c r="D1167" s="2" t="n">
        <v>46314.69930555556</v>
      </c>
      <c r="E1167" s="2" t="n">
        <v>46315.65763888889</v>
      </c>
      <c r="F1167" t="inlineStr">
        <is>
          <t>M2</t>
        </is>
      </c>
      <c r="G1167" t="inlineStr">
        <is>
          <t>C1</t>
        </is>
      </c>
      <c r="H1167" s="2" t="n">
        <v>46314.7125</v>
      </c>
      <c r="I1167" s="2" t="n">
        <v>46314.72430555556</v>
      </c>
      <c r="J1167" t="inlineStr">
        <is>
          <t>Completed</t>
        </is>
      </c>
      <c r="K1167" t="n">
        <v>0.6</v>
      </c>
      <c r="L1167" t="n">
        <v>8</v>
      </c>
      <c r="M1167" t="b">
        <v>0</v>
      </c>
      <c r="N1167" t="n">
        <v>1</v>
      </c>
      <c r="O1167" t="b">
        <v>0</v>
      </c>
      <c r="P1167" t="b">
        <v>1</v>
      </c>
      <c r="Q1167" t="b">
        <v>0</v>
      </c>
    </row>
    <row r="1168">
      <c r="A1168" t="inlineStr">
        <is>
          <t>REQ01167</t>
        </is>
      </c>
      <c r="B1168" t="inlineStr">
        <is>
          <t>529900S6XLM8AYNKB461</t>
        </is>
      </c>
      <c r="C1168" t="inlineStr">
        <is>
          <t>signatory_change</t>
        </is>
      </c>
      <c r="D1168" s="2" t="n">
        <v>46314.70069444444</v>
      </c>
      <c r="E1168" s="2" t="n">
        <v>46315.65902777778</v>
      </c>
      <c r="F1168" t="inlineStr">
        <is>
          <t>M4</t>
        </is>
      </c>
      <c r="G1168" t="inlineStr">
        <is>
          <t>C2</t>
        </is>
      </c>
      <c r="H1168" s="2" t="n">
        <v>46314.72361111111</v>
      </c>
      <c r="I1168" s="2" t="n">
        <v>46314.73125</v>
      </c>
      <c r="J1168" t="inlineStr">
        <is>
          <t>Completed</t>
        </is>
      </c>
      <c r="K1168" t="n">
        <v>0.73</v>
      </c>
      <c r="L1168" t="n">
        <v>8</v>
      </c>
      <c r="M1168" t="b">
        <v>0</v>
      </c>
      <c r="N1168" t="n">
        <v>0</v>
      </c>
      <c r="O1168" t="b">
        <v>1</v>
      </c>
      <c r="P1168" t="b">
        <v>0</v>
      </c>
      <c r="Q1168" t="b">
        <v>0</v>
      </c>
    </row>
    <row r="1169">
      <c r="A1169" t="inlineStr">
        <is>
          <t>REQ01168</t>
        </is>
      </c>
      <c r="B1169" t="inlineStr">
        <is>
          <t>RMORFJ3FL57XQYFOW336</t>
        </is>
      </c>
      <c r="C1169" t="inlineStr">
        <is>
          <t>document_refresh</t>
        </is>
      </c>
      <c r="D1169" s="2" t="n">
        <v>46314.7125</v>
      </c>
      <c r="E1169" s="2" t="n">
        <v>46316.4625</v>
      </c>
      <c r="F1169" t="inlineStr">
        <is>
          <t>M5</t>
        </is>
      </c>
      <c r="G1169" t="inlineStr">
        <is>
          <t>C3</t>
        </is>
      </c>
      <c r="H1169" s="2" t="n">
        <v>46314.72291666667</v>
      </c>
      <c r="I1169" s="2" t="n">
        <v>46314.72777777778</v>
      </c>
      <c r="J1169" t="inlineStr">
        <is>
          <t>Completed</t>
        </is>
      </c>
      <c r="K1169" t="n">
        <v>0.36</v>
      </c>
      <c r="L1169" t="n">
        <v>12</v>
      </c>
      <c r="M1169" t="b">
        <v>0</v>
      </c>
      <c r="N1169" t="n">
        <v>0</v>
      </c>
      <c r="O1169" t="b">
        <v>1</v>
      </c>
      <c r="P1169" t="b">
        <v>0</v>
      </c>
      <c r="Q1169" t="b">
        <v>0</v>
      </c>
    </row>
    <row r="1170">
      <c r="A1170" t="inlineStr">
        <is>
          <t>REQ01169</t>
        </is>
      </c>
      <c r="B1170" t="inlineStr">
        <is>
          <t>529900ZTO2X6N70OBP86</t>
        </is>
      </c>
      <c r="C1170" t="inlineStr">
        <is>
          <t>document_refresh</t>
        </is>
      </c>
      <c r="D1170" s="2" t="n">
        <v>46314.71666666667</v>
      </c>
      <c r="E1170" s="2" t="n">
        <v>46316.46666666667</v>
      </c>
      <c r="F1170" t="inlineStr">
        <is>
          <t>M3</t>
        </is>
      </c>
      <c r="G1170" t="inlineStr">
        <is>
          <t>C1</t>
        </is>
      </c>
      <c r="H1170" s="2" t="n">
        <v>46314.73055555556</v>
      </c>
      <c r="I1170" s="2" t="n">
        <v>46314.73680555556</v>
      </c>
      <c r="J1170" t="inlineStr">
        <is>
          <t>Completed</t>
        </is>
      </c>
      <c r="K1170" t="n">
        <v>0.48</v>
      </c>
      <c r="L1170" t="n">
        <v>12</v>
      </c>
      <c r="M1170" t="b">
        <v>0</v>
      </c>
      <c r="N1170" t="n">
        <v>0</v>
      </c>
      <c r="O1170" t="b">
        <v>1</v>
      </c>
      <c r="P1170" t="b">
        <v>0</v>
      </c>
      <c r="Q1170" t="b">
        <v>0</v>
      </c>
    </row>
    <row r="1171">
      <c r="A1171" t="inlineStr">
        <is>
          <t>REQ01170</t>
        </is>
      </c>
      <c r="B1171" t="inlineStr">
        <is>
          <t>2138005NJTCVIESFNT95</t>
        </is>
      </c>
      <c r="C1171" t="inlineStr">
        <is>
          <t>data_amendment</t>
        </is>
      </c>
      <c r="D1171" s="2" t="n">
        <v>46314.72291666667</v>
      </c>
      <c r="E1171" s="2" t="n">
        <v>46315.68125</v>
      </c>
      <c r="F1171" t="inlineStr">
        <is>
          <t>M6</t>
        </is>
      </c>
      <c r="G1171" t="inlineStr">
        <is>
          <t>C3</t>
        </is>
      </c>
      <c r="H1171" s="2" t="n">
        <v>46314.73125</v>
      </c>
      <c r="I1171" s="2" t="n">
        <v>46314.73541666667</v>
      </c>
      <c r="J1171" t="inlineStr">
        <is>
          <t>Completed</t>
        </is>
      </c>
      <c r="K1171" t="n">
        <v>0.3</v>
      </c>
      <c r="L1171" t="n">
        <v>8</v>
      </c>
      <c r="M1171" t="b">
        <v>0</v>
      </c>
      <c r="N1171" t="n">
        <v>0</v>
      </c>
      <c r="O1171" t="b">
        <v>1</v>
      </c>
      <c r="P1171" t="b">
        <v>0</v>
      </c>
      <c r="Q1171" t="b">
        <v>0</v>
      </c>
    </row>
    <row r="1172">
      <c r="A1172" t="inlineStr">
        <is>
          <t>REQ01171</t>
        </is>
      </c>
      <c r="B1172" t="inlineStr">
        <is>
          <t>549300HYX81MEM486091</t>
        </is>
      </c>
      <c r="C1172" t="inlineStr">
        <is>
          <t>document_refresh</t>
        </is>
      </c>
      <c r="D1172" s="2" t="n">
        <v>46314.72638888889</v>
      </c>
      <c r="E1172" s="2" t="n">
        <v>46316.47638888889</v>
      </c>
      <c r="F1172" t="inlineStr">
        <is>
          <t>M1</t>
        </is>
      </c>
      <c r="G1172" t="inlineStr">
        <is>
          <t>C2</t>
        </is>
      </c>
      <c r="H1172" s="2" t="n">
        <v>46314.74236111111</v>
      </c>
      <c r="I1172" s="2" t="n">
        <v>46315.54930555556</v>
      </c>
      <c r="J1172" t="inlineStr">
        <is>
          <t>Completed</t>
        </is>
      </c>
      <c r="K1172" t="n">
        <v>4.76</v>
      </c>
      <c r="L1172" t="n">
        <v>12</v>
      </c>
      <c r="M1172" t="b">
        <v>0</v>
      </c>
      <c r="N1172" t="n">
        <v>0</v>
      </c>
      <c r="O1172" t="b">
        <v>1</v>
      </c>
      <c r="P1172" t="b">
        <v>0</v>
      </c>
      <c r="Q1172" t="b">
        <v>1</v>
      </c>
    </row>
    <row r="1173">
      <c r="A1173" t="inlineStr">
        <is>
          <t>REQ01172</t>
        </is>
      </c>
      <c r="B1173" t="inlineStr">
        <is>
          <t>7245004C075F2I2AZK87</t>
        </is>
      </c>
      <c r="C1173" t="inlineStr">
        <is>
          <t>document_refresh</t>
        </is>
      </c>
      <c r="D1173" s="2" t="n">
        <v>46314.73055555556</v>
      </c>
      <c r="E1173" s="2" t="n">
        <v>46316.48055555556</v>
      </c>
      <c r="F1173" t="inlineStr">
        <is>
          <t>M2</t>
        </is>
      </c>
      <c r="G1173" t="inlineStr">
        <is>
          <t>C1</t>
        </is>
      </c>
      <c r="H1173" s="2" t="n">
        <v>46314.74513888889</v>
      </c>
      <c r="I1173" s="2" t="n">
        <v>46315.375</v>
      </c>
      <c r="J1173" t="inlineStr">
        <is>
          <t>Completed</t>
        </is>
      </c>
      <c r="K1173" t="n">
        <v>0.46</v>
      </c>
      <c r="L1173" t="n">
        <v>12</v>
      </c>
      <c r="M1173" t="b">
        <v>0</v>
      </c>
      <c r="N1173" t="n">
        <v>0</v>
      </c>
      <c r="O1173" t="b">
        <v>1</v>
      </c>
      <c r="P1173" t="b">
        <v>0</v>
      </c>
      <c r="Q1173" t="b">
        <v>0</v>
      </c>
    </row>
    <row r="1174">
      <c r="A1174" t="inlineStr">
        <is>
          <t>REQ01173</t>
        </is>
      </c>
      <c r="B1174" t="inlineStr">
        <is>
          <t>25490026MOFG1LNYXQ22</t>
        </is>
      </c>
      <c r="C1174" t="inlineStr">
        <is>
          <t>signatory_change</t>
        </is>
      </c>
      <c r="D1174" s="2" t="n">
        <v>46314.73263888889</v>
      </c>
      <c r="E1174" s="2" t="n">
        <v>46315.69097222222</v>
      </c>
      <c r="F1174" t="inlineStr">
        <is>
          <t>M5</t>
        </is>
      </c>
      <c r="G1174" t="inlineStr">
        <is>
          <t>C1</t>
        </is>
      </c>
      <c r="H1174" s="2" t="n">
        <v>46315.375</v>
      </c>
      <c r="I1174" s="2" t="n">
        <v>46315.38055555556</v>
      </c>
      <c r="J1174" t="inlineStr">
        <is>
          <t>Completed</t>
        </is>
      </c>
      <c r="K1174" t="n">
        <v>0.5600000000000001</v>
      </c>
      <c r="L1174" t="n">
        <v>8</v>
      </c>
      <c r="M1174" t="b">
        <v>0</v>
      </c>
      <c r="N1174" t="n">
        <v>0</v>
      </c>
      <c r="O1174" t="b">
        <v>1</v>
      </c>
      <c r="P1174" t="b">
        <v>0</v>
      </c>
      <c r="Q1174" t="b">
        <v>0</v>
      </c>
    </row>
    <row r="1175">
      <c r="A1175" t="inlineStr">
        <is>
          <t>REQ01174</t>
        </is>
      </c>
      <c r="B1175" t="inlineStr">
        <is>
          <t>549300VCRTCUOR3UT324</t>
        </is>
      </c>
      <c r="C1175" t="inlineStr">
        <is>
          <t>document_refresh</t>
        </is>
      </c>
      <c r="D1175" s="2" t="n">
        <v>46314.73472222222</v>
      </c>
      <c r="E1175" s="2" t="n">
        <v>46316.48472222222</v>
      </c>
      <c r="F1175" t="inlineStr">
        <is>
          <t>M4</t>
        </is>
      </c>
      <c r="G1175" t="inlineStr">
        <is>
          <t>C2</t>
        </is>
      </c>
      <c r="H1175" s="2" t="n">
        <v>46314.74583333333</v>
      </c>
      <c r="I1175" s="2" t="n">
        <v>46315.49791666667</v>
      </c>
      <c r="J1175" t="inlineStr">
        <is>
          <t>Completed</t>
        </is>
      </c>
      <c r="K1175" t="n">
        <v>3.32</v>
      </c>
      <c r="L1175" t="n">
        <v>12</v>
      </c>
      <c r="M1175" t="b">
        <v>0</v>
      </c>
      <c r="N1175" t="n">
        <v>0</v>
      </c>
      <c r="O1175" t="b">
        <v>1</v>
      </c>
      <c r="P1175" t="b">
        <v>0</v>
      </c>
      <c r="Q1175" t="b">
        <v>1</v>
      </c>
    </row>
    <row r="1176">
      <c r="A1176" t="inlineStr">
        <is>
          <t>REQ01175</t>
        </is>
      </c>
      <c r="B1176" t="inlineStr">
        <is>
          <t>635400IDVZFM7YPKHY80</t>
        </is>
      </c>
      <c r="C1176" t="inlineStr">
        <is>
          <t>document_refresh</t>
        </is>
      </c>
      <c r="D1176" s="2" t="n">
        <v>46314.74305555555</v>
      </c>
      <c r="E1176" s="2" t="n">
        <v>46316.49305555555</v>
      </c>
      <c r="F1176" t="inlineStr">
        <is>
          <t>M3</t>
        </is>
      </c>
      <c r="G1176" t="inlineStr">
        <is>
          <t>C1</t>
        </is>
      </c>
      <c r="H1176" s="2" t="n">
        <v>46315.38194444445</v>
      </c>
      <c r="I1176" s="2" t="n">
        <v>46315.38611111111</v>
      </c>
      <c r="J1176" t="inlineStr">
        <is>
          <t>Completed</t>
        </is>
      </c>
      <c r="K1176" t="n">
        <v>0.43</v>
      </c>
      <c r="L1176" t="n">
        <v>12</v>
      </c>
      <c r="M1176" t="b">
        <v>0</v>
      </c>
      <c r="N1176" t="n">
        <v>0</v>
      </c>
      <c r="O1176" t="b">
        <v>1</v>
      </c>
      <c r="P1176" t="b">
        <v>0</v>
      </c>
      <c r="Q1176" t="b">
        <v>0</v>
      </c>
    </row>
    <row r="1177">
      <c r="A1177" t="inlineStr">
        <is>
          <t>REQ01176</t>
        </is>
      </c>
      <c r="B1177" t="inlineStr">
        <is>
          <t>213800NWXMMBOS5LAO07</t>
        </is>
      </c>
      <c r="C1177" t="inlineStr">
        <is>
          <t>new_account</t>
        </is>
      </c>
      <c r="D1177" s="2" t="n">
        <v>46315.38819444444</v>
      </c>
      <c r="E1177" s="2" t="n">
        <v>46316.67986111111</v>
      </c>
      <c r="F1177" t="inlineStr">
        <is>
          <t>M6</t>
        </is>
      </c>
      <c r="G1177" t="inlineStr">
        <is>
          <t>C2</t>
        </is>
      </c>
      <c r="H1177" s="2" t="n">
        <v>46315.42777777778</v>
      </c>
      <c r="I1177" s="2" t="n">
        <v>46315.54236111111</v>
      </c>
      <c r="J1177" t="inlineStr">
        <is>
          <t>Completed</t>
        </is>
      </c>
      <c r="K1177" t="n">
        <v>3.7</v>
      </c>
      <c r="L1177" t="n">
        <v>16</v>
      </c>
      <c r="M1177" t="b">
        <v>0</v>
      </c>
      <c r="N1177" t="n">
        <v>0</v>
      </c>
      <c r="O1177" t="b">
        <v>1</v>
      </c>
      <c r="P1177" t="b">
        <v>0</v>
      </c>
      <c r="Q1177" t="b">
        <v>1</v>
      </c>
    </row>
    <row r="1178">
      <c r="A1178" t="inlineStr">
        <is>
          <t>REQ01177</t>
        </is>
      </c>
      <c r="B1178" t="inlineStr">
        <is>
          <t>984500ED9A3810D01524</t>
        </is>
      </c>
      <c r="C1178" t="inlineStr">
        <is>
          <t>data_amendment</t>
        </is>
      </c>
      <c r="D1178" s="2" t="n">
        <v>46315.40069444444</v>
      </c>
      <c r="E1178" s="2" t="n">
        <v>46315.73402777778</v>
      </c>
      <c r="F1178" t="inlineStr">
        <is>
          <t>M1</t>
        </is>
      </c>
      <c r="G1178" t="inlineStr">
        <is>
          <t>C2</t>
        </is>
      </c>
      <c r="H1178" s="2" t="n">
        <v>46315.41319444445</v>
      </c>
      <c r="I1178" s="2" t="n">
        <v>46315.41666666666</v>
      </c>
      <c r="J1178" t="inlineStr">
        <is>
          <t>Completed</t>
        </is>
      </c>
      <c r="K1178" t="n">
        <v>0.38</v>
      </c>
      <c r="L1178" t="n">
        <v>8</v>
      </c>
      <c r="M1178" t="b">
        <v>0</v>
      </c>
      <c r="N1178" t="n">
        <v>0</v>
      </c>
      <c r="O1178" t="b">
        <v>1</v>
      </c>
      <c r="P1178" t="b">
        <v>0</v>
      </c>
      <c r="Q1178" t="b">
        <v>0</v>
      </c>
    </row>
    <row r="1179">
      <c r="A1179" t="inlineStr">
        <is>
          <t>REQ01178</t>
        </is>
      </c>
      <c r="B1179" t="inlineStr">
        <is>
          <t>529900BGT6GYPWN4C692</t>
        </is>
      </c>
      <c r="C1179" t="inlineStr">
        <is>
          <t>data_amendment</t>
        </is>
      </c>
      <c r="D1179" s="2" t="n">
        <v>46315.40833333333</v>
      </c>
      <c r="E1179" s="2" t="n">
        <v>46315.74166666667</v>
      </c>
      <c r="F1179" t="inlineStr">
        <is>
          <t>M2</t>
        </is>
      </c>
      <c r="G1179" t="inlineStr">
        <is>
          <t>C3</t>
        </is>
      </c>
      <c r="H1179" s="2" t="n">
        <v>46315.42083333333</v>
      </c>
      <c r="I1179" s="2" t="n">
        <v>46315.58333333334</v>
      </c>
      <c r="J1179" t="inlineStr">
        <is>
          <t>Completed</t>
        </is>
      </c>
      <c r="K1179" t="n">
        <v>4.21</v>
      </c>
      <c r="L1179" t="n">
        <v>8</v>
      </c>
      <c r="M1179" t="b">
        <v>0</v>
      </c>
      <c r="N1179" t="n">
        <v>0</v>
      </c>
      <c r="O1179" t="b">
        <v>1</v>
      </c>
      <c r="P1179" t="b">
        <v>0</v>
      </c>
      <c r="Q1179" t="b">
        <v>1</v>
      </c>
    </row>
    <row r="1180">
      <c r="A1180" t="inlineStr">
        <is>
          <t>REQ01179</t>
        </is>
      </c>
      <c r="B1180" t="inlineStr">
        <is>
          <t>969500X1GVGCX0M69F55</t>
        </is>
      </c>
      <c r="C1180" t="inlineStr">
        <is>
          <t>document_refresh</t>
        </is>
      </c>
      <c r="D1180" s="2" t="n">
        <v>46315.40833333333</v>
      </c>
      <c r="E1180" s="2" t="n">
        <v>46316.53333333333</v>
      </c>
      <c r="F1180" t="inlineStr">
        <is>
          <t>M4</t>
        </is>
      </c>
      <c r="G1180" t="inlineStr">
        <is>
          <t>C1</t>
        </is>
      </c>
      <c r="H1180" s="2" t="n">
        <v>46315.41944444444</v>
      </c>
      <c r="I1180" s="2" t="n">
        <v>46315.42638888889</v>
      </c>
      <c r="J1180" t="inlineStr">
        <is>
          <t>Completed</t>
        </is>
      </c>
      <c r="K1180" t="n">
        <v>0.43</v>
      </c>
      <c r="L1180" t="n">
        <v>12</v>
      </c>
      <c r="M1180" t="b">
        <v>0</v>
      </c>
      <c r="N1180" t="n">
        <v>0</v>
      </c>
      <c r="O1180" t="b">
        <v>1</v>
      </c>
      <c r="P1180" t="b">
        <v>0</v>
      </c>
      <c r="Q1180" t="b">
        <v>0</v>
      </c>
    </row>
    <row r="1181">
      <c r="A1181" t="inlineStr">
        <is>
          <t>REQ01180</t>
        </is>
      </c>
      <c r="B1181" t="inlineStr">
        <is>
          <t>2138008RZCZ8CQZGDJ66</t>
        </is>
      </c>
      <c r="C1181" t="inlineStr">
        <is>
          <t>signatory_change</t>
        </is>
      </c>
      <c r="D1181" s="2" t="n">
        <v>46315.41527777778</v>
      </c>
      <c r="E1181" s="2" t="n">
        <v>46315.74861111111</v>
      </c>
      <c r="F1181" t="inlineStr">
        <is>
          <t>M5</t>
        </is>
      </c>
      <c r="G1181" t="inlineStr">
        <is>
          <t>C1</t>
        </is>
      </c>
      <c r="H1181" s="2" t="n">
        <v>46315.43888888889</v>
      </c>
      <c r="I1181" s="2" t="n">
        <v>46315.59791666667</v>
      </c>
      <c r="J1181" t="inlineStr">
        <is>
          <t>Completed</t>
        </is>
      </c>
      <c r="K1181" t="n">
        <v>4.39</v>
      </c>
      <c r="L1181" t="n">
        <v>8</v>
      </c>
      <c r="M1181" t="b">
        <v>0</v>
      </c>
      <c r="N1181" t="n">
        <v>0</v>
      </c>
      <c r="O1181" t="b">
        <v>1</v>
      </c>
      <c r="P1181" t="b">
        <v>0</v>
      </c>
      <c r="Q1181" t="b">
        <v>1</v>
      </c>
    </row>
    <row r="1182">
      <c r="A1182" t="inlineStr">
        <is>
          <t>REQ01181</t>
        </is>
      </c>
      <c r="B1182" t="inlineStr">
        <is>
          <t>549300T534GKT30MUQ90</t>
        </is>
      </c>
      <c r="C1182" t="inlineStr">
        <is>
          <t>document_refresh</t>
        </is>
      </c>
      <c r="D1182" s="2" t="n">
        <v>46315.42361111111</v>
      </c>
      <c r="E1182" s="2" t="n">
        <v>46316.54861111111</v>
      </c>
      <c r="F1182" t="inlineStr">
        <is>
          <t>M3</t>
        </is>
      </c>
      <c r="G1182" t="inlineStr">
        <is>
          <t>C3</t>
        </is>
      </c>
      <c r="H1182" s="2" t="n">
        <v>46315.44097222222</v>
      </c>
      <c r="I1182" s="2" t="n">
        <v>46315.55972222222</v>
      </c>
      <c r="J1182" t="inlineStr">
        <is>
          <t>Completed</t>
        </is>
      </c>
      <c r="K1182" t="n">
        <v>3.27</v>
      </c>
      <c r="L1182" t="n">
        <v>12</v>
      </c>
      <c r="M1182" t="b">
        <v>0</v>
      </c>
      <c r="N1182" t="n">
        <v>0</v>
      </c>
      <c r="O1182" t="b">
        <v>1</v>
      </c>
      <c r="P1182" t="b">
        <v>0</v>
      </c>
      <c r="Q1182" t="b">
        <v>1</v>
      </c>
    </row>
    <row r="1183">
      <c r="A1183" t="inlineStr">
        <is>
          <t>REQ01182</t>
        </is>
      </c>
      <c r="B1183" t="inlineStr">
        <is>
          <t>549300W1474JG4MMMO30</t>
        </is>
      </c>
      <c r="C1183" t="inlineStr">
        <is>
          <t>signatory_change</t>
        </is>
      </c>
      <c r="D1183" s="2" t="n">
        <v>46315.42916666667</v>
      </c>
      <c r="E1183" s="2" t="n">
        <v>46316.3875</v>
      </c>
      <c r="F1183" t="inlineStr">
        <is>
          <t>M1</t>
        </is>
      </c>
      <c r="G1183" t="inlineStr">
        <is>
          <t>C2</t>
        </is>
      </c>
      <c r="H1183" s="2" t="n">
        <v>46315.44861111111</v>
      </c>
      <c r="I1183" s="2" t="n">
        <v>46315.45625</v>
      </c>
      <c r="J1183" t="inlineStr">
        <is>
          <t>Completed</t>
        </is>
      </c>
      <c r="K1183" t="n">
        <v>0.66</v>
      </c>
      <c r="L1183" t="n">
        <v>8</v>
      </c>
      <c r="M1183" t="b">
        <v>0</v>
      </c>
      <c r="N1183" t="n">
        <v>0</v>
      </c>
      <c r="O1183" t="b">
        <v>1</v>
      </c>
      <c r="P1183" t="b">
        <v>0</v>
      </c>
      <c r="Q1183" t="b">
        <v>0</v>
      </c>
    </row>
    <row r="1184">
      <c r="A1184" t="inlineStr">
        <is>
          <t>REQ01183</t>
        </is>
      </c>
      <c r="B1184" t="inlineStr">
        <is>
          <t>549300HNVWNGDLR2ZH51</t>
        </is>
      </c>
      <c r="C1184" t="inlineStr">
        <is>
          <t>data_amendment</t>
        </is>
      </c>
      <c r="D1184" s="2" t="n">
        <v>46315.43194444444</v>
      </c>
      <c r="E1184" s="2" t="n">
        <v>46316.39027777778</v>
      </c>
      <c r="F1184" t="inlineStr">
        <is>
          <t>M4</t>
        </is>
      </c>
      <c r="G1184" t="inlineStr">
        <is>
          <t>C1</t>
        </is>
      </c>
      <c r="H1184" s="2" t="n">
        <v>46315.44166666667</v>
      </c>
      <c r="I1184" s="2" t="n">
        <v>46315.44652777778</v>
      </c>
      <c r="J1184" t="inlineStr">
        <is>
          <t>Completed</t>
        </is>
      </c>
      <c r="K1184" t="n">
        <v>0.34</v>
      </c>
      <c r="L1184" t="n">
        <v>8</v>
      </c>
      <c r="M1184" t="b">
        <v>0</v>
      </c>
      <c r="N1184" t="n">
        <v>0</v>
      </c>
      <c r="O1184" t="b">
        <v>1</v>
      </c>
      <c r="P1184" t="b">
        <v>0</v>
      </c>
      <c r="Q1184" t="b">
        <v>0</v>
      </c>
    </row>
    <row r="1185">
      <c r="A1185" t="inlineStr">
        <is>
          <t>REQ01184</t>
        </is>
      </c>
      <c r="B1185" t="inlineStr">
        <is>
          <t>7245008H71XT7H7E1B49</t>
        </is>
      </c>
      <c r="C1185" t="inlineStr">
        <is>
          <t>new_account</t>
        </is>
      </c>
      <c r="D1185" s="2" t="n">
        <v>46315.43888888889</v>
      </c>
      <c r="E1185" s="2" t="n">
        <v>46316.73055555556</v>
      </c>
      <c r="F1185" t="inlineStr">
        <is>
          <t>M2</t>
        </is>
      </c>
      <c r="G1185" t="inlineStr">
        <is>
          <t>C1</t>
        </is>
      </c>
      <c r="H1185" s="2" t="n">
        <v>46315.46805555555</v>
      </c>
      <c r="I1185" s="2" t="n">
        <v>46315.47638888889</v>
      </c>
      <c r="J1185" t="inlineStr">
        <is>
          <t>Completed</t>
        </is>
      </c>
      <c r="K1185" t="n">
        <v>0.89</v>
      </c>
      <c r="L1185" t="n">
        <v>16</v>
      </c>
      <c r="M1185" t="b">
        <v>0</v>
      </c>
      <c r="N1185" t="n">
        <v>0</v>
      </c>
      <c r="O1185" t="b">
        <v>1</v>
      </c>
      <c r="P1185" t="b">
        <v>0</v>
      </c>
      <c r="Q1185" t="b">
        <v>0</v>
      </c>
    </row>
    <row r="1186">
      <c r="A1186" t="inlineStr">
        <is>
          <t>REQ01185</t>
        </is>
      </c>
      <c r="B1186" t="inlineStr">
        <is>
          <t>969500LIWYBRKGTDJR04</t>
        </is>
      </c>
      <c r="C1186" t="inlineStr">
        <is>
          <t>document_refresh</t>
        </is>
      </c>
      <c r="D1186" s="2" t="n">
        <v>46315.44583333333</v>
      </c>
      <c r="E1186" s="2" t="n">
        <v>46316.57083333333</v>
      </c>
      <c r="F1186" t="inlineStr">
        <is>
          <t>M6</t>
        </is>
      </c>
      <c r="G1186" t="inlineStr">
        <is>
          <t>C3</t>
        </is>
      </c>
      <c r="H1186" s="2" t="n">
        <v>46315.45902777778</v>
      </c>
      <c r="I1186" s="2" t="n">
        <v>46315.46319444444</v>
      </c>
      <c r="J1186" t="inlineStr">
        <is>
          <t>Completed</t>
        </is>
      </c>
      <c r="K1186" t="n">
        <v>0.42</v>
      </c>
      <c r="L1186" t="n">
        <v>12</v>
      </c>
      <c r="M1186" t="b">
        <v>0</v>
      </c>
      <c r="N1186" t="n">
        <v>0</v>
      </c>
      <c r="O1186" t="b">
        <v>1</v>
      </c>
      <c r="P1186" t="b">
        <v>0</v>
      </c>
      <c r="Q1186" t="b">
        <v>0</v>
      </c>
    </row>
    <row r="1187">
      <c r="A1187" t="inlineStr">
        <is>
          <t>REQ01186</t>
        </is>
      </c>
      <c r="B1187" t="inlineStr">
        <is>
          <t>984500E776J4A4962255</t>
        </is>
      </c>
      <c r="C1187" t="inlineStr">
        <is>
          <t>new_account</t>
        </is>
      </c>
      <c r="D1187" s="2" t="n">
        <v>46315.44583333333</v>
      </c>
      <c r="E1187" s="2" t="n">
        <v>46316.7375</v>
      </c>
      <c r="F1187" t="inlineStr">
        <is>
          <t>M5</t>
        </is>
      </c>
      <c r="G1187" t="inlineStr">
        <is>
          <t>C2</t>
        </is>
      </c>
      <c r="H1187" s="2" t="n">
        <v>46315.48472222222</v>
      </c>
      <c r="I1187" s="2" t="n">
        <v>46315.49305555555</v>
      </c>
      <c r="J1187" t="inlineStr">
        <is>
          <t>Completed</t>
        </is>
      </c>
      <c r="K1187" t="n">
        <v>1.13</v>
      </c>
      <c r="L1187" t="n">
        <v>16</v>
      </c>
      <c r="M1187" t="b">
        <v>0</v>
      </c>
      <c r="N1187" t="n">
        <v>0</v>
      </c>
      <c r="O1187" t="b">
        <v>1</v>
      </c>
      <c r="P1187" t="b">
        <v>0</v>
      </c>
      <c r="Q1187" t="b">
        <v>0</v>
      </c>
    </row>
    <row r="1188">
      <c r="A1188" t="inlineStr">
        <is>
          <t>REQ01187</t>
        </is>
      </c>
      <c r="B1188" t="inlineStr">
        <is>
          <t>7245009Z1D2D9L8CCV30</t>
        </is>
      </c>
      <c r="C1188" t="inlineStr">
        <is>
          <t>new_account</t>
        </is>
      </c>
      <c r="D1188" s="2" t="n">
        <v>46315.45208333333</v>
      </c>
      <c r="E1188" s="2" t="n">
        <v>46316.74375</v>
      </c>
      <c r="F1188" t="inlineStr">
        <is>
          <t>M3</t>
        </is>
      </c>
      <c r="G1188" t="inlineStr">
        <is>
          <t>C1</t>
        </is>
      </c>
      <c r="H1188" s="2" t="n">
        <v>46315.48402777778</v>
      </c>
      <c r="I1188" s="2" t="n">
        <v>46315.49652777778</v>
      </c>
      <c r="J1188" t="inlineStr">
        <is>
          <t>Completed</t>
        </is>
      </c>
      <c r="K1188" t="n">
        <v>1.07</v>
      </c>
      <c r="L1188" t="n">
        <v>16</v>
      </c>
      <c r="M1188" t="b">
        <v>0</v>
      </c>
      <c r="N1188" t="n">
        <v>0</v>
      </c>
      <c r="O1188" t="b">
        <v>1</v>
      </c>
      <c r="P1188" t="b">
        <v>0</v>
      </c>
      <c r="Q1188" t="b">
        <v>0</v>
      </c>
    </row>
    <row r="1189">
      <c r="A1189" t="inlineStr">
        <is>
          <t>REQ01188</t>
        </is>
      </c>
      <c r="B1189" t="inlineStr">
        <is>
          <t>335800G2BA6T3IQF5591</t>
        </is>
      </c>
      <c r="C1189" t="inlineStr">
        <is>
          <t>new_account</t>
        </is>
      </c>
      <c r="D1189" s="2" t="n">
        <v>46315.45277777778</v>
      </c>
      <c r="E1189" s="2" t="n">
        <v>46316.74444444444</v>
      </c>
      <c r="F1189" t="inlineStr">
        <is>
          <t>M4</t>
        </is>
      </c>
      <c r="G1189" t="inlineStr">
        <is>
          <t>C3</t>
        </is>
      </c>
      <c r="H1189" s="2" t="n">
        <v>46315.49027777778</v>
      </c>
      <c r="I1189" s="2" t="n">
        <v>46315.50486111111</v>
      </c>
      <c r="J1189" t="inlineStr">
        <is>
          <t>Completed</t>
        </is>
      </c>
      <c r="K1189" t="n">
        <v>1.26</v>
      </c>
      <c r="L1189" t="n">
        <v>16</v>
      </c>
      <c r="M1189" t="b">
        <v>0</v>
      </c>
      <c r="N1189" t="n">
        <v>0</v>
      </c>
      <c r="O1189" t="b">
        <v>1</v>
      </c>
      <c r="P1189" t="b">
        <v>0</v>
      </c>
      <c r="Q1189" t="b">
        <v>0</v>
      </c>
    </row>
    <row r="1190">
      <c r="A1190" t="inlineStr">
        <is>
          <t>REQ01189</t>
        </is>
      </c>
      <c r="B1190" t="inlineStr">
        <is>
          <t>5299009PEQPFXF07EH39</t>
        </is>
      </c>
      <c r="C1190" t="inlineStr">
        <is>
          <t>document_refresh</t>
        </is>
      </c>
      <c r="D1190" s="2" t="n">
        <v>46315.46458333333</v>
      </c>
      <c r="E1190" s="2" t="n">
        <v>46316.58958333333</v>
      </c>
      <c r="F1190" t="inlineStr">
        <is>
          <t>M1</t>
        </is>
      </c>
      <c r="G1190" t="inlineStr">
        <is>
          <t>C3</t>
        </is>
      </c>
      <c r="H1190" s="2" t="n">
        <v>46315.48194444444</v>
      </c>
      <c r="I1190" s="2" t="n">
        <v>46315.48680555556</v>
      </c>
      <c r="J1190" t="inlineStr">
        <is>
          <t>Completed</t>
        </is>
      </c>
      <c r="K1190" t="n">
        <v>0.54</v>
      </c>
      <c r="L1190" t="n">
        <v>12</v>
      </c>
      <c r="M1190" t="b">
        <v>0</v>
      </c>
      <c r="N1190" t="n">
        <v>0</v>
      </c>
      <c r="O1190" t="b">
        <v>1</v>
      </c>
      <c r="P1190" t="b">
        <v>0</v>
      </c>
      <c r="Q1190" t="b">
        <v>0</v>
      </c>
    </row>
    <row r="1191">
      <c r="A1191" t="inlineStr">
        <is>
          <t>REQ01190</t>
        </is>
      </c>
      <c r="B1191" t="inlineStr">
        <is>
          <t>549300YO3R1HI0UEDK46</t>
        </is>
      </c>
      <c r="C1191" t="inlineStr">
        <is>
          <t>new_account</t>
        </is>
      </c>
      <c r="D1191" s="2" t="n">
        <v>46315.47361111111</v>
      </c>
      <c r="E1191" s="2" t="n">
        <v>46317.39027777778</v>
      </c>
      <c r="F1191" t="inlineStr">
        <is>
          <t>M6</t>
        </is>
      </c>
      <c r="G1191" t="inlineStr">
        <is>
          <t>C2</t>
        </is>
      </c>
      <c r="H1191" s="2" t="n">
        <v>46315.49652777778</v>
      </c>
      <c r="I1191" s="2" t="n">
        <v>46315.62569444445</v>
      </c>
      <c r="J1191" t="inlineStr">
        <is>
          <t>Completed</t>
        </is>
      </c>
      <c r="K1191" t="n">
        <v>3.66</v>
      </c>
      <c r="L1191" t="n">
        <v>16</v>
      </c>
      <c r="M1191" t="b">
        <v>0</v>
      </c>
      <c r="N1191" t="n">
        <v>0</v>
      </c>
      <c r="O1191" t="b">
        <v>1</v>
      </c>
      <c r="P1191" t="b">
        <v>0</v>
      </c>
      <c r="Q1191" t="b">
        <v>1</v>
      </c>
    </row>
    <row r="1192">
      <c r="A1192" t="inlineStr">
        <is>
          <t>REQ01191</t>
        </is>
      </c>
      <c r="B1192" t="inlineStr">
        <is>
          <t>7245004YC191HFT2BG96</t>
        </is>
      </c>
      <c r="C1192" t="inlineStr">
        <is>
          <t>data_amendment</t>
        </is>
      </c>
      <c r="D1192" s="2" t="n">
        <v>46315.48194444444</v>
      </c>
      <c r="E1192" s="2" t="n">
        <v>46316.44027777778</v>
      </c>
      <c r="F1192" t="inlineStr">
        <is>
          <t>M2</t>
        </is>
      </c>
      <c r="G1192" t="inlineStr">
        <is>
          <t>C3</t>
        </is>
      </c>
      <c r="H1192" s="2" t="n">
        <v>46315.48958333334</v>
      </c>
      <c r="I1192" s="2" t="n">
        <v>46315.49305555555</v>
      </c>
      <c r="J1192" t="inlineStr">
        <is>
          <t>Completed</t>
        </is>
      </c>
      <c r="K1192" t="n">
        <v>0.27</v>
      </c>
      <c r="L1192" t="n">
        <v>8</v>
      </c>
      <c r="M1192" t="b">
        <v>0</v>
      </c>
      <c r="N1192" t="n">
        <v>0</v>
      </c>
      <c r="O1192" t="b">
        <v>1</v>
      </c>
      <c r="P1192" t="b">
        <v>0</v>
      </c>
      <c r="Q1192" t="b">
        <v>0</v>
      </c>
    </row>
    <row r="1193">
      <c r="A1193" t="inlineStr">
        <is>
          <t>REQ01192</t>
        </is>
      </c>
      <c r="B1193" t="inlineStr">
        <is>
          <t>2549009U0U8ZC2J2B666</t>
        </is>
      </c>
      <c r="C1193" t="inlineStr">
        <is>
          <t>new_account</t>
        </is>
      </c>
      <c r="D1193" s="2" t="n">
        <v>46315.48194444444</v>
      </c>
      <c r="E1193" s="2" t="n">
        <v>46317.39861111111</v>
      </c>
      <c r="F1193" t="inlineStr">
        <is>
          <t>M1</t>
        </is>
      </c>
      <c r="G1193" t="inlineStr">
        <is>
          <t>C1</t>
        </is>
      </c>
      <c r="H1193" s="2" t="n">
        <v>46315.5125</v>
      </c>
      <c r="I1193" s="2" t="n">
        <v>46315.74027777778</v>
      </c>
      <c r="J1193" t="inlineStr">
        <is>
          <t>Completed</t>
        </is>
      </c>
      <c r="K1193" t="n">
        <v>6.19</v>
      </c>
      <c r="L1193" t="n">
        <v>16</v>
      </c>
      <c r="M1193" t="b">
        <v>0</v>
      </c>
      <c r="N1193" t="n">
        <v>0</v>
      </c>
      <c r="O1193" t="b">
        <v>1</v>
      </c>
      <c r="P1193" t="b">
        <v>0</v>
      </c>
      <c r="Q1193" t="b">
        <v>1</v>
      </c>
    </row>
    <row r="1194">
      <c r="A1194" t="inlineStr">
        <is>
          <t>REQ01193</t>
        </is>
      </c>
      <c r="B1194" t="inlineStr">
        <is>
          <t>549300SIYIFRJHLOTE07</t>
        </is>
      </c>
      <c r="C1194" t="inlineStr">
        <is>
          <t>document_refresh</t>
        </is>
      </c>
      <c r="D1194" s="2" t="n">
        <v>46315.48402777778</v>
      </c>
      <c r="E1194" s="2" t="n">
        <v>46316.60902777778</v>
      </c>
      <c r="F1194" t="inlineStr">
        <is>
          <t>M3</t>
        </is>
      </c>
      <c r="G1194" t="inlineStr">
        <is>
          <t>C2</t>
        </is>
      </c>
      <c r="H1194" s="2" t="n">
        <v>46315.50138888889</v>
      </c>
      <c r="I1194" s="2" t="n">
        <v>46315.70138888889</v>
      </c>
      <c r="J1194" t="inlineStr">
        <is>
          <t>Completed</t>
        </is>
      </c>
      <c r="K1194" t="n">
        <v>5.21</v>
      </c>
      <c r="L1194" t="n">
        <v>12</v>
      </c>
      <c r="M1194" t="b">
        <v>0</v>
      </c>
      <c r="N1194" t="n">
        <v>0</v>
      </c>
      <c r="O1194" t="b">
        <v>1</v>
      </c>
      <c r="P1194" t="b">
        <v>0</v>
      </c>
      <c r="Q1194" t="b">
        <v>1</v>
      </c>
    </row>
    <row r="1195">
      <c r="A1195" t="inlineStr">
        <is>
          <t>REQ01194</t>
        </is>
      </c>
      <c r="B1195" t="inlineStr">
        <is>
          <t>648800XB9QL4PKDZWR64</t>
        </is>
      </c>
      <c r="C1195" t="inlineStr">
        <is>
          <t>document_refresh</t>
        </is>
      </c>
      <c r="D1195" s="2" t="n">
        <v>46315.48680555556</v>
      </c>
      <c r="E1195" s="2" t="n">
        <v>46316.61180555556</v>
      </c>
      <c r="F1195" t="inlineStr">
        <is>
          <t>M5</t>
        </is>
      </c>
      <c r="G1195" t="inlineStr">
        <is>
          <t>C1</t>
        </is>
      </c>
      <c r="H1195" s="2" t="n">
        <v>46315.49652777778</v>
      </c>
      <c r="I1195" s="2" t="n">
        <v>46315.50208333333</v>
      </c>
      <c r="J1195" t="inlineStr">
        <is>
          <t>Completed</t>
        </is>
      </c>
      <c r="K1195" t="n">
        <v>0.37</v>
      </c>
      <c r="L1195" t="n">
        <v>12</v>
      </c>
      <c r="M1195" t="b">
        <v>0</v>
      </c>
      <c r="N1195" t="n">
        <v>0</v>
      </c>
      <c r="O1195" t="b">
        <v>1</v>
      </c>
      <c r="P1195" t="b">
        <v>0</v>
      </c>
      <c r="Q1195" t="b">
        <v>0</v>
      </c>
    </row>
    <row r="1196">
      <c r="A1196" t="inlineStr">
        <is>
          <t>REQ01195</t>
        </is>
      </c>
      <c r="B1196" t="inlineStr">
        <is>
          <t>254900RP907LOJHNXP06</t>
        </is>
      </c>
      <c r="C1196" t="inlineStr">
        <is>
          <t>document_refresh</t>
        </is>
      </c>
      <c r="D1196" s="2" t="n">
        <v>46315.49583333333</v>
      </c>
      <c r="E1196" s="2" t="n">
        <v>46316.62083333333</v>
      </c>
      <c r="F1196" t="inlineStr">
        <is>
          <t>M2</t>
        </is>
      </c>
      <c r="G1196" t="inlineStr">
        <is>
          <t>C3</t>
        </is>
      </c>
      <c r="H1196" s="2" t="n">
        <v>46315.50833333333</v>
      </c>
      <c r="I1196" s="2" t="n">
        <v>46315.61388888889</v>
      </c>
      <c r="J1196" t="inlineStr">
        <is>
          <t>Completed</t>
        </is>
      </c>
      <c r="K1196" t="n">
        <v>2.83</v>
      </c>
      <c r="L1196" t="n">
        <v>12</v>
      </c>
      <c r="M1196" t="b">
        <v>0</v>
      </c>
      <c r="N1196" t="n">
        <v>0</v>
      </c>
      <c r="O1196" t="b">
        <v>1</v>
      </c>
      <c r="P1196" t="b">
        <v>0</v>
      </c>
      <c r="Q1196" t="b">
        <v>1</v>
      </c>
    </row>
    <row r="1197">
      <c r="A1197" t="inlineStr">
        <is>
          <t>REQ01196</t>
        </is>
      </c>
      <c r="B1197" t="inlineStr">
        <is>
          <t>254900H6EMQW59EZOG22</t>
        </is>
      </c>
      <c r="C1197" t="inlineStr">
        <is>
          <t>document_refresh</t>
        </is>
      </c>
      <c r="D1197" s="2" t="n">
        <v>46315.49722222222</v>
      </c>
      <c r="E1197" s="2" t="n">
        <v>46316.62222222222</v>
      </c>
      <c r="F1197" t="inlineStr">
        <is>
          <t>M4</t>
        </is>
      </c>
      <c r="G1197" t="inlineStr">
        <is>
          <t>C1</t>
        </is>
      </c>
      <c r="H1197" s="2" t="n">
        <v>46315.51458333333</v>
      </c>
      <c r="I1197" s="2" t="n">
        <v>46315.69652777778</v>
      </c>
      <c r="J1197" t="inlineStr">
        <is>
          <t>Completed</t>
        </is>
      </c>
      <c r="K1197" t="n">
        <v>4.78</v>
      </c>
      <c r="L1197" t="n">
        <v>12</v>
      </c>
      <c r="M1197" t="b">
        <v>0</v>
      </c>
      <c r="N1197" t="n">
        <v>0</v>
      </c>
      <c r="O1197" t="b">
        <v>1</v>
      </c>
      <c r="P1197" t="b">
        <v>0</v>
      </c>
      <c r="Q1197" t="b">
        <v>1</v>
      </c>
    </row>
    <row r="1198">
      <c r="A1198" t="inlineStr">
        <is>
          <t>REQ01197</t>
        </is>
      </c>
      <c r="B1198" t="inlineStr">
        <is>
          <t>2549007DDRIHOO46J109</t>
        </is>
      </c>
      <c r="C1198" t="inlineStr">
        <is>
          <t>new_account</t>
        </is>
      </c>
      <c r="D1198" s="2" t="n">
        <v>46315.49791666667</v>
      </c>
      <c r="E1198" s="2" t="n">
        <v>46317.41458333333</v>
      </c>
      <c r="F1198" t="inlineStr">
        <is>
          <t>M6</t>
        </is>
      </c>
      <c r="G1198" t="inlineStr">
        <is>
          <t>C3</t>
        </is>
      </c>
      <c r="H1198" s="2" t="n">
        <v>46315.53194444445</v>
      </c>
      <c r="I1198" s="2" t="n">
        <v>46315.54027777778</v>
      </c>
      <c r="J1198" t="inlineStr">
        <is>
          <t>Completed</t>
        </is>
      </c>
      <c r="K1198" t="n">
        <v>1.02</v>
      </c>
      <c r="L1198" t="n">
        <v>16</v>
      </c>
      <c r="M1198" t="b">
        <v>0</v>
      </c>
      <c r="N1198" t="n">
        <v>0</v>
      </c>
      <c r="O1198" t="b">
        <v>1</v>
      </c>
      <c r="P1198" t="b">
        <v>0</v>
      </c>
      <c r="Q1198" t="b">
        <v>0</v>
      </c>
    </row>
    <row r="1199">
      <c r="A1199" t="inlineStr">
        <is>
          <t>REQ01198</t>
        </is>
      </c>
      <c r="B1199" t="inlineStr">
        <is>
          <t>635400J31BEGFWUI4K25</t>
        </is>
      </c>
      <c r="C1199" t="inlineStr">
        <is>
          <t>data_amendment</t>
        </is>
      </c>
      <c r="D1199" s="2" t="n">
        <v>46315.50138888889</v>
      </c>
      <c r="E1199" s="2" t="n">
        <v>46316.45972222222</v>
      </c>
      <c r="F1199" t="inlineStr">
        <is>
          <t>M5</t>
        </is>
      </c>
      <c r="G1199" t="inlineStr">
        <is>
          <t>C1</t>
        </is>
      </c>
      <c r="H1199" s="2" t="n">
        <v>46315.51388888889</v>
      </c>
      <c r="I1199" s="2" t="n">
        <v>46315.62291666667</v>
      </c>
      <c r="J1199" t="inlineStr">
        <is>
          <t>Completed</t>
        </is>
      </c>
      <c r="K1199" t="n">
        <v>2.91</v>
      </c>
      <c r="L1199" t="n">
        <v>8</v>
      </c>
      <c r="M1199" t="b">
        <v>0</v>
      </c>
      <c r="N1199" t="n">
        <v>1</v>
      </c>
      <c r="O1199" t="b">
        <v>0</v>
      </c>
      <c r="P1199" t="b">
        <v>1</v>
      </c>
      <c r="Q1199" t="b">
        <v>1</v>
      </c>
    </row>
    <row r="1200">
      <c r="A1200" t="inlineStr">
        <is>
          <t>REQ01199</t>
        </is>
      </c>
      <c r="B1200" t="inlineStr">
        <is>
          <t>9845002BAB37A0CBE508</t>
        </is>
      </c>
      <c r="C1200" t="inlineStr">
        <is>
          <t>document_refresh</t>
        </is>
      </c>
      <c r="D1200" s="2" t="n">
        <v>46315.50902777778</v>
      </c>
      <c r="E1200" s="2" t="n">
        <v>46316.63402777778</v>
      </c>
      <c r="F1200" t="inlineStr">
        <is>
          <t>M3</t>
        </is>
      </c>
      <c r="G1200" t="inlineStr">
        <is>
          <t>C3</t>
        </is>
      </c>
      <c r="H1200" s="2" t="n">
        <v>46315.52013888889</v>
      </c>
      <c r="I1200" s="2" t="n">
        <v>46315.525</v>
      </c>
      <c r="J1200" t="inlineStr">
        <is>
          <t>Completed</t>
        </is>
      </c>
      <c r="K1200" t="n">
        <v>0.38</v>
      </c>
      <c r="L1200" t="n">
        <v>12</v>
      </c>
      <c r="M1200" t="b">
        <v>0</v>
      </c>
      <c r="N1200" t="n">
        <v>0</v>
      </c>
      <c r="O1200" t="b">
        <v>1</v>
      </c>
      <c r="P1200" t="b">
        <v>0</v>
      </c>
      <c r="Q1200" t="b">
        <v>0</v>
      </c>
    </row>
    <row r="1201">
      <c r="A1201" t="inlineStr">
        <is>
          <t>REQ01200</t>
        </is>
      </c>
      <c r="B1201" t="inlineStr">
        <is>
          <t>9695005OWLW5FHAKOT32</t>
        </is>
      </c>
      <c r="C1201" t="inlineStr">
        <is>
          <t>new_account</t>
        </is>
      </c>
      <c r="D1201" s="2" t="n">
        <v>46315.51111111111</v>
      </c>
      <c r="E1201" s="2" t="n">
        <v>46317.42777777778</v>
      </c>
      <c r="F1201" t="inlineStr">
        <is>
          <t>M2</t>
        </is>
      </c>
      <c r="G1201" t="inlineStr">
        <is>
          <t>C3</t>
        </is>
      </c>
      <c r="H1201" s="2" t="n">
        <v>46315.53958333333</v>
      </c>
      <c r="I1201" s="2" t="n">
        <v>46315.55</v>
      </c>
      <c r="J1201" t="inlineStr">
        <is>
          <t>Completed</t>
        </is>
      </c>
      <c r="K1201" t="n">
        <v>0.93</v>
      </c>
      <c r="L1201" t="n">
        <v>16</v>
      </c>
      <c r="M1201" t="b">
        <v>0</v>
      </c>
      <c r="N1201" t="n">
        <v>0</v>
      </c>
      <c r="O1201" t="b">
        <v>1</v>
      </c>
      <c r="P1201" t="b">
        <v>0</v>
      </c>
      <c r="Q1201" t="b">
        <v>0</v>
      </c>
    </row>
    <row r="1202">
      <c r="A1202" t="inlineStr">
        <is>
          <t>REQ01201</t>
        </is>
      </c>
      <c r="B1202" t="inlineStr">
        <is>
          <t>529900AR497RB9EEUY26</t>
        </is>
      </c>
      <c r="C1202" t="inlineStr">
        <is>
          <t>new_account</t>
        </is>
      </c>
      <c r="D1202" s="2" t="n">
        <v>46315.5125</v>
      </c>
      <c r="E1202" s="2" t="n">
        <v>46317.42916666667</v>
      </c>
      <c r="F1202" t="inlineStr">
        <is>
          <t>M1</t>
        </is>
      </c>
      <c r="G1202" t="inlineStr">
        <is>
          <t>C3</t>
        </is>
      </c>
      <c r="H1202" s="2" t="n">
        <v>46315.55208333334</v>
      </c>
      <c r="I1202" s="2" t="n">
        <v>46315.67916666667</v>
      </c>
      <c r="J1202" t="inlineStr">
        <is>
          <t>Completed</t>
        </is>
      </c>
      <c r="K1202" t="n">
        <v>3.99</v>
      </c>
      <c r="L1202" t="n">
        <v>16</v>
      </c>
      <c r="M1202" t="b">
        <v>0</v>
      </c>
      <c r="N1202" t="n">
        <v>0</v>
      </c>
      <c r="O1202" t="b">
        <v>1</v>
      </c>
      <c r="P1202" t="b">
        <v>0</v>
      </c>
      <c r="Q1202" t="b">
        <v>1</v>
      </c>
    </row>
    <row r="1203">
      <c r="A1203" t="inlineStr">
        <is>
          <t>REQ01202</t>
        </is>
      </c>
      <c r="B1203" t="inlineStr">
        <is>
          <t>724500VEF15B634V6I24</t>
        </is>
      </c>
      <c r="C1203" t="inlineStr">
        <is>
          <t>document_refresh</t>
        </is>
      </c>
      <c r="D1203" s="2" t="n">
        <v>46315.51527777778</v>
      </c>
      <c r="E1203" s="2" t="n">
        <v>46316.64027777778</v>
      </c>
      <c r="F1203" t="inlineStr">
        <is>
          <t>M5</t>
        </is>
      </c>
      <c r="G1203" t="inlineStr">
        <is>
          <t>C2</t>
        </is>
      </c>
      <c r="H1203" s="2" t="n">
        <v>46315.52847222222</v>
      </c>
      <c r="I1203" s="2" t="n">
        <v>46316.3875</v>
      </c>
      <c r="J1203" t="inlineStr">
        <is>
          <t>Completed</t>
        </is>
      </c>
      <c r="K1203" t="n">
        <v>5.94</v>
      </c>
      <c r="L1203" t="n">
        <v>12</v>
      </c>
      <c r="M1203" t="b">
        <v>0</v>
      </c>
      <c r="N1203" t="n">
        <v>0</v>
      </c>
      <c r="O1203" t="b">
        <v>1</v>
      </c>
      <c r="P1203" t="b">
        <v>0</v>
      </c>
      <c r="Q1203" t="b">
        <v>1</v>
      </c>
    </row>
    <row r="1204">
      <c r="A1204" t="inlineStr">
        <is>
          <t>REQ01203</t>
        </is>
      </c>
      <c r="B1204" t="inlineStr">
        <is>
          <t>2549002UMRGJDXB9S580</t>
        </is>
      </c>
      <c r="C1204" t="inlineStr">
        <is>
          <t>signatory_change</t>
        </is>
      </c>
      <c r="D1204" s="2" t="n">
        <v>46315.51736111111</v>
      </c>
      <c r="E1204" s="2" t="n">
        <v>46316.47569444445</v>
      </c>
      <c r="F1204" t="inlineStr">
        <is>
          <t>M4</t>
        </is>
      </c>
      <c r="G1204" t="inlineStr">
        <is>
          <t>C1</t>
        </is>
      </c>
      <c r="H1204" s="2" t="n">
        <v>46315.53888888889</v>
      </c>
      <c r="I1204" s="2" t="n">
        <v>46315.54722222222</v>
      </c>
      <c r="J1204" t="inlineStr">
        <is>
          <t>Completed</t>
        </is>
      </c>
      <c r="K1204" t="n">
        <v>0.72</v>
      </c>
      <c r="L1204" t="n">
        <v>8</v>
      </c>
      <c r="M1204" t="b">
        <v>0</v>
      </c>
      <c r="N1204" t="n">
        <v>0</v>
      </c>
      <c r="O1204" t="b">
        <v>1</v>
      </c>
      <c r="P1204" t="b">
        <v>0</v>
      </c>
      <c r="Q1204" t="b">
        <v>0</v>
      </c>
    </row>
    <row r="1205">
      <c r="A1205" t="inlineStr">
        <is>
          <t>REQ01204</t>
        </is>
      </c>
      <c r="B1205" t="inlineStr">
        <is>
          <t>2138004E1LSJJA4ZF265</t>
        </is>
      </c>
      <c r="C1205" t="inlineStr">
        <is>
          <t>signatory_change</t>
        </is>
      </c>
      <c r="D1205" s="2" t="n">
        <v>46315.53402777778</v>
      </c>
      <c r="E1205" s="2" t="n">
        <v>46316.49236111111</v>
      </c>
      <c r="F1205" t="inlineStr">
        <is>
          <t>M3</t>
        </is>
      </c>
      <c r="G1205" t="inlineStr">
        <is>
          <t>C2</t>
        </is>
      </c>
      <c r="H1205" s="2" t="n">
        <v>46315.55138888889</v>
      </c>
      <c r="I1205" s="2" t="n">
        <v>46316.40069444444</v>
      </c>
      <c r="J1205" t="inlineStr">
        <is>
          <t>Completed</t>
        </is>
      </c>
      <c r="K1205" t="n">
        <v>5.8</v>
      </c>
      <c r="L1205" t="n">
        <v>8</v>
      </c>
      <c r="M1205" t="b">
        <v>0</v>
      </c>
      <c r="N1205" t="n">
        <v>0</v>
      </c>
      <c r="O1205" t="b">
        <v>1</v>
      </c>
      <c r="P1205" t="b">
        <v>0</v>
      </c>
      <c r="Q1205" t="b">
        <v>1</v>
      </c>
    </row>
    <row r="1206">
      <c r="A1206" t="inlineStr">
        <is>
          <t>REQ01205</t>
        </is>
      </c>
      <c r="B1206" t="inlineStr">
        <is>
          <t>96950067I1SF4DNYR073</t>
        </is>
      </c>
      <c r="C1206" t="inlineStr">
        <is>
          <t>new_account</t>
        </is>
      </c>
      <c r="D1206" s="2" t="n">
        <v>46315.53611111111</v>
      </c>
      <c r="E1206" s="2" t="n">
        <v>46317.45277777778</v>
      </c>
      <c r="F1206" t="inlineStr">
        <is>
          <t>M5</t>
        </is>
      </c>
      <c r="G1206" t="inlineStr">
        <is>
          <t>C1</t>
        </is>
      </c>
      <c r="H1206" s="2" t="n">
        <v>46315.56527777778</v>
      </c>
      <c r="I1206" s="2" t="n">
        <v>46316.45208333333</v>
      </c>
      <c r="J1206" t="inlineStr">
        <is>
          <t>Completed</t>
        </is>
      </c>
      <c r="K1206" t="n">
        <v>6.98</v>
      </c>
      <c r="L1206" t="n">
        <v>16</v>
      </c>
      <c r="M1206" t="b">
        <v>0</v>
      </c>
      <c r="N1206" t="n">
        <v>0</v>
      </c>
      <c r="O1206" t="b">
        <v>1</v>
      </c>
      <c r="P1206" t="b">
        <v>0</v>
      </c>
      <c r="Q1206" t="b">
        <v>1</v>
      </c>
    </row>
    <row r="1207">
      <c r="A1207" t="inlineStr">
        <is>
          <t>REQ01206</t>
        </is>
      </c>
      <c r="B1207" t="inlineStr">
        <is>
          <t>5493008XCM2W7NJ76T84</t>
        </is>
      </c>
      <c r="C1207" t="inlineStr">
        <is>
          <t>new_account</t>
        </is>
      </c>
      <c r="D1207" s="2" t="n">
        <v>46315.53819444445</v>
      </c>
      <c r="E1207" s="2" t="n">
        <v>46317.45486111111</v>
      </c>
      <c r="F1207" t="inlineStr">
        <is>
          <t>M6</t>
        </is>
      </c>
      <c r="G1207" t="inlineStr">
        <is>
          <t>C1</t>
        </is>
      </c>
      <c r="H1207" s="2" t="n">
        <v>46315.56319444445</v>
      </c>
      <c r="I1207" s="2" t="n">
        <v>46316.43125</v>
      </c>
      <c r="J1207" t="inlineStr">
        <is>
          <t>Completed</t>
        </is>
      </c>
      <c r="K1207" t="n">
        <v>6.43</v>
      </c>
      <c r="L1207" t="n">
        <v>16</v>
      </c>
      <c r="M1207" t="b">
        <v>0</v>
      </c>
      <c r="N1207" t="n">
        <v>0</v>
      </c>
      <c r="O1207" t="b">
        <v>1</v>
      </c>
      <c r="P1207" t="b">
        <v>0</v>
      </c>
      <c r="Q1207" t="b">
        <v>1</v>
      </c>
    </row>
    <row r="1208">
      <c r="A1208" t="inlineStr">
        <is>
          <t>REQ01207</t>
        </is>
      </c>
      <c r="B1208" t="inlineStr">
        <is>
          <t>724500KW9DWUULXAL259</t>
        </is>
      </c>
      <c r="C1208" t="inlineStr">
        <is>
          <t>new_account</t>
        </is>
      </c>
      <c r="D1208" s="2" t="n">
        <v>46315.54027777778</v>
      </c>
      <c r="E1208" s="2" t="n">
        <v>46317.45694444444</v>
      </c>
      <c r="F1208" t="inlineStr">
        <is>
          <t>M4</t>
        </is>
      </c>
      <c r="G1208" t="inlineStr">
        <is>
          <t>C2</t>
        </is>
      </c>
      <c r="H1208" s="2" t="n">
        <v>46315.57569444444</v>
      </c>
      <c r="I1208" s="2" t="n">
        <v>46316.45763888889</v>
      </c>
      <c r="J1208" t="inlineStr">
        <is>
          <t>Completed</t>
        </is>
      </c>
      <c r="K1208" t="n">
        <v>7.01</v>
      </c>
      <c r="L1208" t="n">
        <v>16</v>
      </c>
      <c r="M1208" t="b">
        <v>0</v>
      </c>
      <c r="N1208" t="n">
        <v>0</v>
      </c>
      <c r="O1208" t="b">
        <v>1</v>
      </c>
      <c r="P1208" t="b">
        <v>0</v>
      </c>
      <c r="Q1208" t="b">
        <v>1</v>
      </c>
    </row>
    <row r="1209">
      <c r="A1209" t="inlineStr">
        <is>
          <t>REQ01208</t>
        </is>
      </c>
      <c r="B1209" t="inlineStr">
        <is>
          <t>3358005BZJVORYNP1A55</t>
        </is>
      </c>
      <c r="C1209" t="inlineStr">
        <is>
          <t>document_refresh</t>
        </is>
      </c>
      <c r="D1209" s="2" t="n">
        <v>46315.54444444444</v>
      </c>
      <c r="E1209" s="2" t="n">
        <v>46316.66944444444</v>
      </c>
      <c r="F1209" t="inlineStr">
        <is>
          <t>M2</t>
        </is>
      </c>
      <c r="G1209" t="inlineStr">
        <is>
          <t>C2</t>
        </is>
      </c>
      <c r="H1209" s="2" t="n">
        <v>46315.55902777778</v>
      </c>
      <c r="I1209" s="2" t="n">
        <v>46315.56319444445</v>
      </c>
      <c r="J1209" t="inlineStr">
        <is>
          <t>Completed</t>
        </is>
      </c>
      <c r="K1209" t="n">
        <v>0.46</v>
      </c>
      <c r="L1209" t="n">
        <v>12</v>
      </c>
      <c r="M1209" t="b">
        <v>0</v>
      </c>
      <c r="N1209" t="n">
        <v>0</v>
      </c>
      <c r="O1209" t="b">
        <v>1</v>
      </c>
      <c r="P1209" t="b">
        <v>0</v>
      </c>
      <c r="Q1209" t="b">
        <v>0</v>
      </c>
    </row>
    <row r="1210">
      <c r="A1210" t="inlineStr">
        <is>
          <t>REQ01209</t>
        </is>
      </c>
      <c r="B1210" t="inlineStr">
        <is>
          <t>391200G8T9ZUVDWK0664</t>
        </is>
      </c>
      <c r="C1210" t="inlineStr">
        <is>
          <t>document_refresh</t>
        </is>
      </c>
      <c r="D1210" s="2" t="n">
        <v>46315.54652777778</v>
      </c>
      <c r="E1210" s="2" t="n">
        <v>46316.67152777778</v>
      </c>
      <c r="F1210" t="inlineStr">
        <is>
          <t>M3</t>
        </is>
      </c>
      <c r="G1210" t="inlineStr">
        <is>
          <t>C3</t>
        </is>
      </c>
      <c r="H1210" s="2" t="n">
        <v>46315.56180555555</v>
      </c>
      <c r="I1210" s="2" t="n">
        <v>46315.56597222222</v>
      </c>
      <c r="J1210" t="inlineStr">
        <is>
          <t>Completed</t>
        </is>
      </c>
      <c r="K1210" t="n">
        <v>0.46</v>
      </c>
      <c r="L1210" t="n">
        <v>12</v>
      </c>
      <c r="M1210" t="b">
        <v>0</v>
      </c>
      <c r="N1210" t="n">
        <v>0</v>
      </c>
      <c r="O1210" t="b">
        <v>1</v>
      </c>
      <c r="P1210" t="b">
        <v>0</v>
      </c>
      <c r="Q1210" t="b">
        <v>0</v>
      </c>
    </row>
    <row r="1211">
      <c r="A1211" t="inlineStr">
        <is>
          <t>REQ01210</t>
        </is>
      </c>
      <c r="B1211" t="inlineStr">
        <is>
          <t>9695007S4HM77UCXBL98</t>
        </is>
      </c>
      <c r="C1211" t="inlineStr">
        <is>
          <t>document_refresh</t>
        </is>
      </c>
      <c r="D1211" s="2" t="n">
        <v>46315.55</v>
      </c>
      <c r="E1211" s="2" t="n">
        <v>46316.675</v>
      </c>
      <c r="F1211" t="inlineStr">
        <is>
          <t>M1</t>
        </is>
      </c>
      <c r="G1211" t="inlineStr">
        <is>
          <t>C1</t>
        </is>
      </c>
      <c r="H1211" s="2" t="n">
        <v>46315.56666666667</v>
      </c>
      <c r="I1211" s="2" t="n">
        <v>46315.57152777778</v>
      </c>
      <c r="J1211" t="inlineStr">
        <is>
          <t>Completed</t>
        </is>
      </c>
      <c r="K1211" t="n">
        <v>0.52</v>
      </c>
      <c r="L1211" t="n">
        <v>12</v>
      </c>
      <c r="M1211" t="b">
        <v>0</v>
      </c>
      <c r="N1211" t="n">
        <v>0</v>
      </c>
      <c r="O1211" t="b">
        <v>1</v>
      </c>
      <c r="P1211" t="b">
        <v>0</v>
      </c>
      <c r="Q1211" t="b">
        <v>0</v>
      </c>
    </row>
    <row r="1212">
      <c r="A1212" t="inlineStr">
        <is>
          <t>REQ01211</t>
        </is>
      </c>
      <c r="B1212" t="inlineStr">
        <is>
          <t>549300LFO2ETYPK1HG48</t>
        </is>
      </c>
      <c r="C1212" t="inlineStr">
        <is>
          <t>document_refresh</t>
        </is>
      </c>
      <c r="D1212" s="2" t="n">
        <v>46315.55763888889</v>
      </c>
      <c r="E1212" s="2" t="n">
        <v>46316.68263888889</v>
      </c>
      <c r="F1212" t="inlineStr">
        <is>
          <t>M2</t>
        </is>
      </c>
      <c r="G1212" t="inlineStr">
        <is>
          <t>C2</t>
        </is>
      </c>
      <c r="H1212" s="2" t="n">
        <v>46315.56944444445</v>
      </c>
      <c r="I1212" s="2" t="n">
        <v>46315.74027777778</v>
      </c>
      <c r="J1212" t="inlineStr">
        <is>
          <t>Completed</t>
        </is>
      </c>
      <c r="K1212" t="n">
        <v>4.38</v>
      </c>
      <c r="L1212" t="n">
        <v>12</v>
      </c>
      <c r="M1212" t="b">
        <v>0</v>
      </c>
      <c r="N1212" t="n">
        <v>0</v>
      </c>
      <c r="O1212" t="b">
        <v>1</v>
      </c>
      <c r="P1212" t="b">
        <v>0</v>
      </c>
      <c r="Q1212" t="b">
        <v>1</v>
      </c>
    </row>
    <row r="1213">
      <c r="A1213" t="inlineStr">
        <is>
          <t>REQ01212</t>
        </is>
      </c>
      <c r="B1213" t="inlineStr">
        <is>
          <t>894500M6NACGG2KWVN44</t>
        </is>
      </c>
      <c r="C1213" t="inlineStr">
        <is>
          <t>data_amendment</t>
        </is>
      </c>
      <c r="D1213" s="2" t="n">
        <v>46315.55902777778</v>
      </c>
      <c r="E1213" s="2" t="n">
        <v>46316.51736111111</v>
      </c>
      <c r="F1213" t="inlineStr">
        <is>
          <t>M3</t>
        </is>
      </c>
      <c r="G1213" t="inlineStr">
        <is>
          <t>C1</t>
        </is>
      </c>
      <c r="H1213" s="2" t="n">
        <v>46315.57222222222</v>
      </c>
      <c r="I1213" s="2" t="n">
        <v>46315.72916666666</v>
      </c>
      <c r="J1213" t="inlineStr">
        <is>
          <t>Completed</t>
        </is>
      </c>
      <c r="K1213" t="n">
        <v>4.08</v>
      </c>
      <c r="L1213" t="n">
        <v>8</v>
      </c>
      <c r="M1213" t="b">
        <v>0</v>
      </c>
      <c r="N1213" t="n">
        <v>0</v>
      </c>
      <c r="O1213" t="b">
        <v>1</v>
      </c>
      <c r="P1213" t="b">
        <v>0</v>
      </c>
      <c r="Q1213" t="b">
        <v>1</v>
      </c>
    </row>
    <row r="1214">
      <c r="A1214" t="inlineStr">
        <is>
          <t>REQ01213</t>
        </is>
      </c>
      <c r="B1214" t="inlineStr">
        <is>
          <t>529900KHGO0G5F85XP47</t>
        </is>
      </c>
      <c r="C1214" t="inlineStr">
        <is>
          <t>data_amendment</t>
        </is>
      </c>
      <c r="D1214" s="2" t="n">
        <v>46315.56597222222</v>
      </c>
      <c r="E1214" s="2" t="n">
        <v>46316.52430555555</v>
      </c>
      <c r="F1214" t="inlineStr">
        <is>
          <t>M6</t>
        </is>
      </c>
      <c r="G1214" t="inlineStr">
        <is>
          <t>C2</t>
        </is>
      </c>
      <c r="H1214" s="2" t="n">
        <v>46315.57847222222</v>
      </c>
      <c r="I1214" s="2" t="n">
        <v>46315.59305555555</v>
      </c>
      <c r="J1214" t="inlineStr">
        <is>
          <t>Completed</t>
        </is>
      </c>
      <c r="K1214" t="n">
        <v>0.65</v>
      </c>
      <c r="L1214" t="n">
        <v>8</v>
      </c>
      <c r="M1214" t="b">
        <v>0</v>
      </c>
      <c r="N1214" t="n">
        <v>1</v>
      </c>
      <c r="O1214" t="b">
        <v>0</v>
      </c>
      <c r="P1214" t="b">
        <v>1</v>
      </c>
      <c r="Q1214" t="b">
        <v>0</v>
      </c>
    </row>
    <row r="1215">
      <c r="A1215" t="inlineStr">
        <is>
          <t>REQ01214</t>
        </is>
      </c>
      <c r="B1215" t="inlineStr">
        <is>
          <t>724500GG2S5DPQ6OM792</t>
        </is>
      </c>
      <c r="C1215" t="inlineStr">
        <is>
          <t>new_account</t>
        </is>
      </c>
      <c r="D1215" s="2" t="n">
        <v>46315.56944444445</v>
      </c>
      <c r="E1215" s="2" t="n">
        <v>46317.48611111111</v>
      </c>
      <c r="F1215" t="inlineStr">
        <is>
          <t>M5</t>
        </is>
      </c>
      <c r="G1215" t="inlineStr">
        <is>
          <t>C2</t>
        </is>
      </c>
      <c r="H1215" s="2" t="n">
        <v>46315.60416666666</v>
      </c>
      <c r="I1215" s="2" t="n">
        <v>46315.61736111111</v>
      </c>
      <c r="J1215" t="inlineStr">
        <is>
          <t>Completed</t>
        </is>
      </c>
      <c r="K1215" t="n">
        <v>1.15</v>
      </c>
      <c r="L1215" t="n">
        <v>16</v>
      </c>
      <c r="M1215" t="b">
        <v>0</v>
      </c>
      <c r="N1215" t="n">
        <v>0</v>
      </c>
      <c r="O1215" t="b">
        <v>1</v>
      </c>
      <c r="P1215" t="b">
        <v>0</v>
      </c>
      <c r="Q1215" t="b">
        <v>0</v>
      </c>
    </row>
    <row r="1216">
      <c r="A1216" t="inlineStr">
        <is>
          <t>REQ01215</t>
        </is>
      </c>
      <c r="B1216" t="inlineStr">
        <is>
          <t>549300XMM86G232BM362</t>
        </is>
      </c>
      <c r="C1216" t="inlineStr">
        <is>
          <t>signatory_change</t>
        </is>
      </c>
      <c r="D1216" s="2" t="n">
        <v>46315.57777777778</v>
      </c>
      <c r="E1216" s="2" t="n">
        <v>46316.53611111111</v>
      </c>
      <c r="F1216" t="inlineStr">
        <is>
          <t>M1</t>
        </is>
      </c>
      <c r="G1216" t="inlineStr">
        <is>
          <t>C2</t>
        </is>
      </c>
      <c r="H1216" s="2" t="n">
        <v>46315.59444444445</v>
      </c>
      <c r="I1216" s="2" t="n">
        <v>46315.73125</v>
      </c>
      <c r="J1216" t="inlineStr">
        <is>
          <t>Completed</t>
        </is>
      </c>
      <c r="K1216" t="n">
        <v>3.69</v>
      </c>
      <c r="L1216" t="n">
        <v>8</v>
      </c>
      <c r="M1216" t="b">
        <v>0</v>
      </c>
      <c r="N1216" t="n">
        <v>0</v>
      </c>
      <c r="O1216" t="b">
        <v>1</v>
      </c>
      <c r="P1216" t="b">
        <v>0</v>
      </c>
      <c r="Q1216" t="b">
        <v>1</v>
      </c>
    </row>
    <row r="1217">
      <c r="A1217" t="inlineStr">
        <is>
          <t>REQ01216</t>
        </is>
      </c>
      <c r="B1217" t="inlineStr">
        <is>
          <t>5493000YSAXJ762I4297</t>
        </is>
      </c>
      <c r="C1217" t="inlineStr">
        <is>
          <t>new_account</t>
        </is>
      </c>
      <c r="D1217" s="2" t="n">
        <v>46315.58888888889</v>
      </c>
      <c r="E1217" s="2" t="n">
        <v>46317.50555555556</v>
      </c>
      <c r="F1217" t="inlineStr">
        <is>
          <t>M2</t>
        </is>
      </c>
      <c r="G1217" t="inlineStr">
        <is>
          <t>C3</t>
        </is>
      </c>
      <c r="H1217" s="2" t="n">
        <v>46315.62152777778</v>
      </c>
      <c r="I1217" s="2" t="n">
        <v>46315.74305555555</v>
      </c>
      <c r="J1217" t="inlineStr">
        <is>
          <t>Completed</t>
        </is>
      </c>
      <c r="K1217" t="n">
        <v>3.71</v>
      </c>
      <c r="L1217" t="n">
        <v>16</v>
      </c>
      <c r="M1217" t="b">
        <v>0</v>
      </c>
      <c r="N1217" t="n">
        <v>0</v>
      </c>
      <c r="O1217" t="b">
        <v>1</v>
      </c>
      <c r="P1217" t="b">
        <v>0</v>
      </c>
      <c r="Q1217" t="b">
        <v>1</v>
      </c>
    </row>
    <row r="1218">
      <c r="A1218" t="inlineStr">
        <is>
          <t>REQ01217</t>
        </is>
      </c>
      <c r="B1218" t="inlineStr">
        <is>
          <t>724500DWDMX0UYDUYR50</t>
        </is>
      </c>
      <c r="C1218" t="inlineStr">
        <is>
          <t>signatory_change</t>
        </is>
      </c>
      <c r="D1218" s="2" t="n">
        <v>46315.59166666667</v>
      </c>
      <c r="E1218" s="2" t="n">
        <v>46316.55</v>
      </c>
      <c r="F1218" t="inlineStr">
        <is>
          <t>M3</t>
        </is>
      </c>
      <c r="G1218" t="inlineStr">
        <is>
          <t>C3</t>
        </is>
      </c>
      <c r="H1218" s="2" t="n">
        <v>46315.60972222222</v>
      </c>
      <c r="I1218" s="2" t="n">
        <v>46315.62083333333</v>
      </c>
      <c r="J1218" t="inlineStr">
        <is>
          <t>Completed</t>
        </is>
      </c>
      <c r="K1218" t="n">
        <v>0.7</v>
      </c>
      <c r="L1218" t="n">
        <v>8</v>
      </c>
      <c r="M1218" t="b">
        <v>0</v>
      </c>
      <c r="N1218" t="n">
        <v>0</v>
      </c>
      <c r="O1218" t="b">
        <v>1</v>
      </c>
      <c r="P1218" t="b">
        <v>0</v>
      </c>
      <c r="Q1218" t="b">
        <v>0</v>
      </c>
    </row>
    <row r="1219">
      <c r="A1219" t="inlineStr">
        <is>
          <t>REQ01218</t>
        </is>
      </c>
      <c r="B1219" t="inlineStr">
        <is>
          <t>549300EG5CP47IUWA215</t>
        </is>
      </c>
      <c r="C1219" t="inlineStr">
        <is>
          <t>document_refresh</t>
        </is>
      </c>
      <c r="D1219" s="2" t="n">
        <v>46315.59513888889</v>
      </c>
      <c r="E1219" s="2" t="n">
        <v>46316.72013888889</v>
      </c>
      <c r="F1219" t="inlineStr">
        <is>
          <t>M4</t>
        </is>
      </c>
      <c r="G1219" t="inlineStr">
        <is>
          <t>C3</t>
        </is>
      </c>
      <c r="H1219" s="2" t="n">
        <v>46315.60555555556</v>
      </c>
      <c r="I1219" s="2" t="n">
        <v>46315.60972222222</v>
      </c>
      <c r="J1219" t="inlineStr">
        <is>
          <t>Completed</t>
        </is>
      </c>
      <c r="K1219" t="n">
        <v>0.35</v>
      </c>
      <c r="L1219" t="n">
        <v>12</v>
      </c>
      <c r="M1219" t="b">
        <v>0</v>
      </c>
      <c r="N1219" t="n">
        <v>0</v>
      </c>
      <c r="O1219" t="b">
        <v>1</v>
      </c>
      <c r="P1219" t="b">
        <v>0</v>
      </c>
      <c r="Q1219" t="b">
        <v>0</v>
      </c>
    </row>
    <row r="1220">
      <c r="A1220" t="inlineStr">
        <is>
          <t>REQ01219</t>
        </is>
      </c>
      <c r="B1220" t="inlineStr">
        <is>
          <t>969500C4D6MBV1PA5I61</t>
        </is>
      </c>
      <c r="C1220" t="inlineStr">
        <is>
          <t>document_refresh</t>
        </is>
      </c>
      <c r="D1220" s="2" t="n">
        <v>46315.59930555556</v>
      </c>
      <c r="E1220" s="2" t="n">
        <v>46316.72430555556</v>
      </c>
      <c r="F1220" t="inlineStr">
        <is>
          <t>M6</t>
        </is>
      </c>
      <c r="G1220" t="inlineStr">
        <is>
          <t>C1</t>
        </is>
      </c>
      <c r="H1220" s="2" t="n">
        <v>46315.60902777778</v>
      </c>
      <c r="I1220" s="2" t="n">
        <v>46315.62013888889</v>
      </c>
      <c r="J1220" t="inlineStr">
        <is>
          <t>Completed</t>
        </is>
      </c>
      <c r="K1220" t="n">
        <v>0.49</v>
      </c>
      <c r="L1220" t="n">
        <v>12</v>
      </c>
      <c r="M1220" t="b">
        <v>0</v>
      </c>
      <c r="N1220" t="n">
        <v>0</v>
      </c>
      <c r="O1220" t="b">
        <v>1</v>
      </c>
      <c r="P1220" t="b">
        <v>0</v>
      </c>
      <c r="Q1220" t="b">
        <v>0</v>
      </c>
    </row>
    <row r="1221">
      <c r="A1221" t="inlineStr">
        <is>
          <t>REQ01220</t>
        </is>
      </c>
      <c r="B1221" t="inlineStr">
        <is>
          <t>5493008XCM2W7NJ76T84</t>
        </is>
      </c>
      <c r="C1221" t="inlineStr">
        <is>
          <t>new_account</t>
        </is>
      </c>
      <c r="D1221" s="2" t="n">
        <v>46315.60416666666</v>
      </c>
      <c r="E1221" s="2" t="n">
        <v>46317.52083333334</v>
      </c>
      <c r="F1221" t="inlineStr">
        <is>
          <t>M1</t>
        </is>
      </c>
      <c r="G1221" t="inlineStr">
        <is>
          <t>C1</t>
        </is>
      </c>
      <c r="H1221" s="2" t="n">
        <v>46315.63680555556</v>
      </c>
      <c r="I1221" s="2" t="n">
        <v>46316.51805555556</v>
      </c>
      <c r="J1221" t="inlineStr">
        <is>
          <t>Completed</t>
        </is>
      </c>
      <c r="K1221" t="n">
        <v>6.93</v>
      </c>
      <c r="L1221" t="n">
        <v>16</v>
      </c>
      <c r="M1221" t="b">
        <v>0</v>
      </c>
      <c r="N1221" t="n">
        <v>0</v>
      </c>
      <c r="O1221" t="b">
        <v>1</v>
      </c>
      <c r="P1221" t="b">
        <v>0</v>
      </c>
      <c r="Q1221" t="b">
        <v>1</v>
      </c>
    </row>
    <row r="1222">
      <c r="A1222" t="inlineStr">
        <is>
          <t>REQ01221</t>
        </is>
      </c>
      <c r="B1222" t="inlineStr">
        <is>
          <t>549300SMVYUX870L9836</t>
        </is>
      </c>
      <c r="C1222" t="inlineStr">
        <is>
          <t>signatory_change</t>
        </is>
      </c>
      <c r="D1222" s="2" t="n">
        <v>46315.60555555556</v>
      </c>
      <c r="E1222" s="2" t="n">
        <v>46316.56388888889</v>
      </c>
      <c r="F1222" t="inlineStr">
        <is>
          <t>M5</t>
        </is>
      </c>
      <c r="G1222" t="inlineStr">
        <is>
          <t>C3</t>
        </is>
      </c>
      <c r="H1222" s="2" t="n">
        <v>46315.62083333333</v>
      </c>
      <c r="I1222" s="2" t="n">
        <v>46316.38263888889</v>
      </c>
      <c r="J1222" t="inlineStr">
        <is>
          <t>Completed</t>
        </is>
      </c>
      <c r="K1222" t="n">
        <v>3.66</v>
      </c>
      <c r="L1222" t="n">
        <v>8</v>
      </c>
      <c r="M1222" t="b">
        <v>0</v>
      </c>
      <c r="N1222" t="n">
        <v>0</v>
      </c>
      <c r="O1222" t="b">
        <v>1</v>
      </c>
      <c r="P1222" t="b">
        <v>0</v>
      </c>
      <c r="Q1222" t="b">
        <v>1</v>
      </c>
    </row>
    <row r="1223">
      <c r="A1223" t="inlineStr">
        <is>
          <t>REQ01222</t>
        </is>
      </c>
      <c r="B1223" t="inlineStr">
        <is>
          <t>969500HX61G9CBIRY828</t>
        </is>
      </c>
      <c r="C1223" t="inlineStr">
        <is>
          <t>signatory_change</t>
        </is>
      </c>
      <c r="D1223" s="2" t="n">
        <v>46315.60694444444</v>
      </c>
      <c r="E1223" s="2" t="n">
        <v>46316.56527777778</v>
      </c>
      <c r="F1223" t="inlineStr">
        <is>
          <t>M4</t>
        </is>
      </c>
      <c r="G1223" t="inlineStr">
        <is>
          <t>C2</t>
        </is>
      </c>
      <c r="H1223" s="2" t="n">
        <v>46315.63333333333</v>
      </c>
      <c r="I1223" s="2" t="n">
        <v>46315.64097222222</v>
      </c>
      <c r="J1223" t="inlineStr">
        <is>
          <t>Completed</t>
        </is>
      </c>
      <c r="K1223" t="n">
        <v>0.8100000000000001</v>
      </c>
      <c r="L1223" t="n">
        <v>8</v>
      </c>
      <c r="M1223" t="b">
        <v>0</v>
      </c>
      <c r="N1223" t="n">
        <v>0</v>
      </c>
      <c r="O1223" t="b">
        <v>1</v>
      </c>
      <c r="P1223" t="b">
        <v>0</v>
      </c>
      <c r="Q1223" t="b">
        <v>0</v>
      </c>
    </row>
    <row r="1224">
      <c r="A1224" t="inlineStr">
        <is>
          <t>REQ01223</t>
        </is>
      </c>
      <c r="B1224" t="inlineStr">
        <is>
          <t>213800OVTQKSISR9WZ72</t>
        </is>
      </c>
      <c r="C1224" t="inlineStr">
        <is>
          <t>new_account</t>
        </is>
      </c>
      <c r="D1224" s="2" t="n">
        <v>46315.60694444444</v>
      </c>
      <c r="E1224" s="2" t="n">
        <v>46317.52361111111</v>
      </c>
      <c r="F1224" t="inlineStr">
        <is>
          <t>M6</t>
        </is>
      </c>
      <c r="G1224" t="inlineStr">
        <is>
          <t>C1</t>
        </is>
      </c>
      <c r="H1224" s="2" t="n">
        <v>46315.64861111111</v>
      </c>
      <c r="I1224" s="2" t="n">
        <v>46316.49027777778</v>
      </c>
      <c r="J1224" t="inlineStr">
        <is>
          <t>Completed</t>
        </is>
      </c>
      <c r="K1224" t="n">
        <v>6.2</v>
      </c>
      <c r="L1224" t="n">
        <v>16</v>
      </c>
      <c r="M1224" t="b">
        <v>0</v>
      </c>
      <c r="N1224" t="n">
        <v>0</v>
      </c>
      <c r="O1224" t="b">
        <v>1</v>
      </c>
      <c r="P1224" t="b">
        <v>0</v>
      </c>
      <c r="Q1224" t="b">
        <v>1</v>
      </c>
    </row>
    <row r="1225">
      <c r="A1225" t="inlineStr">
        <is>
          <t>REQ01224</t>
        </is>
      </c>
      <c r="B1225" t="inlineStr">
        <is>
          <t>391200HGM00Z6MQLWS21</t>
        </is>
      </c>
      <c r="C1225" t="inlineStr">
        <is>
          <t>data_amendment</t>
        </is>
      </c>
      <c r="D1225" s="2" t="n">
        <v>46315.61319444444</v>
      </c>
      <c r="E1225" s="2" t="n">
        <v>46316.57152777778</v>
      </c>
      <c r="F1225" t="inlineStr">
        <is>
          <t>M3</t>
        </is>
      </c>
      <c r="G1225" t="inlineStr">
        <is>
          <t>C1</t>
        </is>
      </c>
      <c r="H1225" s="2" t="n">
        <v>46315.62638888889</v>
      </c>
      <c r="I1225" s="2" t="n">
        <v>46315.62916666667</v>
      </c>
      <c r="J1225" t="inlineStr">
        <is>
          <t>Completed</t>
        </is>
      </c>
      <c r="K1225" t="n">
        <v>0.39</v>
      </c>
      <c r="L1225" t="n">
        <v>8</v>
      </c>
      <c r="M1225" t="b">
        <v>0</v>
      </c>
      <c r="N1225" t="n">
        <v>0</v>
      </c>
      <c r="O1225" t="b">
        <v>1</v>
      </c>
      <c r="P1225" t="b">
        <v>0</v>
      </c>
      <c r="Q1225" t="b">
        <v>0</v>
      </c>
    </row>
    <row r="1226">
      <c r="A1226" t="inlineStr">
        <is>
          <t>REQ01225</t>
        </is>
      </c>
      <c r="B1226" t="inlineStr">
        <is>
          <t>50670099F8110W941376</t>
        </is>
      </c>
      <c r="C1226" t="inlineStr">
        <is>
          <t>document_refresh</t>
        </is>
      </c>
      <c r="D1226" s="2" t="n">
        <v>46315.61458333334</v>
      </c>
      <c r="E1226" s="2" t="n">
        <v>46316.73958333334</v>
      </c>
      <c r="F1226" t="inlineStr">
        <is>
          <t>M5</t>
        </is>
      </c>
      <c r="G1226" t="inlineStr">
        <is>
          <t>C3</t>
        </is>
      </c>
      <c r="H1226" s="2" t="n">
        <v>46315.63263888889</v>
      </c>
      <c r="I1226" s="2" t="n">
        <v>46315.63888888889</v>
      </c>
      <c r="J1226" t="inlineStr">
        <is>
          <t>Completed</t>
        </is>
      </c>
      <c r="K1226" t="n">
        <v>0.59</v>
      </c>
      <c r="L1226" t="n">
        <v>12</v>
      </c>
      <c r="M1226" t="b">
        <v>0</v>
      </c>
      <c r="N1226" t="n">
        <v>0</v>
      </c>
      <c r="O1226" t="b">
        <v>1</v>
      </c>
      <c r="P1226" t="b">
        <v>0</v>
      </c>
      <c r="Q1226" t="b">
        <v>0</v>
      </c>
    </row>
    <row r="1227">
      <c r="A1227" t="inlineStr">
        <is>
          <t>REQ01226</t>
        </is>
      </c>
      <c r="B1227" t="inlineStr">
        <is>
          <t>213800OVTQKSISR9WZ72</t>
        </is>
      </c>
      <c r="C1227" t="inlineStr">
        <is>
          <t>signatory_change</t>
        </is>
      </c>
      <c r="D1227" s="2" t="n">
        <v>46315.61666666667</v>
      </c>
      <c r="E1227" s="2" t="n">
        <v>46316.575</v>
      </c>
      <c r="F1227" t="inlineStr">
        <is>
          <t>M2</t>
        </is>
      </c>
      <c r="G1227" t="inlineStr">
        <is>
          <t>C2</t>
        </is>
      </c>
      <c r="H1227" s="2" t="n">
        <v>46315.64722222222</v>
      </c>
      <c r="I1227" s="2" t="n">
        <v>46316.47986111111</v>
      </c>
      <c r="J1227" t="inlineStr">
        <is>
          <t>Completed</t>
        </is>
      </c>
      <c r="K1227" t="n">
        <v>5.72</v>
      </c>
      <c r="L1227" t="n">
        <v>8</v>
      </c>
      <c r="M1227" t="b">
        <v>0</v>
      </c>
      <c r="N1227" t="n">
        <v>0</v>
      </c>
      <c r="O1227" t="b">
        <v>1</v>
      </c>
      <c r="P1227" t="b">
        <v>0</v>
      </c>
      <c r="Q1227" t="b">
        <v>1</v>
      </c>
    </row>
    <row r="1228">
      <c r="A1228" t="inlineStr">
        <is>
          <t>REQ01227</t>
        </is>
      </c>
      <c r="B1228" t="inlineStr">
        <is>
          <t>89450067Q4IAIOXI8965</t>
        </is>
      </c>
      <c r="C1228" t="inlineStr">
        <is>
          <t>new_account</t>
        </is>
      </c>
      <c r="D1228" s="2" t="n">
        <v>46315.61666666667</v>
      </c>
      <c r="E1228" s="2" t="n">
        <v>46317.53333333333</v>
      </c>
      <c r="F1228" t="inlineStr">
        <is>
          <t>M3</t>
        </is>
      </c>
      <c r="G1228" t="inlineStr">
        <is>
          <t>C1</t>
        </is>
      </c>
      <c r="H1228" s="2" t="n">
        <v>46315.65763888889</v>
      </c>
      <c r="I1228" s="2" t="n">
        <v>46315.66736111111</v>
      </c>
      <c r="J1228" t="inlineStr">
        <is>
          <t>Completed</t>
        </is>
      </c>
      <c r="K1228" t="n">
        <v>1.22</v>
      </c>
      <c r="L1228" t="n">
        <v>16</v>
      </c>
      <c r="M1228" t="b">
        <v>0</v>
      </c>
      <c r="N1228" t="n">
        <v>0</v>
      </c>
      <c r="O1228" t="b">
        <v>1</v>
      </c>
      <c r="P1228" t="b">
        <v>0</v>
      </c>
      <c r="Q1228" t="b">
        <v>0</v>
      </c>
    </row>
    <row r="1229">
      <c r="A1229" t="inlineStr">
        <is>
          <t>REQ01228</t>
        </is>
      </c>
      <c r="B1229" t="inlineStr">
        <is>
          <t>8945000ARSWITS0EQ642</t>
        </is>
      </c>
      <c r="C1229" t="inlineStr">
        <is>
          <t>document_refresh</t>
        </is>
      </c>
      <c r="D1229" s="2" t="n">
        <v>46315.62569444445</v>
      </c>
      <c r="E1229" s="2" t="n">
        <v>46317.37569444445</v>
      </c>
      <c r="F1229" t="inlineStr">
        <is>
          <t>M5</t>
        </is>
      </c>
      <c r="G1229" t="inlineStr">
        <is>
          <t>C1</t>
        </is>
      </c>
      <c r="H1229" s="2" t="n">
        <v>46315.64861111111</v>
      </c>
      <c r="I1229" s="2" t="n">
        <v>46316.38194444445</v>
      </c>
      <c r="J1229" t="inlineStr">
        <is>
          <t>Completed</t>
        </is>
      </c>
      <c r="K1229" t="n">
        <v>3.15</v>
      </c>
      <c r="L1229" t="n">
        <v>12</v>
      </c>
      <c r="M1229" t="b">
        <v>0</v>
      </c>
      <c r="N1229" t="n">
        <v>0</v>
      </c>
      <c r="O1229" t="b">
        <v>1</v>
      </c>
      <c r="P1229" t="b">
        <v>0</v>
      </c>
      <c r="Q1229" t="b">
        <v>1</v>
      </c>
    </row>
    <row r="1230">
      <c r="A1230" t="inlineStr">
        <is>
          <t>REQ01229</t>
        </is>
      </c>
      <c r="B1230" t="inlineStr">
        <is>
          <t>335800CKP324UKCYWC06</t>
        </is>
      </c>
      <c r="C1230" t="inlineStr">
        <is>
          <t>document_refresh</t>
        </is>
      </c>
      <c r="D1230" s="2" t="n">
        <v>46315.62916666667</v>
      </c>
      <c r="E1230" s="2" t="n">
        <v>46317.37916666667</v>
      </c>
      <c r="F1230" t="inlineStr">
        <is>
          <t>M4</t>
        </is>
      </c>
      <c r="G1230" t="inlineStr">
        <is>
          <t>C2</t>
        </is>
      </c>
      <c r="H1230" s="2" t="n">
        <v>46315.64930555555</v>
      </c>
      <c r="I1230" s="2" t="n">
        <v>46316.44652777778</v>
      </c>
      <c r="J1230" t="inlineStr">
        <is>
          <t>Completed</t>
        </is>
      </c>
      <c r="K1230" t="n">
        <v>4.61</v>
      </c>
      <c r="L1230" t="n">
        <v>12</v>
      </c>
      <c r="M1230" t="b">
        <v>0</v>
      </c>
      <c r="N1230" t="n">
        <v>0</v>
      </c>
      <c r="O1230" t="b">
        <v>1</v>
      </c>
      <c r="P1230" t="b">
        <v>0</v>
      </c>
      <c r="Q1230" t="b">
        <v>1</v>
      </c>
    </row>
    <row r="1231">
      <c r="A1231" t="inlineStr">
        <is>
          <t>REQ01230</t>
        </is>
      </c>
      <c r="B1231" t="inlineStr">
        <is>
          <t>894500D6E6G5SE4ZGQ37</t>
        </is>
      </c>
      <c r="C1231" t="inlineStr">
        <is>
          <t>new_account</t>
        </is>
      </c>
      <c r="D1231" s="2" t="n">
        <v>46315.62916666667</v>
      </c>
      <c r="E1231" s="2" t="n">
        <v>46317.54583333333</v>
      </c>
      <c r="F1231" t="inlineStr">
        <is>
          <t>M1</t>
        </is>
      </c>
      <c r="G1231" t="inlineStr">
        <is>
          <t>C2</t>
        </is>
      </c>
      <c r="H1231" s="2" t="n">
        <v>46315.66319444445</v>
      </c>
      <c r="I1231" s="2" t="n">
        <v>46315.67430555556</v>
      </c>
      <c r="J1231" t="inlineStr">
        <is>
          <t>Completed</t>
        </is>
      </c>
      <c r="K1231" t="n">
        <v>1.09</v>
      </c>
      <c r="L1231" t="n">
        <v>16</v>
      </c>
      <c r="M1231" t="b">
        <v>0</v>
      </c>
      <c r="N1231" t="n">
        <v>0</v>
      </c>
      <c r="O1231" t="b">
        <v>1</v>
      </c>
      <c r="P1231" t="b">
        <v>0</v>
      </c>
      <c r="Q1231" t="b">
        <v>0</v>
      </c>
    </row>
    <row r="1232">
      <c r="A1232" t="inlineStr">
        <is>
          <t>REQ01231</t>
        </is>
      </c>
      <c r="B1232" t="inlineStr">
        <is>
          <t>549300OB54VEX5FOBH13</t>
        </is>
      </c>
      <c r="C1232" t="inlineStr">
        <is>
          <t>document_refresh</t>
        </is>
      </c>
      <c r="D1232" s="2" t="n">
        <v>46315.62986111111</v>
      </c>
      <c r="E1232" s="2" t="n">
        <v>46317.37986111111</v>
      </c>
      <c r="F1232" t="inlineStr">
        <is>
          <t>M2</t>
        </is>
      </c>
      <c r="G1232" t="inlineStr">
        <is>
          <t>C2</t>
        </is>
      </c>
      <c r="H1232" s="2" t="n">
        <v>46315.65833333333</v>
      </c>
      <c r="I1232" s="2" t="n">
        <v>46316.40625</v>
      </c>
      <c r="J1232" t="inlineStr">
        <is>
          <t>Completed</t>
        </is>
      </c>
      <c r="K1232" t="n">
        <v>3.63</v>
      </c>
      <c r="L1232" t="n">
        <v>12</v>
      </c>
      <c r="M1232" t="b">
        <v>0</v>
      </c>
      <c r="N1232" t="n">
        <v>0</v>
      </c>
      <c r="O1232" t="b">
        <v>1</v>
      </c>
      <c r="P1232" t="b">
        <v>0</v>
      </c>
      <c r="Q1232" t="b">
        <v>1</v>
      </c>
    </row>
    <row r="1233">
      <c r="A1233" t="inlineStr">
        <is>
          <t>REQ01232</t>
        </is>
      </c>
      <c r="B1233" t="inlineStr">
        <is>
          <t>5493001ZPQXO8XNU7O56</t>
        </is>
      </c>
      <c r="C1233" t="inlineStr">
        <is>
          <t>document_refresh</t>
        </is>
      </c>
      <c r="D1233" s="2" t="n">
        <v>46315.63263888889</v>
      </c>
      <c r="E1233" s="2" t="n">
        <v>46317.38263888889</v>
      </c>
      <c r="F1233" t="inlineStr">
        <is>
          <t>M5</t>
        </is>
      </c>
      <c r="G1233" t="inlineStr">
        <is>
          <t>C3</t>
        </is>
      </c>
      <c r="H1233" s="2" t="n">
        <v>46315.65833333333</v>
      </c>
      <c r="I1233" s="2" t="n">
        <v>46316.53819444445</v>
      </c>
      <c r="J1233" t="inlineStr">
        <is>
          <t>Completed</t>
        </is>
      </c>
      <c r="K1233" t="n">
        <v>6.73</v>
      </c>
      <c r="L1233" t="n">
        <v>12</v>
      </c>
      <c r="M1233" t="b">
        <v>0</v>
      </c>
      <c r="N1233" t="n">
        <v>0</v>
      </c>
      <c r="O1233" t="b">
        <v>1</v>
      </c>
      <c r="P1233" t="b">
        <v>0</v>
      </c>
      <c r="Q1233" t="b">
        <v>1</v>
      </c>
    </row>
    <row r="1234">
      <c r="A1234" t="inlineStr">
        <is>
          <t>REQ01233</t>
        </is>
      </c>
      <c r="B1234" t="inlineStr">
        <is>
          <t>5493005NEKJS51R7I868</t>
        </is>
      </c>
      <c r="C1234" t="inlineStr">
        <is>
          <t>data_amendment</t>
        </is>
      </c>
      <c r="D1234" s="2" t="n">
        <v>46315.63472222222</v>
      </c>
      <c r="E1234" s="2" t="n">
        <v>46316.59305555555</v>
      </c>
      <c r="F1234" t="inlineStr">
        <is>
          <t>M6</t>
        </is>
      </c>
      <c r="G1234" t="inlineStr">
        <is>
          <t>C1</t>
        </is>
      </c>
      <c r="H1234" s="2" t="n">
        <v>46315.65972222222</v>
      </c>
      <c r="I1234" s="2" t="n">
        <v>46316.47847222222</v>
      </c>
      <c r="J1234" t="inlineStr">
        <is>
          <t>Completed</t>
        </is>
      </c>
      <c r="K1234" t="n">
        <v>5.25</v>
      </c>
      <c r="L1234" t="n">
        <v>8</v>
      </c>
      <c r="M1234" t="b">
        <v>0</v>
      </c>
      <c r="N1234" t="n">
        <v>0</v>
      </c>
      <c r="O1234" t="b">
        <v>1</v>
      </c>
      <c r="P1234" t="b">
        <v>0</v>
      </c>
      <c r="Q1234" t="b">
        <v>1</v>
      </c>
    </row>
    <row r="1235">
      <c r="A1235" t="inlineStr">
        <is>
          <t>REQ01234</t>
        </is>
      </c>
      <c r="B1235" t="inlineStr">
        <is>
          <t>335800QLPEJMX2DWZM70</t>
        </is>
      </c>
      <c r="C1235" t="inlineStr">
        <is>
          <t>data_amendment</t>
        </is>
      </c>
      <c r="D1235" s="2" t="n">
        <v>46315.63680555556</v>
      </c>
      <c r="E1235" s="2" t="n">
        <v>46316.59513888889</v>
      </c>
      <c r="F1235" t="inlineStr">
        <is>
          <t>M4</t>
        </is>
      </c>
      <c r="G1235" t="inlineStr">
        <is>
          <t>C3</t>
        </is>
      </c>
      <c r="H1235" s="2" t="n">
        <v>46315.66180555556</v>
      </c>
      <c r="I1235" s="2" t="n">
        <v>46315.66527777778</v>
      </c>
      <c r="J1235" t="inlineStr">
        <is>
          <t>Completed</t>
        </is>
      </c>
      <c r="K1235" t="n">
        <v>0.6899999999999999</v>
      </c>
      <c r="L1235" t="n">
        <v>8</v>
      </c>
      <c r="M1235" t="b">
        <v>0</v>
      </c>
      <c r="N1235" t="n">
        <v>0</v>
      </c>
      <c r="O1235" t="b">
        <v>1</v>
      </c>
      <c r="P1235" t="b">
        <v>0</v>
      </c>
      <c r="Q1235" t="b">
        <v>0</v>
      </c>
    </row>
    <row r="1236">
      <c r="A1236" t="inlineStr">
        <is>
          <t>REQ01235</t>
        </is>
      </c>
      <c r="B1236" t="inlineStr">
        <is>
          <t>72450040KB3LL20YUJ75</t>
        </is>
      </c>
      <c r="C1236" t="inlineStr">
        <is>
          <t>new_account</t>
        </is>
      </c>
      <c r="D1236" s="2" t="n">
        <v>46315.6375</v>
      </c>
      <c r="E1236" s="2" t="n">
        <v>46317.55416666667</v>
      </c>
      <c r="F1236" t="inlineStr">
        <is>
          <t>M3</t>
        </is>
      </c>
      <c r="G1236" t="inlineStr">
        <is>
          <t>C1</t>
        </is>
      </c>
      <c r="H1236" s="2" t="n">
        <v>46315.68888888889</v>
      </c>
      <c r="I1236" s="2" t="n">
        <v>46316.46944444445</v>
      </c>
      <c r="J1236" t="inlineStr">
        <is>
          <t>Completed</t>
        </is>
      </c>
      <c r="K1236" t="n">
        <v>4.96</v>
      </c>
      <c r="L1236" t="n">
        <v>16</v>
      </c>
      <c r="M1236" t="b">
        <v>0</v>
      </c>
      <c r="N1236" t="n">
        <v>0</v>
      </c>
      <c r="O1236" t="b">
        <v>1</v>
      </c>
      <c r="P1236" t="b">
        <v>0</v>
      </c>
      <c r="Q1236" t="b">
        <v>1</v>
      </c>
    </row>
    <row r="1237">
      <c r="A1237" t="inlineStr">
        <is>
          <t>REQ01236</t>
        </is>
      </c>
      <c r="B1237" t="inlineStr">
        <is>
          <t>213800HTBW3LNE4XLP97</t>
        </is>
      </c>
      <c r="C1237" t="inlineStr">
        <is>
          <t>signatory_change</t>
        </is>
      </c>
      <c r="D1237" s="2" t="n">
        <v>46315.63958333333</v>
      </c>
      <c r="E1237" s="2" t="n">
        <v>46316.59791666667</v>
      </c>
      <c r="F1237" t="inlineStr">
        <is>
          <t>M2</t>
        </is>
      </c>
      <c r="G1237" t="inlineStr">
        <is>
          <t>C2</t>
        </is>
      </c>
      <c r="H1237" s="2" t="n">
        <v>46315.68194444444</v>
      </c>
      <c r="I1237" s="2" t="n">
        <v>46316.53402777778</v>
      </c>
      <c r="J1237" t="inlineStr">
        <is>
          <t>Completed</t>
        </is>
      </c>
      <c r="K1237" t="n">
        <v>6.47</v>
      </c>
      <c r="L1237" t="n">
        <v>8</v>
      </c>
      <c r="M1237" t="b">
        <v>0</v>
      </c>
      <c r="N1237" t="n">
        <v>0</v>
      </c>
      <c r="O1237" t="b">
        <v>1</v>
      </c>
      <c r="P1237" t="b">
        <v>0</v>
      </c>
      <c r="Q1237" t="b">
        <v>1</v>
      </c>
    </row>
    <row r="1238">
      <c r="A1238" t="inlineStr">
        <is>
          <t>REQ01237</t>
        </is>
      </c>
      <c r="B1238" t="inlineStr">
        <is>
          <t>549300HYX81MEM486091</t>
        </is>
      </c>
      <c r="C1238" t="inlineStr">
        <is>
          <t>signatory_change</t>
        </is>
      </c>
      <c r="D1238" s="2" t="n">
        <v>46315.64097222222</v>
      </c>
      <c r="E1238" s="2" t="n">
        <v>46316.59930555556</v>
      </c>
      <c r="F1238" t="inlineStr">
        <is>
          <t>M5</t>
        </is>
      </c>
      <c r="G1238" t="inlineStr">
        <is>
          <t>C1</t>
        </is>
      </c>
      <c r="H1238" s="2" t="n">
        <v>46315.67638888889</v>
      </c>
      <c r="I1238" s="2" t="n">
        <v>46316.41736111111</v>
      </c>
      <c r="J1238" t="inlineStr">
        <is>
          <t>Completed</t>
        </is>
      </c>
      <c r="K1238" t="n">
        <v>3.63</v>
      </c>
      <c r="L1238" t="n">
        <v>8</v>
      </c>
      <c r="M1238" t="b">
        <v>0</v>
      </c>
      <c r="N1238" t="n">
        <v>0</v>
      </c>
      <c r="O1238" t="b">
        <v>1</v>
      </c>
      <c r="P1238" t="b">
        <v>0</v>
      </c>
      <c r="Q1238" t="b">
        <v>1</v>
      </c>
    </row>
    <row r="1239">
      <c r="A1239" t="inlineStr">
        <is>
          <t>REQ01238</t>
        </is>
      </c>
      <c r="B1239" t="inlineStr">
        <is>
          <t>529900P6KH2F4V0NA719</t>
        </is>
      </c>
      <c r="C1239" t="inlineStr">
        <is>
          <t>new_account</t>
        </is>
      </c>
      <c r="D1239" s="2" t="n">
        <v>46315.64236111111</v>
      </c>
      <c r="E1239" s="2" t="n">
        <v>46317.55902777778</v>
      </c>
      <c r="F1239" t="inlineStr">
        <is>
          <t>M6</t>
        </is>
      </c>
      <c r="G1239" t="inlineStr">
        <is>
          <t>C2</t>
        </is>
      </c>
      <c r="H1239" s="2" t="n">
        <v>46315.68194444444</v>
      </c>
      <c r="I1239" s="2" t="n">
        <v>46316.42152777778</v>
      </c>
      <c r="J1239" t="inlineStr">
        <is>
          <t>Completed</t>
        </is>
      </c>
      <c r="K1239" t="n">
        <v>3.7</v>
      </c>
      <c r="L1239" t="n">
        <v>16</v>
      </c>
      <c r="M1239" t="b">
        <v>0</v>
      </c>
      <c r="N1239" t="n">
        <v>0</v>
      </c>
      <c r="O1239" t="b">
        <v>1</v>
      </c>
      <c r="P1239" t="b">
        <v>0</v>
      </c>
      <c r="Q1239" t="b">
        <v>1</v>
      </c>
    </row>
    <row r="1240">
      <c r="A1240" t="inlineStr">
        <is>
          <t>REQ01239</t>
        </is>
      </c>
      <c r="B1240" t="inlineStr">
        <is>
          <t>213800VHLPNNAHB7K416</t>
        </is>
      </c>
      <c r="C1240" t="inlineStr">
        <is>
          <t>new_account</t>
        </is>
      </c>
      <c r="D1240" s="2" t="n">
        <v>46315.64930555555</v>
      </c>
      <c r="E1240" s="2" t="n">
        <v>46317.56597222222</v>
      </c>
      <c r="F1240" t="inlineStr">
        <is>
          <t>M4</t>
        </is>
      </c>
      <c r="G1240" t="inlineStr">
        <is>
          <t>C1</t>
        </is>
      </c>
      <c r="H1240" s="2" t="n">
        <v>46315.7</v>
      </c>
      <c r="I1240" s="2" t="n">
        <v>46315.71180555555</v>
      </c>
      <c r="J1240" t="inlineStr">
        <is>
          <t>Completed</t>
        </is>
      </c>
      <c r="K1240" t="n">
        <v>1.51</v>
      </c>
      <c r="L1240" t="n">
        <v>16</v>
      </c>
      <c r="M1240" t="b">
        <v>0</v>
      </c>
      <c r="N1240" t="n">
        <v>0</v>
      </c>
      <c r="O1240" t="b">
        <v>1</v>
      </c>
      <c r="P1240" t="b">
        <v>0</v>
      </c>
      <c r="Q1240" t="b">
        <v>0</v>
      </c>
    </row>
    <row r="1241">
      <c r="A1241" t="inlineStr">
        <is>
          <t>REQ01240</t>
        </is>
      </c>
      <c r="B1241" t="inlineStr">
        <is>
          <t>213800J97724K3AH4T23</t>
        </is>
      </c>
      <c r="C1241" t="inlineStr">
        <is>
          <t>document_refresh</t>
        </is>
      </c>
      <c r="D1241" s="2" t="n">
        <v>46315.65138888889</v>
      </c>
      <c r="E1241" s="2" t="n">
        <v>46317.40138888889</v>
      </c>
      <c r="F1241" t="inlineStr">
        <is>
          <t>M1</t>
        </is>
      </c>
      <c r="G1241" t="inlineStr">
        <is>
          <t>C1</t>
        </is>
      </c>
      <c r="H1241" s="2" t="n">
        <v>46315.675</v>
      </c>
      <c r="I1241" s="2" t="n">
        <v>46315.67986111111</v>
      </c>
      <c r="J1241" t="inlineStr">
        <is>
          <t>Completed</t>
        </is>
      </c>
      <c r="K1241" t="n">
        <v>0.68</v>
      </c>
      <c r="L1241" t="n">
        <v>12</v>
      </c>
      <c r="M1241" t="b">
        <v>0</v>
      </c>
      <c r="N1241" t="n">
        <v>0</v>
      </c>
      <c r="O1241" t="b">
        <v>1</v>
      </c>
      <c r="P1241" t="b">
        <v>0</v>
      </c>
      <c r="Q1241" t="b">
        <v>0</v>
      </c>
    </row>
    <row r="1242">
      <c r="A1242" t="inlineStr">
        <is>
          <t>REQ01241</t>
        </is>
      </c>
      <c r="B1242" t="inlineStr">
        <is>
          <t>254900NZ5AL13S8FF041</t>
        </is>
      </c>
      <c r="C1242" t="inlineStr">
        <is>
          <t>data_amendment</t>
        </is>
      </c>
      <c r="D1242" s="2" t="n">
        <v>46315.65902777778</v>
      </c>
      <c r="E1242" s="2" t="n">
        <v>46316.61736111111</v>
      </c>
      <c r="F1242" t="inlineStr">
        <is>
          <t>M1</t>
        </is>
      </c>
      <c r="G1242" t="inlineStr">
        <is>
          <t>C2</t>
        </is>
      </c>
      <c r="H1242" s="2" t="n">
        <v>46315.68680555555</v>
      </c>
      <c r="I1242" s="2" t="n">
        <v>46315.69166666667</v>
      </c>
      <c r="J1242" t="inlineStr">
        <is>
          <t>Completed</t>
        </is>
      </c>
      <c r="K1242" t="n">
        <v>0.78</v>
      </c>
      <c r="L1242" t="n">
        <v>8</v>
      </c>
      <c r="M1242" t="b">
        <v>0</v>
      </c>
      <c r="N1242" t="n">
        <v>0</v>
      </c>
      <c r="O1242" t="b">
        <v>1</v>
      </c>
      <c r="P1242" t="b">
        <v>0</v>
      </c>
      <c r="Q1242" t="b">
        <v>0</v>
      </c>
    </row>
    <row r="1243">
      <c r="A1243" t="inlineStr">
        <is>
          <t>REQ01242</t>
        </is>
      </c>
      <c r="B1243" t="inlineStr">
        <is>
          <t>254900CBKJF2TFWOZC45</t>
        </is>
      </c>
      <c r="C1243" t="inlineStr">
        <is>
          <t>document_refresh</t>
        </is>
      </c>
      <c r="D1243" s="2" t="n">
        <v>46315.6625</v>
      </c>
      <c r="E1243" s="2" t="n">
        <v>46317.4125</v>
      </c>
      <c r="F1243" t="inlineStr">
        <is>
          <t>M5</t>
        </is>
      </c>
      <c r="G1243" t="inlineStr">
        <is>
          <t>C3</t>
        </is>
      </c>
      <c r="H1243" s="2" t="n">
        <v>46315.68680555555</v>
      </c>
      <c r="I1243" s="2" t="n">
        <v>46315.69097222222</v>
      </c>
      <c r="J1243" t="inlineStr">
        <is>
          <t>Completed</t>
        </is>
      </c>
      <c r="K1243" t="n">
        <v>0.6899999999999999</v>
      </c>
      <c r="L1243" t="n">
        <v>12</v>
      </c>
      <c r="M1243" t="b">
        <v>0</v>
      </c>
      <c r="N1243" t="n">
        <v>0</v>
      </c>
      <c r="O1243" t="b">
        <v>1</v>
      </c>
      <c r="P1243" t="b">
        <v>0</v>
      </c>
      <c r="Q1243" t="b">
        <v>0</v>
      </c>
    </row>
    <row r="1244">
      <c r="A1244" t="inlineStr">
        <is>
          <t>REQ01243</t>
        </is>
      </c>
      <c r="B1244" t="inlineStr">
        <is>
          <t>529900SOMEGIQ9IDGW70</t>
        </is>
      </c>
      <c r="C1244" t="inlineStr">
        <is>
          <t>new_account</t>
        </is>
      </c>
      <c r="D1244" s="2" t="n">
        <v>46315.66944444444</v>
      </c>
      <c r="E1244" s="2" t="n">
        <v>46317.58611111111</v>
      </c>
      <c r="F1244" t="inlineStr">
        <is>
          <t>M6</t>
        </is>
      </c>
      <c r="G1244" t="inlineStr">
        <is>
          <t>C2</t>
        </is>
      </c>
      <c r="H1244" s="2" t="n">
        <v>46315.70486111111</v>
      </c>
      <c r="I1244" s="2" t="n">
        <v>46316.51875</v>
      </c>
      <c r="J1244" t="inlineStr">
        <is>
          <t>Completed</t>
        </is>
      </c>
      <c r="K1244" t="n">
        <v>5.39</v>
      </c>
      <c r="L1244" t="n">
        <v>16</v>
      </c>
      <c r="M1244" t="b">
        <v>0</v>
      </c>
      <c r="N1244" t="n">
        <v>0</v>
      </c>
      <c r="O1244" t="b">
        <v>1</v>
      </c>
      <c r="P1244" t="b">
        <v>0</v>
      </c>
      <c r="Q1244" t="b">
        <v>1</v>
      </c>
    </row>
    <row r="1245">
      <c r="A1245" t="inlineStr">
        <is>
          <t>REQ01244</t>
        </is>
      </c>
      <c r="B1245" t="inlineStr">
        <is>
          <t>7245000A11H5A7KC2360</t>
        </is>
      </c>
      <c r="C1245" t="inlineStr">
        <is>
          <t>data_amendment</t>
        </is>
      </c>
      <c r="D1245" s="2" t="n">
        <v>46315.67291666667</v>
      </c>
      <c r="E1245" s="2" t="n">
        <v>46316.63125</v>
      </c>
      <c r="F1245" t="inlineStr">
        <is>
          <t>M2</t>
        </is>
      </c>
      <c r="G1245" t="inlineStr">
        <is>
          <t>C3</t>
        </is>
      </c>
      <c r="H1245" s="2" t="n">
        <v>46315.69444444445</v>
      </c>
      <c r="I1245" s="2" t="n">
        <v>46315.69861111111</v>
      </c>
      <c r="J1245" t="inlineStr">
        <is>
          <t>Completed</t>
        </is>
      </c>
      <c r="K1245" t="n">
        <v>0.62</v>
      </c>
      <c r="L1245" t="n">
        <v>8</v>
      </c>
      <c r="M1245" t="b">
        <v>0</v>
      </c>
      <c r="N1245" t="n">
        <v>0</v>
      </c>
      <c r="O1245" t="b">
        <v>1</v>
      </c>
      <c r="P1245" t="b">
        <v>0</v>
      </c>
      <c r="Q1245" t="b">
        <v>0</v>
      </c>
    </row>
    <row r="1246">
      <c r="A1246" t="inlineStr">
        <is>
          <t>REQ01245</t>
        </is>
      </c>
      <c r="B1246" t="inlineStr">
        <is>
          <t>635400URDDZFD5DZPQ05</t>
        </is>
      </c>
      <c r="C1246" t="inlineStr">
        <is>
          <t>signatory_change</t>
        </is>
      </c>
      <c r="D1246" s="2" t="n">
        <v>46315.67361111111</v>
      </c>
      <c r="E1246" s="2" t="n">
        <v>46316.63194444445</v>
      </c>
      <c r="F1246" t="inlineStr">
        <is>
          <t>M1</t>
        </is>
      </c>
      <c r="G1246" t="inlineStr">
        <is>
          <t>C3</t>
        </is>
      </c>
      <c r="H1246" s="2" t="n">
        <v>46315.70972222222</v>
      </c>
      <c r="I1246" s="2" t="n">
        <v>46316.44236111111</v>
      </c>
      <c r="J1246" t="inlineStr">
        <is>
          <t>Completed</t>
        </is>
      </c>
      <c r="K1246" t="n">
        <v>3.45</v>
      </c>
      <c r="L1246" t="n">
        <v>8</v>
      </c>
      <c r="M1246" t="b">
        <v>0</v>
      </c>
      <c r="N1246" t="n">
        <v>0</v>
      </c>
      <c r="O1246" t="b">
        <v>1</v>
      </c>
      <c r="P1246" t="b">
        <v>0</v>
      </c>
      <c r="Q1246" t="b">
        <v>1</v>
      </c>
    </row>
    <row r="1247">
      <c r="A1247" t="inlineStr">
        <is>
          <t>REQ01246</t>
        </is>
      </c>
      <c r="B1247" t="inlineStr">
        <is>
          <t>96950077H7MNZFM4Y663</t>
        </is>
      </c>
      <c r="C1247" t="inlineStr">
        <is>
          <t>data_amendment</t>
        </is>
      </c>
      <c r="D1247" s="2" t="n">
        <v>46315.6875</v>
      </c>
      <c r="E1247" s="2" t="n">
        <v>46316.64583333334</v>
      </c>
      <c r="F1247" t="inlineStr">
        <is>
          <t>M5</t>
        </is>
      </c>
      <c r="G1247" t="inlineStr">
        <is>
          <t>C2</t>
        </is>
      </c>
      <c r="H1247" s="2" t="n">
        <v>46315.69583333333</v>
      </c>
      <c r="I1247" s="2" t="n">
        <v>46316.57222222222</v>
      </c>
      <c r="J1247" t="inlineStr">
        <is>
          <t>Completed</t>
        </is>
      </c>
      <c r="K1247" t="n">
        <v>6.23</v>
      </c>
      <c r="L1247" t="n">
        <v>8</v>
      </c>
      <c r="M1247" t="b">
        <v>0</v>
      </c>
      <c r="N1247" t="n">
        <v>0</v>
      </c>
      <c r="O1247" t="b">
        <v>1</v>
      </c>
      <c r="P1247" t="b">
        <v>0</v>
      </c>
      <c r="Q1247" t="b">
        <v>1</v>
      </c>
    </row>
    <row r="1248">
      <c r="A1248" t="inlineStr">
        <is>
          <t>REQ01247</t>
        </is>
      </c>
      <c r="B1248" t="inlineStr">
        <is>
          <t>335800XCXLICM3XNGB24</t>
        </is>
      </c>
      <c r="C1248" t="inlineStr">
        <is>
          <t>signatory_change</t>
        </is>
      </c>
      <c r="D1248" s="2" t="n">
        <v>46315.69236111111</v>
      </c>
      <c r="E1248" s="2" t="n">
        <v>46316.65069444444</v>
      </c>
      <c r="F1248" t="inlineStr">
        <is>
          <t>M3</t>
        </is>
      </c>
      <c r="G1248" t="inlineStr">
        <is>
          <t>C3</t>
        </is>
      </c>
      <c r="H1248" s="2" t="n">
        <v>46315.71458333333</v>
      </c>
      <c r="I1248" s="2" t="n">
        <v>46316.51805555556</v>
      </c>
      <c r="J1248" t="inlineStr">
        <is>
          <t>Completed</t>
        </is>
      </c>
      <c r="K1248" t="n">
        <v>4.82</v>
      </c>
      <c r="L1248" t="n">
        <v>8</v>
      </c>
      <c r="M1248" t="b">
        <v>0</v>
      </c>
      <c r="N1248" t="n">
        <v>0</v>
      </c>
      <c r="O1248" t="b">
        <v>1</v>
      </c>
      <c r="P1248" t="b">
        <v>0</v>
      </c>
      <c r="Q1248" t="b">
        <v>1</v>
      </c>
    </row>
    <row r="1249">
      <c r="A1249" t="inlineStr">
        <is>
          <t>REQ01248</t>
        </is>
      </c>
      <c r="B1249" t="inlineStr">
        <is>
          <t>549300U6VBJHQP2SFL81</t>
        </is>
      </c>
      <c r="C1249" t="inlineStr">
        <is>
          <t>new_account</t>
        </is>
      </c>
      <c r="D1249" s="2" t="n">
        <v>46315.69375</v>
      </c>
      <c r="E1249" s="2" t="n">
        <v>46317.61041666667</v>
      </c>
      <c r="F1249" t="inlineStr">
        <is>
          <t>M2</t>
        </is>
      </c>
      <c r="G1249" t="inlineStr">
        <is>
          <t>C3</t>
        </is>
      </c>
      <c r="H1249" s="2" t="n">
        <v>46315.72291666667</v>
      </c>
      <c r="I1249" s="2" t="n">
        <v>46315.73125</v>
      </c>
      <c r="J1249" t="inlineStr">
        <is>
          <t>Completed</t>
        </is>
      </c>
      <c r="K1249" t="n">
        <v>0.9</v>
      </c>
      <c r="L1249" t="n">
        <v>16</v>
      </c>
      <c r="M1249" t="b">
        <v>0</v>
      </c>
      <c r="N1249" t="n">
        <v>0</v>
      </c>
      <c r="O1249" t="b">
        <v>1</v>
      </c>
      <c r="P1249" t="b">
        <v>0</v>
      </c>
      <c r="Q1249" t="b">
        <v>0</v>
      </c>
    </row>
    <row r="1250">
      <c r="A1250" t="inlineStr">
        <is>
          <t>REQ01249</t>
        </is>
      </c>
      <c r="B1250" t="inlineStr">
        <is>
          <t>21380038FMB3893QS497</t>
        </is>
      </c>
      <c r="C1250" t="inlineStr">
        <is>
          <t>new_account</t>
        </is>
      </c>
      <c r="D1250" s="2" t="n">
        <v>46315.70277777778</v>
      </c>
      <c r="E1250" s="2" t="n">
        <v>46317.61944444444</v>
      </c>
      <c r="F1250" t="inlineStr">
        <is>
          <t>M5</t>
        </is>
      </c>
      <c r="G1250" t="inlineStr">
        <is>
          <t>C3</t>
        </is>
      </c>
      <c r="H1250" s="2" t="n">
        <v>46315.72569444445</v>
      </c>
      <c r="I1250" s="2" t="n">
        <v>46316.48263888889</v>
      </c>
      <c r="J1250" t="inlineStr">
        <is>
          <t>Completed</t>
        </is>
      </c>
      <c r="K1250" t="n">
        <v>3.71</v>
      </c>
      <c r="L1250" t="n">
        <v>16</v>
      </c>
      <c r="M1250" t="b">
        <v>0</v>
      </c>
      <c r="N1250" t="n">
        <v>0</v>
      </c>
      <c r="O1250" t="b">
        <v>1</v>
      </c>
      <c r="P1250" t="b">
        <v>0</v>
      </c>
      <c r="Q1250" t="b">
        <v>1</v>
      </c>
    </row>
    <row r="1251">
      <c r="A1251" t="inlineStr">
        <is>
          <t>REQ01250</t>
        </is>
      </c>
      <c r="B1251" t="inlineStr">
        <is>
          <t>391200YMEFKNUYXTDU31</t>
        </is>
      </c>
      <c r="C1251" t="inlineStr">
        <is>
          <t>document_refresh</t>
        </is>
      </c>
      <c r="D1251" s="2" t="n">
        <v>46315.71805555555</v>
      </c>
      <c r="E1251" s="2" t="n">
        <v>46317.46805555555</v>
      </c>
      <c r="F1251" t="inlineStr">
        <is>
          <t>M4</t>
        </is>
      </c>
      <c r="G1251" t="inlineStr">
        <is>
          <t>C2</t>
        </is>
      </c>
      <c r="H1251" s="2" t="n">
        <v>46315.73472222222</v>
      </c>
      <c r="I1251" s="2" t="n">
        <v>46316.54166666666</v>
      </c>
      <c r="J1251" t="inlineStr">
        <is>
          <t>Completed</t>
        </is>
      </c>
      <c r="K1251" t="n">
        <v>4.76</v>
      </c>
      <c r="L1251" t="n">
        <v>12</v>
      </c>
      <c r="M1251" t="b">
        <v>0</v>
      </c>
      <c r="N1251" t="n">
        <v>0</v>
      </c>
      <c r="O1251" t="b">
        <v>1</v>
      </c>
      <c r="P1251" t="b">
        <v>0</v>
      </c>
      <c r="Q1251" t="b">
        <v>1</v>
      </c>
    </row>
    <row r="1252">
      <c r="A1252" t="inlineStr">
        <is>
          <t>REQ01251</t>
        </is>
      </c>
      <c r="B1252" t="inlineStr">
        <is>
          <t>5299001TU4W55ULK3G31</t>
        </is>
      </c>
      <c r="C1252" t="inlineStr">
        <is>
          <t>new_account</t>
        </is>
      </c>
      <c r="D1252" s="2" t="n">
        <v>46315.72222222222</v>
      </c>
      <c r="E1252" s="2" t="n">
        <v>46317.63888888889</v>
      </c>
      <c r="F1252" t="inlineStr">
        <is>
          <t>M6</t>
        </is>
      </c>
      <c r="G1252" t="inlineStr">
        <is>
          <t>C3</t>
        </is>
      </c>
      <c r="H1252" s="2" t="n">
        <v>46316.38541666666</v>
      </c>
      <c r="I1252" s="2" t="n">
        <v>46316.57638888889</v>
      </c>
      <c r="J1252" t="inlineStr">
        <is>
          <t>Completed</t>
        </is>
      </c>
      <c r="K1252" t="n">
        <v>5.5</v>
      </c>
      <c r="L1252" t="n">
        <v>16</v>
      </c>
      <c r="M1252" t="b">
        <v>0</v>
      </c>
      <c r="N1252" t="n">
        <v>0</v>
      </c>
      <c r="O1252" t="b">
        <v>1</v>
      </c>
      <c r="P1252" t="b">
        <v>0</v>
      </c>
      <c r="Q1252" t="b">
        <v>1</v>
      </c>
    </row>
    <row r="1253">
      <c r="A1253" t="inlineStr">
        <is>
          <t>REQ01252</t>
        </is>
      </c>
      <c r="B1253" t="inlineStr">
        <is>
          <t>648800SPI5SD30RRXA12</t>
        </is>
      </c>
      <c r="C1253" t="inlineStr">
        <is>
          <t>data_amendment</t>
        </is>
      </c>
      <c r="D1253" s="2" t="n">
        <v>46315.72708333333</v>
      </c>
      <c r="E1253" s="2" t="n">
        <v>46316.68541666667</v>
      </c>
      <c r="F1253" t="inlineStr">
        <is>
          <t>M1</t>
        </is>
      </c>
      <c r="G1253" t="inlineStr">
        <is>
          <t>C1</t>
        </is>
      </c>
      <c r="H1253" s="2" t="n">
        <v>46315.73541666667</v>
      </c>
      <c r="I1253" s="2" t="n">
        <v>46315.74375</v>
      </c>
      <c r="J1253" t="inlineStr">
        <is>
          <t>Completed</t>
        </is>
      </c>
      <c r="K1253" t="n">
        <v>0.39</v>
      </c>
      <c r="L1253" t="n">
        <v>8</v>
      </c>
      <c r="M1253" t="b">
        <v>0</v>
      </c>
      <c r="N1253" t="n">
        <v>0</v>
      </c>
      <c r="O1253" t="b">
        <v>1</v>
      </c>
      <c r="P1253" t="b">
        <v>0</v>
      </c>
      <c r="Q1253" t="b">
        <v>0</v>
      </c>
    </row>
    <row r="1254">
      <c r="A1254" t="inlineStr">
        <is>
          <t>REQ01253</t>
        </is>
      </c>
      <c r="B1254" t="inlineStr">
        <is>
          <t>549300XSXLZUDHXN1R63</t>
        </is>
      </c>
      <c r="C1254" t="inlineStr">
        <is>
          <t>new_account</t>
        </is>
      </c>
      <c r="D1254" s="2" t="n">
        <v>46315.72916666666</v>
      </c>
      <c r="E1254" s="2" t="n">
        <v>46317.64583333334</v>
      </c>
      <c r="F1254" t="inlineStr">
        <is>
          <t>M3</t>
        </is>
      </c>
      <c r="G1254" t="inlineStr">
        <is>
          <t>C2</t>
        </is>
      </c>
      <c r="H1254" s="2" t="n">
        <v>46316.37708333333</v>
      </c>
      <c r="I1254" s="2" t="n">
        <v>46316.625</v>
      </c>
      <c r="J1254" t="inlineStr">
        <is>
          <t>Completed</t>
        </is>
      </c>
      <c r="K1254" t="n">
        <v>6.5</v>
      </c>
      <c r="L1254" t="n">
        <v>16</v>
      </c>
      <c r="M1254" t="b">
        <v>0</v>
      </c>
      <c r="N1254" t="n">
        <v>0</v>
      </c>
      <c r="O1254" t="b">
        <v>1</v>
      </c>
      <c r="P1254" t="b">
        <v>0</v>
      </c>
      <c r="Q1254" t="b">
        <v>1</v>
      </c>
    </row>
    <row r="1255">
      <c r="A1255" t="inlineStr">
        <is>
          <t>REQ01254</t>
        </is>
      </c>
      <c r="B1255" t="inlineStr">
        <is>
          <t>969500D7AMD7W8FAYA66</t>
        </is>
      </c>
      <c r="C1255" t="inlineStr">
        <is>
          <t>document_refresh</t>
        </is>
      </c>
      <c r="D1255" s="2" t="n">
        <v>46315.73194444444</v>
      </c>
      <c r="E1255" s="2" t="n">
        <v>46317.48194444444</v>
      </c>
      <c r="F1255" t="inlineStr">
        <is>
          <t>M2</t>
        </is>
      </c>
      <c r="G1255" t="inlineStr">
        <is>
          <t>C2</t>
        </is>
      </c>
      <c r="H1255" s="2" t="n">
        <v>46315.74652777778</v>
      </c>
      <c r="I1255" s="2" t="n">
        <v>46316.37638888889</v>
      </c>
      <c r="J1255" t="inlineStr">
        <is>
          <t>Completed</t>
        </is>
      </c>
      <c r="K1255" t="n">
        <v>0.47</v>
      </c>
      <c r="L1255" t="n">
        <v>12</v>
      </c>
      <c r="M1255" t="b">
        <v>0</v>
      </c>
      <c r="N1255" t="n">
        <v>0</v>
      </c>
      <c r="O1255" t="b">
        <v>1</v>
      </c>
      <c r="P1255" t="b">
        <v>0</v>
      </c>
      <c r="Q1255" t="b">
        <v>0</v>
      </c>
    </row>
    <row r="1256">
      <c r="A1256" t="inlineStr">
        <is>
          <t>REQ01255</t>
        </is>
      </c>
      <c r="B1256" t="inlineStr">
        <is>
          <t>335800G8OWGPCDZOPM96</t>
        </is>
      </c>
      <c r="C1256" t="inlineStr">
        <is>
          <t>new_account</t>
        </is>
      </c>
      <c r="D1256" s="2" t="n">
        <v>46315.73333333333</v>
      </c>
      <c r="E1256" s="2" t="n">
        <v>46317.65</v>
      </c>
      <c r="F1256" t="inlineStr">
        <is>
          <t>M5</t>
        </is>
      </c>
      <c r="G1256" t="inlineStr">
        <is>
          <t>C2</t>
        </is>
      </c>
      <c r="H1256" s="2" t="n">
        <v>46316.3875</v>
      </c>
      <c r="I1256" s="2" t="n">
        <v>46316.66388888889</v>
      </c>
      <c r="J1256" t="inlineStr">
        <is>
          <t>Completed</t>
        </is>
      </c>
      <c r="K1256" t="n">
        <v>7.33</v>
      </c>
      <c r="L1256" t="n">
        <v>16</v>
      </c>
      <c r="M1256" t="b">
        <v>0</v>
      </c>
      <c r="N1256" t="n">
        <v>1</v>
      </c>
      <c r="O1256" t="b">
        <v>0</v>
      </c>
      <c r="P1256" t="b">
        <v>1</v>
      </c>
      <c r="Q1256" t="b">
        <v>1</v>
      </c>
    </row>
    <row r="1257">
      <c r="A1257" t="inlineStr">
        <is>
          <t>REQ01256</t>
        </is>
      </c>
      <c r="B1257" t="inlineStr">
        <is>
          <t>549300H3EZX5NEUSD441</t>
        </is>
      </c>
      <c r="C1257" t="inlineStr">
        <is>
          <t>document_refresh</t>
        </is>
      </c>
      <c r="D1257" s="2" t="n">
        <v>46315.73333333333</v>
      </c>
      <c r="E1257" s="2" t="n">
        <v>46317.48333333333</v>
      </c>
      <c r="F1257" t="inlineStr">
        <is>
          <t>M4</t>
        </is>
      </c>
      <c r="G1257" t="inlineStr">
        <is>
          <t>C1</t>
        </is>
      </c>
      <c r="H1257" s="2" t="n">
        <v>46316.37777777778</v>
      </c>
      <c r="I1257" s="2" t="n">
        <v>46316.53888888889</v>
      </c>
      <c r="J1257" t="inlineStr">
        <is>
          <t>Completed</t>
        </is>
      </c>
      <c r="K1257" t="n">
        <v>4.34</v>
      </c>
      <c r="L1257" t="n">
        <v>12</v>
      </c>
      <c r="M1257" t="b">
        <v>0</v>
      </c>
      <c r="N1257" t="n">
        <v>0</v>
      </c>
      <c r="O1257" t="b">
        <v>1</v>
      </c>
      <c r="P1257" t="b">
        <v>0</v>
      </c>
      <c r="Q1257" t="b">
        <v>1</v>
      </c>
    </row>
    <row r="1258">
      <c r="A1258" t="inlineStr">
        <is>
          <t>REQ01257</t>
        </is>
      </c>
      <c r="B1258" t="inlineStr">
        <is>
          <t>549300ZQYPQCMBYDE824</t>
        </is>
      </c>
      <c r="C1258" t="inlineStr">
        <is>
          <t>document_refresh</t>
        </is>
      </c>
      <c r="D1258" s="2" t="n">
        <v>46315.7375</v>
      </c>
      <c r="E1258" s="2" t="n">
        <v>46317.4875</v>
      </c>
      <c r="F1258" t="inlineStr">
        <is>
          <t>M1</t>
        </is>
      </c>
      <c r="G1258" t="inlineStr">
        <is>
          <t>C1</t>
        </is>
      </c>
      <c r="H1258" s="2" t="n">
        <v>46316.37708333333</v>
      </c>
      <c r="I1258" s="2" t="n">
        <v>46316.61597222222</v>
      </c>
      <c r="J1258" t="inlineStr">
        <is>
          <t>Completed</t>
        </is>
      </c>
      <c r="K1258" t="n">
        <v>6.08</v>
      </c>
      <c r="L1258" t="n">
        <v>12</v>
      </c>
      <c r="M1258" t="b">
        <v>0</v>
      </c>
      <c r="N1258" t="n">
        <v>0</v>
      </c>
      <c r="O1258" t="b">
        <v>1</v>
      </c>
      <c r="P1258" t="b">
        <v>0</v>
      </c>
      <c r="Q1258" t="b">
        <v>1</v>
      </c>
    </row>
    <row r="1259">
      <c r="A1259" t="inlineStr">
        <is>
          <t>REQ01258</t>
        </is>
      </c>
      <c r="B1259" t="inlineStr">
        <is>
          <t>9695002CTOU0KNLE0886</t>
        </is>
      </c>
      <c r="C1259" t="inlineStr">
        <is>
          <t>document_refresh</t>
        </is>
      </c>
      <c r="D1259" s="2" t="n">
        <v>46315.74027777778</v>
      </c>
      <c r="E1259" s="2" t="n">
        <v>46317.49027777778</v>
      </c>
      <c r="F1259" t="inlineStr">
        <is>
          <t>M2</t>
        </is>
      </c>
      <c r="G1259" t="inlineStr">
        <is>
          <t>C1</t>
        </is>
      </c>
      <c r="H1259" s="2" t="n">
        <v>46316.38402777778</v>
      </c>
      <c r="I1259" s="2" t="n">
        <v>46316.38819444444</v>
      </c>
      <c r="J1259" t="inlineStr">
        <is>
          <t>Completed</t>
        </is>
      </c>
      <c r="K1259" t="n">
        <v>0.5600000000000001</v>
      </c>
      <c r="L1259" t="n">
        <v>12</v>
      </c>
      <c r="M1259" t="b">
        <v>0</v>
      </c>
      <c r="N1259" t="n">
        <v>0</v>
      </c>
      <c r="O1259" t="b">
        <v>1</v>
      </c>
      <c r="P1259" t="b">
        <v>0</v>
      </c>
      <c r="Q1259" t="b">
        <v>0</v>
      </c>
    </row>
    <row r="1260">
      <c r="A1260" t="inlineStr">
        <is>
          <t>REQ01259</t>
        </is>
      </c>
      <c r="B1260" t="inlineStr">
        <is>
          <t>54930061YXT7YIK8NN89</t>
        </is>
      </c>
      <c r="C1260" t="inlineStr">
        <is>
          <t>new_account</t>
        </is>
      </c>
      <c r="D1260" s="2" t="n">
        <v>46315.74375</v>
      </c>
      <c r="E1260" s="2" t="n">
        <v>46317.66041666667</v>
      </c>
      <c r="F1260" t="inlineStr">
        <is>
          <t>M3</t>
        </is>
      </c>
      <c r="G1260" t="inlineStr">
        <is>
          <t>C3</t>
        </is>
      </c>
      <c r="H1260" s="2" t="n">
        <v>46316.39930555555</v>
      </c>
      <c r="I1260" s="2" t="n">
        <v>46316.41041666667</v>
      </c>
      <c r="J1260" t="inlineStr">
        <is>
          <t>Completed</t>
        </is>
      </c>
      <c r="K1260" t="n">
        <v>1</v>
      </c>
      <c r="L1260" t="n">
        <v>16</v>
      </c>
      <c r="M1260" t="b">
        <v>0</v>
      </c>
      <c r="N1260" t="n">
        <v>0</v>
      </c>
      <c r="O1260" t="b">
        <v>1</v>
      </c>
      <c r="P1260" t="b">
        <v>0</v>
      </c>
      <c r="Q1260" t="b">
        <v>0</v>
      </c>
    </row>
    <row r="1261">
      <c r="A1261" t="inlineStr">
        <is>
          <t>REQ01260</t>
        </is>
      </c>
      <c r="B1261" t="inlineStr">
        <is>
          <t>969500PODKF2X8VI2H41</t>
        </is>
      </c>
      <c r="C1261" t="inlineStr">
        <is>
          <t>signatory_change</t>
        </is>
      </c>
      <c r="D1261" s="2" t="n">
        <v>46315.74513888889</v>
      </c>
      <c r="E1261" s="2" t="n">
        <v>46316.70347222222</v>
      </c>
      <c r="F1261" t="inlineStr">
        <is>
          <t>M1</t>
        </is>
      </c>
      <c r="G1261" t="inlineStr">
        <is>
          <t>C2</t>
        </is>
      </c>
      <c r="H1261" s="2" t="n">
        <v>46316.39861111111</v>
      </c>
      <c r="I1261" s="2" t="n">
        <v>46316.61458333334</v>
      </c>
      <c r="J1261" t="inlineStr">
        <is>
          <t>Completed</t>
        </is>
      </c>
      <c r="K1261" t="n">
        <v>5.86</v>
      </c>
      <c r="L1261" t="n">
        <v>8</v>
      </c>
      <c r="M1261" t="b">
        <v>0</v>
      </c>
      <c r="N1261" t="n">
        <v>0</v>
      </c>
      <c r="O1261" t="b">
        <v>1</v>
      </c>
      <c r="P1261" t="b">
        <v>0</v>
      </c>
      <c r="Q1261" t="b">
        <v>1</v>
      </c>
    </row>
    <row r="1262">
      <c r="A1262" t="inlineStr">
        <is>
          <t>REQ01261</t>
        </is>
      </c>
      <c r="B1262" t="inlineStr">
        <is>
          <t>529900PU8HX2NRY6AY46</t>
        </is>
      </c>
      <c r="C1262" t="inlineStr">
        <is>
          <t>document_refresh</t>
        </is>
      </c>
      <c r="D1262" s="2" t="n">
        <v>46315.74930555555</v>
      </c>
      <c r="E1262" s="2" t="n">
        <v>46317.49930555555</v>
      </c>
      <c r="F1262" t="inlineStr">
        <is>
          <t>M4</t>
        </is>
      </c>
      <c r="G1262" t="inlineStr">
        <is>
          <t>C3</t>
        </is>
      </c>
      <c r="H1262" s="2" t="n">
        <v>46316.38958333333</v>
      </c>
      <c r="I1262" s="2" t="n">
        <v>46316.39513888889</v>
      </c>
      <c r="J1262" t="inlineStr">
        <is>
          <t>Completed</t>
        </is>
      </c>
      <c r="K1262" t="n">
        <v>0.5</v>
      </c>
      <c r="L1262" t="n">
        <v>12</v>
      </c>
      <c r="M1262" t="b">
        <v>0</v>
      </c>
      <c r="N1262" t="n">
        <v>0</v>
      </c>
      <c r="O1262" t="b">
        <v>1</v>
      </c>
      <c r="P1262" t="b">
        <v>0</v>
      </c>
      <c r="Q1262" t="b">
        <v>0</v>
      </c>
    </row>
    <row r="1263">
      <c r="A1263" t="inlineStr">
        <is>
          <t>REQ01262</t>
        </is>
      </c>
      <c r="B1263" t="inlineStr">
        <is>
          <t>213800KU27ZPIIAKYB40</t>
        </is>
      </c>
      <c r="C1263" t="inlineStr">
        <is>
          <t>document_refresh</t>
        </is>
      </c>
      <c r="D1263" s="2" t="n">
        <v>46316.375</v>
      </c>
      <c r="E1263" s="2" t="n">
        <v>46317.5</v>
      </c>
      <c r="F1263" t="inlineStr">
        <is>
          <t>M2</t>
        </is>
      </c>
      <c r="G1263" t="inlineStr">
        <is>
          <t>C1</t>
        </is>
      </c>
      <c r="H1263" s="2" t="n">
        <v>46316.39791666667</v>
      </c>
      <c r="I1263" s="2" t="n">
        <v>46316.64444444444</v>
      </c>
      <c r="J1263" t="inlineStr">
        <is>
          <t>Completed</t>
        </is>
      </c>
      <c r="K1263" t="n">
        <v>6.46</v>
      </c>
      <c r="L1263" t="n">
        <v>12</v>
      </c>
      <c r="M1263" t="b">
        <v>0</v>
      </c>
      <c r="N1263" t="n">
        <v>0</v>
      </c>
      <c r="O1263" t="b">
        <v>1</v>
      </c>
      <c r="P1263" t="b">
        <v>0</v>
      </c>
      <c r="Q1263" t="b">
        <v>1</v>
      </c>
    </row>
    <row r="1264">
      <c r="A1264" t="inlineStr">
        <is>
          <t>REQ01263</t>
        </is>
      </c>
      <c r="B1264" t="inlineStr">
        <is>
          <t>64884E26Y961D1TJWT05</t>
        </is>
      </c>
      <c r="C1264" t="inlineStr">
        <is>
          <t>document_refresh</t>
        </is>
      </c>
      <c r="D1264" s="2" t="n">
        <v>46316.37708333333</v>
      </c>
      <c r="E1264" s="2" t="n">
        <v>46317.50208333333</v>
      </c>
      <c r="F1264" t="inlineStr">
        <is>
          <t>M6</t>
        </is>
      </c>
      <c r="G1264" t="inlineStr">
        <is>
          <t>C1</t>
        </is>
      </c>
      <c r="H1264" s="2" t="n">
        <v>46316.39722222222</v>
      </c>
      <c r="I1264" s="2" t="n">
        <v>46316.41111111111</v>
      </c>
      <c r="J1264" t="inlineStr">
        <is>
          <t>Completed</t>
        </is>
      </c>
      <c r="K1264" t="n">
        <v>0.8100000000000001</v>
      </c>
      <c r="L1264" t="n">
        <v>12</v>
      </c>
      <c r="M1264" t="b">
        <v>0</v>
      </c>
      <c r="N1264" t="n">
        <v>1</v>
      </c>
      <c r="O1264" t="b">
        <v>0</v>
      </c>
      <c r="P1264" t="b">
        <v>1</v>
      </c>
      <c r="Q1264" t="b">
        <v>0</v>
      </c>
    </row>
    <row r="1265">
      <c r="A1265" t="inlineStr">
        <is>
          <t>REQ01264</t>
        </is>
      </c>
      <c r="B1265" t="inlineStr">
        <is>
          <t>9845004DC1DE806ED819</t>
        </is>
      </c>
      <c r="C1265" t="inlineStr">
        <is>
          <t>data_amendment</t>
        </is>
      </c>
      <c r="D1265" s="2" t="n">
        <v>46316.39027777778</v>
      </c>
      <c r="E1265" s="2" t="n">
        <v>46316.72361111111</v>
      </c>
      <c r="F1265" t="inlineStr">
        <is>
          <t>M5</t>
        </is>
      </c>
      <c r="G1265" t="inlineStr">
        <is>
          <t>C1</t>
        </is>
      </c>
      <c r="H1265" s="2" t="n">
        <v>46316.40347222222</v>
      </c>
      <c r="I1265" s="2" t="n">
        <v>46316.62013888889</v>
      </c>
      <c r="J1265" t="inlineStr">
        <is>
          <t>Completed</t>
        </is>
      </c>
      <c r="K1265" t="n">
        <v>5.51</v>
      </c>
      <c r="L1265" t="n">
        <v>8</v>
      </c>
      <c r="M1265" t="b">
        <v>0</v>
      </c>
      <c r="N1265" t="n">
        <v>0</v>
      </c>
      <c r="O1265" t="b">
        <v>1</v>
      </c>
      <c r="P1265" t="b">
        <v>0</v>
      </c>
      <c r="Q1265" t="b">
        <v>1</v>
      </c>
    </row>
    <row r="1266">
      <c r="A1266" t="inlineStr">
        <is>
          <t>REQ01265</t>
        </is>
      </c>
      <c r="B1266" t="inlineStr">
        <is>
          <t>549300RJL7Q9RBQM7K23</t>
        </is>
      </c>
      <c r="C1266" t="inlineStr">
        <is>
          <t>signatory_change</t>
        </is>
      </c>
      <c r="D1266" s="2" t="n">
        <v>46316.39652777778</v>
      </c>
      <c r="E1266" s="2" t="n">
        <v>46316.72986111111</v>
      </c>
      <c r="F1266" t="inlineStr">
        <is>
          <t>M4</t>
        </is>
      </c>
      <c r="G1266" t="inlineStr">
        <is>
          <t>C1</t>
        </is>
      </c>
      <c r="H1266" s="2" t="n">
        <v>46316.42152777778</v>
      </c>
      <c r="I1266" s="2" t="n">
        <v>46316.59583333333</v>
      </c>
      <c r="J1266" t="inlineStr">
        <is>
          <t>Completed</t>
        </is>
      </c>
      <c r="K1266" t="n">
        <v>4.78</v>
      </c>
      <c r="L1266" t="n">
        <v>8</v>
      </c>
      <c r="M1266" t="b">
        <v>0</v>
      </c>
      <c r="N1266" t="n">
        <v>0</v>
      </c>
      <c r="O1266" t="b">
        <v>1</v>
      </c>
      <c r="P1266" t="b">
        <v>0</v>
      </c>
      <c r="Q1266" t="b">
        <v>1</v>
      </c>
    </row>
    <row r="1267">
      <c r="A1267" t="inlineStr">
        <is>
          <t>REQ01266</t>
        </is>
      </c>
      <c r="B1267" t="inlineStr">
        <is>
          <t>254900OR83HQ48C1D015</t>
        </is>
      </c>
      <c r="C1267" t="inlineStr">
        <is>
          <t>document_refresh</t>
        </is>
      </c>
      <c r="D1267" s="2" t="n">
        <v>46316.39791666667</v>
      </c>
      <c r="E1267" s="2" t="n">
        <v>46317.52291666667</v>
      </c>
      <c r="F1267" t="inlineStr">
        <is>
          <t>M6</t>
        </is>
      </c>
      <c r="G1267" t="inlineStr">
        <is>
          <t>C3</t>
        </is>
      </c>
      <c r="H1267" s="2" t="n">
        <v>46316.41111111111</v>
      </c>
      <c r="I1267" s="2" t="n">
        <v>46316.41805555556</v>
      </c>
      <c r="J1267" t="inlineStr">
        <is>
          <t>Completed</t>
        </is>
      </c>
      <c r="K1267" t="n">
        <v>0.48</v>
      </c>
      <c r="L1267" t="n">
        <v>12</v>
      </c>
      <c r="M1267" t="b">
        <v>0</v>
      </c>
      <c r="N1267" t="n">
        <v>0</v>
      </c>
      <c r="O1267" t="b">
        <v>1</v>
      </c>
      <c r="P1267" t="b">
        <v>0</v>
      </c>
      <c r="Q1267" t="b">
        <v>0</v>
      </c>
    </row>
    <row r="1268">
      <c r="A1268" t="inlineStr">
        <is>
          <t>REQ01267</t>
        </is>
      </c>
      <c r="B1268" t="inlineStr">
        <is>
          <t>724500NODOB93JYQ3983</t>
        </is>
      </c>
      <c r="C1268" t="inlineStr">
        <is>
          <t>document_refresh</t>
        </is>
      </c>
      <c r="D1268" s="2" t="n">
        <v>46316.39791666667</v>
      </c>
      <c r="E1268" s="2" t="n">
        <v>46317.52291666667</v>
      </c>
      <c r="F1268" t="inlineStr">
        <is>
          <t>M2</t>
        </is>
      </c>
      <c r="G1268" t="inlineStr">
        <is>
          <t>C2</t>
        </is>
      </c>
      <c r="H1268" s="2" t="n">
        <v>46316.41319444445</v>
      </c>
      <c r="I1268" s="2" t="n">
        <v>46316.66597222222</v>
      </c>
      <c r="J1268" t="inlineStr">
        <is>
          <t>Completed</t>
        </is>
      </c>
      <c r="K1268" t="n">
        <v>6.44</v>
      </c>
      <c r="L1268" t="n">
        <v>12</v>
      </c>
      <c r="M1268" t="b">
        <v>0</v>
      </c>
      <c r="N1268" t="n">
        <v>0</v>
      </c>
      <c r="O1268" t="b">
        <v>1</v>
      </c>
      <c r="P1268" t="b">
        <v>0</v>
      </c>
      <c r="Q1268" t="b">
        <v>1</v>
      </c>
    </row>
    <row r="1269">
      <c r="A1269" t="inlineStr">
        <is>
          <t>REQ01268</t>
        </is>
      </c>
      <c r="B1269" t="inlineStr">
        <is>
          <t>875500J7BK28TS1JBB43</t>
        </is>
      </c>
      <c r="C1269" t="inlineStr">
        <is>
          <t>new_account</t>
        </is>
      </c>
      <c r="D1269" s="2" t="n">
        <v>46316.40208333333</v>
      </c>
      <c r="E1269" s="2" t="n">
        <v>46317.69375</v>
      </c>
      <c r="F1269" t="inlineStr">
        <is>
          <t>M1</t>
        </is>
      </c>
      <c r="G1269" t="inlineStr">
        <is>
          <t>C2</t>
        </is>
      </c>
      <c r="H1269" s="2" t="n">
        <v>46316.43472222222</v>
      </c>
      <c r="I1269" s="2" t="n">
        <v>46316.59722222222</v>
      </c>
      <c r="J1269" t="inlineStr">
        <is>
          <t>Completed</t>
        </is>
      </c>
      <c r="K1269" t="n">
        <v>4.68</v>
      </c>
      <c r="L1269" t="n">
        <v>16</v>
      </c>
      <c r="M1269" t="b">
        <v>0</v>
      </c>
      <c r="N1269" t="n">
        <v>0</v>
      </c>
      <c r="O1269" t="b">
        <v>1</v>
      </c>
      <c r="P1269" t="b">
        <v>0</v>
      </c>
      <c r="Q1269" t="b">
        <v>1</v>
      </c>
    </row>
    <row r="1270">
      <c r="A1270" t="inlineStr">
        <is>
          <t>REQ01269</t>
        </is>
      </c>
      <c r="B1270" t="inlineStr">
        <is>
          <t>894500XC80X92NNXXQ45</t>
        </is>
      </c>
      <c r="C1270" t="inlineStr">
        <is>
          <t>document_refresh</t>
        </is>
      </c>
      <c r="D1270" s="2" t="n">
        <v>46316.40625</v>
      </c>
      <c r="E1270" s="2" t="n">
        <v>46317.53125</v>
      </c>
      <c r="F1270" t="inlineStr">
        <is>
          <t>M3</t>
        </is>
      </c>
      <c r="G1270" t="inlineStr">
        <is>
          <t>C3</t>
        </is>
      </c>
      <c r="H1270" s="2" t="n">
        <v>46316.42361111111</v>
      </c>
      <c r="I1270" s="2" t="n">
        <v>46316.42777777778</v>
      </c>
      <c r="J1270" t="inlineStr">
        <is>
          <t>Completed</t>
        </is>
      </c>
      <c r="K1270" t="n">
        <v>0.52</v>
      </c>
      <c r="L1270" t="n">
        <v>12</v>
      </c>
      <c r="M1270" t="b">
        <v>0</v>
      </c>
      <c r="N1270" t="n">
        <v>0</v>
      </c>
      <c r="O1270" t="b">
        <v>1</v>
      </c>
      <c r="P1270" t="b">
        <v>0</v>
      </c>
      <c r="Q1270" t="b">
        <v>0</v>
      </c>
    </row>
    <row r="1271">
      <c r="A1271" t="inlineStr">
        <is>
          <t>REQ01270</t>
        </is>
      </c>
      <c r="B1271" t="inlineStr">
        <is>
          <t>2221003VDUKKU2U48W60</t>
        </is>
      </c>
      <c r="C1271" t="inlineStr">
        <is>
          <t>data_amendment</t>
        </is>
      </c>
      <c r="D1271" s="2" t="n">
        <v>46316.41180555556</v>
      </c>
      <c r="E1271" s="2" t="n">
        <v>46316.74513888889</v>
      </c>
      <c r="F1271" t="inlineStr">
        <is>
          <t>M5</t>
        </is>
      </c>
      <c r="G1271" t="inlineStr">
        <is>
          <t>C2</t>
        </is>
      </c>
      <c r="H1271" s="2" t="n">
        <v>46316.42222222222</v>
      </c>
      <c r="I1271" s="2" t="n">
        <v>46316.67569444444</v>
      </c>
      <c r="J1271" t="inlineStr">
        <is>
          <t>Completed</t>
        </is>
      </c>
      <c r="K1271" t="n">
        <v>6.34</v>
      </c>
      <c r="L1271" t="n">
        <v>8</v>
      </c>
      <c r="M1271" t="b">
        <v>0</v>
      </c>
      <c r="N1271" t="n">
        <v>0</v>
      </c>
      <c r="O1271" t="b">
        <v>1</v>
      </c>
      <c r="P1271" t="b">
        <v>0</v>
      </c>
      <c r="Q1271" t="b">
        <v>1</v>
      </c>
    </row>
    <row r="1272">
      <c r="A1272" t="inlineStr">
        <is>
          <t>REQ01271</t>
        </is>
      </c>
      <c r="B1272" t="inlineStr">
        <is>
          <t>549300ME3BLZ51K3QO56</t>
        </is>
      </c>
      <c r="C1272" t="inlineStr">
        <is>
          <t>signatory_change</t>
        </is>
      </c>
      <c r="D1272" s="2" t="n">
        <v>46316.41597222222</v>
      </c>
      <c r="E1272" s="2" t="n">
        <v>46316.74930555555</v>
      </c>
      <c r="F1272" t="inlineStr">
        <is>
          <t>M6</t>
        </is>
      </c>
      <c r="G1272" t="inlineStr">
        <is>
          <t>C2</t>
        </is>
      </c>
      <c r="H1272" s="2" t="n">
        <v>46316.43263888889</v>
      </c>
      <c r="I1272" s="2" t="n">
        <v>46316.43958333333</v>
      </c>
      <c r="J1272" t="inlineStr">
        <is>
          <t>Completed</t>
        </is>
      </c>
      <c r="K1272" t="n">
        <v>0.57</v>
      </c>
      <c r="L1272" t="n">
        <v>8</v>
      </c>
      <c r="M1272" t="b">
        <v>0</v>
      </c>
      <c r="N1272" t="n">
        <v>0</v>
      </c>
      <c r="O1272" t="b">
        <v>1</v>
      </c>
      <c r="P1272" t="b">
        <v>0</v>
      </c>
      <c r="Q1272" t="b">
        <v>0</v>
      </c>
    </row>
    <row r="1273">
      <c r="A1273" t="inlineStr">
        <is>
          <t>REQ01272</t>
        </is>
      </c>
      <c r="B1273" t="inlineStr">
        <is>
          <t>894500JKVS9GLVK8EI64</t>
        </is>
      </c>
      <c r="C1273" t="inlineStr">
        <is>
          <t>data_amendment</t>
        </is>
      </c>
      <c r="D1273" s="2" t="n">
        <v>46316.41805555556</v>
      </c>
      <c r="E1273" s="2" t="n">
        <v>46317.37638888889</v>
      </c>
      <c r="F1273" t="inlineStr">
        <is>
          <t>M2</t>
        </is>
      </c>
      <c r="G1273" t="inlineStr">
        <is>
          <t>C1</t>
        </is>
      </c>
      <c r="H1273" s="2" t="n">
        <v>46316.43125</v>
      </c>
      <c r="I1273" s="2" t="n">
        <v>46316.65277777778</v>
      </c>
      <c r="J1273" t="inlineStr">
        <is>
          <t>Completed</t>
        </is>
      </c>
      <c r="K1273" t="n">
        <v>5.64</v>
      </c>
      <c r="L1273" t="n">
        <v>8</v>
      </c>
      <c r="M1273" t="b">
        <v>0</v>
      </c>
      <c r="N1273" t="n">
        <v>0</v>
      </c>
      <c r="O1273" t="b">
        <v>1</v>
      </c>
      <c r="P1273" t="b">
        <v>0</v>
      </c>
      <c r="Q1273" t="b">
        <v>1</v>
      </c>
    </row>
    <row r="1274">
      <c r="A1274" t="inlineStr">
        <is>
          <t>REQ01273</t>
        </is>
      </c>
      <c r="B1274" t="inlineStr">
        <is>
          <t>52990087IUF0VSLCT729</t>
        </is>
      </c>
      <c r="C1274" t="inlineStr">
        <is>
          <t>document_refresh</t>
        </is>
      </c>
      <c r="D1274" s="2" t="n">
        <v>46316.42152777778</v>
      </c>
      <c r="E1274" s="2" t="n">
        <v>46317.54652777778</v>
      </c>
      <c r="F1274" t="inlineStr">
        <is>
          <t>M4</t>
        </is>
      </c>
      <c r="G1274" t="inlineStr">
        <is>
          <t>C1</t>
        </is>
      </c>
      <c r="H1274" s="2" t="n">
        <v>46316.43541666667</v>
      </c>
      <c r="I1274" s="2" t="n">
        <v>46316.44236111111</v>
      </c>
      <c r="J1274" t="inlineStr">
        <is>
          <t>Completed</t>
        </is>
      </c>
      <c r="K1274" t="n">
        <v>0.5</v>
      </c>
      <c r="L1274" t="n">
        <v>12</v>
      </c>
      <c r="M1274" t="b">
        <v>0</v>
      </c>
      <c r="N1274" t="n">
        <v>0</v>
      </c>
      <c r="O1274" t="b">
        <v>1</v>
      </c>
      <c r="P1274" t="b">
        <v>0</v>
      </c>
      <c r="Q1274" t="b">
        <v>0</v>
      </c>
    </row>
    <row r="1275">
      <c r="A1275" t="inlineStr">
        <is>
          <t>REQ01274</t>
        </is>
      </c>
      <c r="B1275" t="inlineStr">
        <is>
          <t>549300FRXSUUW3M2Q281</t>
        </is>
      </c>
      <c r="C1275" t="inlineStr">
        <is>
          <t>new_account</t>
        </is>
      </c>
      <c r="D1275" s="2" t="n">
        <v>46316.42430555556</v>
      </c>
      <c r="E1275" s="2" t="n">
        <v>46317.71597222222</v>
      </c>
      <c r="F1275" t="inlineStr">
        <is>
          <t>M5</t>
        </is>
      </c>
      <c r="G1275" t="inlineStr">
        <is>
          <t>C3</t>
        </is>
      </c>
      <c r="H1275" s="2" t="n">
        <v>46316.44652777778</v>
      </c>
      <c r="I1275" s="2" t="n">
        <v>46316.45833333334</v>
      </c>
      <c r="J1275" t="inlineStr">
        <is>
          <t>Completed</t>
        </is>
      </c>
      <c r="K1275" t="n">
        <v>0.82</v>
      </c>
      <c r="L1275" t="n">
        <v>16</v>
      </c>
      <c r="M1275" t="b">
        <v>0</v>
      </c>
      <c r="N1275" t="n">
        <v>0</v>
      </c>
      <c r="O1275" t="b">
        <v>1</v>
      </c>
      <c r="P1275" t="b">
        <v>0</v>
      </c>
      <c r="Q1275" t="b">
        <v>0</v>
      </c>
    </row>
    <row r="1276">
      <c r="A1276" t="inlineStr">
        <is>
          <t>REQ01275</t>
        </is>
      </c>
      <c r="B1276" t="inlineStr">
        <is>
          <t>529900SOMEGIQ9IDGW70</t>
        </is>
      </c>
      <c r="C1276" t="inlineStr">
        <is>
          <t>signatory_change</t>
        </is>
      </c>
      <c r="D1276" s="2" t="n">
        <v>46316.42986111111</v>
      </c>
      <c r="E1276" s="2" t="n">
        <v>46317.38819444444</v>
      </c>
      <c r="F1276" t="inlineStr">
        <is>
          <t>M3</t>
        </is>
      </c>
      <c r="G1276" t="inlineStr">
        <is>
          <t>C3</t>
        </is>
      </c>
      <c r="H1276" s="2" t="n">
        <v>46316.44652777778</v>
      </c>
      <c r="I1276" s="2" t="n">
        <v>46316.65416666667</v>
      </c>
      <c r="J1276" t="inlineStr">
        <is>
          <t>Completed</t>
        </is>
      </c>
      <c r="K1276" t="n">
        <v>5.39</v>
      </c>
      <c r="L1276" t="n">
        <v>8</v>
      </c>
      <c r="M1276" t="b">
        <v>0</v>
      </c>
      <c r="N1276" t="n">
        <v>0</v>
      </c>
      <c r="O1276" t="b">
        <v>1</v>
      </c>
      <c r="P1276" t="b">
        <v>0</v>
      </c>
      <c r="Q1276" t="b">
        <v>1</v>
      </c>
    </row>
    <row r="1277">
      <c r="A1277" t="inlineStr">
        <is>
          <t>REQ01276</t>
        </is>
      </c>
      <c r="B1277" t="inlineStr">
        <is>
          <t>9695009OFO4SB9M4VS49</t>
        </is>
      </c>
      <c r="C1277" t="inlineStr">
        <is>
          <t>signatory_change</t>
        </is>
      </c>
      <c r="D1277" s="2" t="n">
        <v>46316.43263888889</v>
      </c>
      <c r="E1277" s="2" t="n">
        <v>46317.39097222222</v>
      </c>
      <c r="F1277" t="inlineStr">
        <is>
          <t>M2</t>
        </is>
      </c>
      <c r="G1277" t="inlineStr">
        <is>
          <t>C1</t>
        </is>
      </c>
      <c r="H1277" s="2" t="n">
        <v>46316.45902777778</v>
      </c>
      <c r="I1277" s="2" t="n">
        <v>46316.71388888889</v>
      </c>
      <c r="J1277" t="inlineStr">
        <is>
          <t>Completed</t>
        </is>
      </c>
      <c r="K1277" t="n">
        <v>6.75</v>
      </c>
      <c r="L1277" t="n">
        <v>8</v>
      </c>
      <c r="M1277" t="b">
        <v>0</v>
      </c>
      <c r="N1277" t="n">
        <v>0</v>
      </c>
      <c r="O1277" t="b">
        <v>1</v>
      </c>
      <c r="P1277" t="b">
        <v>0</v>
      </c>
      <c r="Q1277" t="b">
        <v>1</v>
      </c>
    </row>
    <row r="1278">
      <c r="A1278" t="inlineStr">
        <is>
          <t>REQ01277</t>
        </is>
      </c>
      <c r="B1278" t="inlineStr">
        <is>
          <t>391200HFL495UZH5YK43</t>
        </is>
      </c>
      <c r="C1278" t="inlineStr">
        <is>
          <t>document_refresh</t>
        </is>
      </c>
      <c r="D1278" s="2" t="n">
        <v>46316.43680555555</v>
      </c>
      <c r="E1278" s="2" t="n">
        <v>46317.56180555555</v>
      </c>
      <c r="F1278" t="inlineStr">
        <is>
          <t>M6</t>
        </is>
      </c>
      <c r="G1278" t="inlineStr">
        <is>
          <t>C1</t>
        </is>
      </c>
      <c r="H1278" s="2" t="n">
        <v>46316.44930555556</v>
      </c>
      <c r="I1278" s="2" t="n">
        <v>46316.45694444444</v>
      </c>
      <c r="J1278" t="inlineStr">
        <is>
          <t>Completed</t>
        </is>
      </c>
      <c r="K1278" t="n">
        <v>0.49</v>
      </c>
      <c r="L1278" t="n">
        <v>12</v>
      </c>
      <c r="M1278" t="b">
        <v>0</v>
      </c>
      <c r="N1278" t="n">
        <v>0</v>
      </c>
      <c r="O1278" t="b">
        <v>1</v>
      </c>
      <c r="P1278" t="b">
        <v>0</v>
      </c>
      <c r="Q1278" t="b">
        <v>0</v>
      </c>
    </row>
    <row r="1279">
      <c r="A1279" t="inlineStr">
        <is>
          <t>REQ01278</t>
        </is>
      </c>
      <c r="B1279" t="inlineStr">
        <is>
          <t>2549006KMBNF6KAJH591</t>
        </is>
      </c>
      <c r="C1279" t="inlineStr">
        <is>
          <t>document_refresh</t>
        </is>
      </c>
      <c r="D1279" s="2" t="n">
        <v>46316.43958333333</v>
      </c>
      <c r="E1279" s="2" t="n">
        <v>46317.56458333333</v>
      </c>
      <c r="F1279" t="inlineStr">
        <is>
          <t>M1</t>
        </is>
      </c>
      <c r="G1279" t="inlineStr">
        <is>
          <t>C3</t>
        </is>
      </c>
      <c r="H1279" s="2" t="n">
        <v>46316.45347222222</v>
      </c>
      <c r="I1279" s="2" t="n">
        <v>46316.59722222222</v>
      </c>
      <c r="J1279" t="inlineStr">
        <is>
          <t>Completed</t>
        </is>
      </c>
      <c r="K1279" t="n">
        <v>3.79</v>
      </c>
      <c r="L1279" t="n">
        <v>12</v>
      </c>
      <c r="M1279" t="b">
        <v>0</v>
      </c>
      <c r="N1279" t="n">
        <v>0</v>
      </c>
      <c r="O1279" t="b">
        <v>1</v>
      </c>
      <c r="P1279" t="b">
        <v>0</v>
      </c>
      <c r="Q1279" t="b">
        <v>1</v>
      </c>
    </row>
    <row r="1280">
      <c r="A1280" t="inlineStr">
        <is>
          <t>REQ01279</t>
        </is>
      </c>
      <c r="B1280" t="inlineStr">
        <is>
          <t>549300OVX89638FPLW64</t>
        </is>
      </c>
      <c r="C1280" t="inlineStr">
        <is>
          <t>document_refresh</t>
        </is>
      </c>
      <c r="D1280" s="2" t="n">
        <v>46316.44583333333</v>
      </c>
      <c r="E1280" s="2" t="n">
        <v>46317.57083333333</v>
      </c>
      <c r="F1280" t="inlineStr">
        <is>
          <t>M4</t>
        </is>
      </c>
      <c r="G1280" t="inlineStr">
        <is>
          <t>C1</t>
        </is>
      </c>
      <c r="H1280" s="2" t="n">
        <v>46316.45833333334</v>
      </c>
      <c r="I1280" s="2" t="n">
        <v>46316.56805555556</v>
      </c>
      <c r="J1280" t="inlineStr">
        <is>
          <t>Completed</t>
        </is>
      </c>
      <c r="K1280" t="n">
        <v>2.93</v>
      </c>
      <c r="L1280" t="n">
        <v>12</v>
      </c>
      <c r="M1280" t="b">
        <v>0</v>
      </c>
      <c r="N1280" t="n">
        <v>0</v>
      </c>
      <c r="O1280" t="b">
        <v>1</v>
      </c>
      <c r="P1280" t="b">
        <v>0</v>
      </c>
      <c r="Q1280" t="b">
        <v>1</v>
      </c>
    </row>
    <row r="1281">
      <c r="A1281" t="inlineStr">
        <is>
          <t>REQ01280</t>
        </is>
      </c>
      <c r="B1281" t="inlineStr">
        <is>
          <t>5299002TV6UBDD2SZR81</t>
        </is>
      </c>
      <c r="C1281" t="inlineStr">
        <is>
          <t>document_refresh</t>
        </is>
      </c>
      <c r="D1281" s="2" t="n">
        <v>46316.44652777778</v>
      </c>
      <c r="E1281" s="2" t="n">
        <v>46317.57152777778</v>
      </c>
      <c r="F1281" t="inlineStr">
        <is>
          <t>M5</t>
        </is>
      </c>
      <c r="G1281" t="inlineStr">
        <is>
          <t>C3</t>
        </is>
      </c>
      <c r="H1281" s="2" t="n">
        <v>46316.45833333334</v>
      </c>
      <c r="I1281" s="2" t="n">
        <v>46316.4625</v>
      </c>
      <c r="J1281" t="inlineStr">
        <is>
          <t>Completed</t>
        </is>
      </c>
      <c r="K1281" t="n">
        <v>0.39</v>
      </c>
      <c r="L1281" t="n">
        <v>12</v>
      </c>
      <c r="M1281" t="b">
        <v>0</v>
      </c>
      <c r="N1281" t="n">
        <v>0</v>
      </c>
      <c r="O1281" t="b">
        <v>1</v>
      </c>
      <c r="P1281" t="b">
        <v>0</v>
      </c>
      <c r="Q1281" t="b">
        <v>0</v>
      </c>
    </row>
    <row r="1282">
      <c r="A1282" t="inlineStr">
        <is>
          <t>REQ01281</t>
        </is>
      </c>
      <c r="B1282" t="inlineStr">
        <is>
          <t>7245009QJRBEWNJNLW15</t>
        </is>
      </c>
      <c r="C1282" t="inlineStr">
        <is>
          <t>data_amendment</t>
        </is>
      </c>
      <c r="D1282" s="2" t="n">
        <v>46316.44652777778</v>
      </c>
      <c r="E1282" s="2" t="n">
        <v>46317.40486111111</v>
      </c>
      <c r="F1282" t="inlineStr">
        <is>
          <t>M3</t>
        </is>
      </c>
      <c r="G1282" t="inlineStr">
        <is>
          <t>C2</t>
        </is>
      </c>
      <c r="H1282" s="2" t="n">
        <v>46316.45486111111</v>
      </c>
      <c r="I1282" s="2" t="n">
        <v>46316.46319444444</v>
      </c>
      <c r="J1282" t="inlineStr">
        <is>
          <t>Completed</t>
        </is>
      </c>
      <c r="K1282" t="n">
        <v>0.39</v>
      </c>
      <c r="L1282" t="n">
        <v>8</v>
      </c>
      <c r="M1282" t="b">
        <v>0</v>
      </c>
      <c r="N1282" t="n">
        <v>0</v>
      </c>
      <c r="O1282" t="b">
        <v>1</v>
      </c>
      <c r="P1282" t="b">
        <v>0</v>
      </c>
      <c r="Q1282" t="b">
        <v>0</v>
      </c>
    </row>
    <row r="1283">
      <c r="A1283" t="inlineStr">
        <is>
          <t>REQ01282</t>
        </is>
      </c>
      <c r="B1283" t="inlineStr">
        <is>
          <t>875500D0554JZC4C9F85</t>
        </is>
      </c>
      <c r="C1283" t="inlineStr">
        <is>
          <t>new_account</t>
        </is>
      </c>
      <c r="D1283" s="2" t="n">
        <v>46316.45833333334</v>
      </c>
      <c r="E1283" s="2" t="n">
        <v>46318.375</v>
      </c>
      <c r="F1283" t="inlineStr">
        <is>
          <t>M6</t>
        </is>
      </c>
      <c r="G1283" t="inlineStr">
        <is>
          <t>C1</t>
        </is>
      </c>
      <c r="H1283" s="2" t="n">
        <v>46316.48611111111</v>
      </c>
      <c r="I1283" s="2" t="n">
        <v>46316.63958333333</v>
      </c>
      <c r="J1283" t="inlineStr">
        <is>
          <t>Completed</t>
        </is>
      </c>
      <c r="K1283" t="n">
        <v>4.34</v>
      </c>
      <c r="L1283" t="n">
        <v>16</v>
      </c>
      <c r="M1283" t="b">
        <v>0</v>
      </c>
      <c r="N1283" t="n">
        <v>0</v>
      </c>
      <c r="O1283" t="b">
        <v>1</v>
      </c>
      <c r="P1283" t="b">
        <v>0</v>
      </c>
      <c r="Q1283" t="b">
        <v>1</v>
      </c>
    </row>
    <row r="1284">
      <c r="A1284" t="inlineStr">
        <is>
          <t>REQ01283</t>
        </is>
      </c>
      <c r="B1284" t="inlineStr">
        <is>
          <t>549300AO5R8JD6HES680</t>
        </is>
      </c>
      <c r="C1284" t="inlineStr">
        <is>
          <t>data_amendment</t>
        </is>
      </c>
      <c r="D1284" s="2" t="n">
        <v>46316.46319444444</v>
      </c>
      <c r="E1284" s="2" t="n">
        <v>46317.42152777778</v>
      </c>
      <c r="F1284" t="inlineStr">
        <is>
          <t>M1</t>
        </is>
      </c>
      <c r="G1284" t="inlineStr">
        <is>
          <t>C2</t>
        </is>
      </c>
      <c r="H1284" s="2" t="n">
        <v>46316.47361111111</v>
      </c>
      <c r="I1284" s="2" t="n">
        <v>46316.69791666666</v>
      </c>
      <c r="J1284" t="inlineStr">
        <is>
          <t>Completed</t>
        </is>
      </c>
      <c r="K1284" t="n">
        <v>5.63</v>
      </c>
      <c r="L1284" t="n">
        <v>8</v>
      </c>
      <c r="M1284" t="b">
        <v>0</v>
      </c>
      <c r="N1284" t="n">
        <v>0</v>
      </c>
      <c r="O1284" t="b">
        <v>1</v>
      </c>
      <c r="P1284" t="b">
        <v>0</v>
      </c>
      <c r="Q1284" t="b">
        <v>1</v>
      </c>
    </row>
    <row r="1285">
      <c r="A1285" t="inlineStr">
        <is>
          <t>REQ01284</t>
        </is>
      </c>
      <c r="B1285" t="inlineStr">
        <is>
          <t>3358009SXBVMTKIY1F32</t>
        </is>
      </c>
      <c r="C1285" t="inlineStr">
        <is>
          <t>new_account</t>
        </is>
      </c>
      <c r="D1285" s="2" t="n">
        <v>46316.46527777778</v>
      </c>
      <c r="E1285" s="2" t="n">
        <v>46318.38194444445</v>
      </c>
      <c r="F1285" t="inlineStr">
        <is>
          <t>M3</t>
        </is>
      </c>
      <c r="G1285" t="inlineStr">
        <is>
          <t>C2</t>
        </is>
      </c>
      <c r="H1285" s="2" t="n">
        <v>46316.48819444444</v>
      </c>
      <c r="I1285" s="2" t="n">
        <v>46316.50069444445</v>
      </c>
      <c r="J1285" t="inlineStr">
        <is>
          <t>Completed</t>
        </is>
      </c>
      <c r="K1285" t="n">
        <v>0.86</v>
      </c>
      <c r="L1285" t="n">
        <v>16</v>
      </c>
      <c r="M1285" t="b">
        <v>0</v>
      </c>
      <c r="N1285" t="n">
        <v>0</v>
      </c>
      <c r="O1285" t="b">
        <v>1</v>
      </c>
      <c r="P1285" t="b">
        <v>0</v>
      </c>
      <c r="Q1285" t="b">
        <v>0</v>
      </c>
    </row>
    <row r="1286">
      <c r="A1286" t="inlineStr">
        <is>
          <t>REQ01285</t>
        </is>
      </c>
      <c r="B1286" t="inlineStr">
        <is>
          <t>2138001Z8ET6G186QC88</t>
        </is>
      </c>
      <c r="C1286" t="inlineStr">
        <is>
          <t>new_account</t>
        </is>
      </c>
      <c r="D1286" s="2" t="n">
        <v>46316.46944444445</v>
      </c>
      <c r="E1286" s="2" t="n">
        <v>46318.38611111111</v>
      </c>
      <c r="F1286" t="inlineStr">
        <is>
          <t>M5</t>
        </is>
      </c>
      <c r="G1286" t="inlineStr">
        <is>
          <t>C3</t>
        </is>
      </c>
      <c r="H1286" s="2" t="n">
        <v>46316.49305555555</v>
      </c>
      <c r="I1286" s="2" t="n">
        <v>46316.52708333333</v>
      </c>
      <c r="J1286" t="inlineStr">
        <is>
          <t>Completed</t>
        </is>
      </c>
      <c r="K1286" t="n">
        <v>1.38</v>
      </c>
      <c r="L1286" t="n">
        <v>16</v>
      </c>
      <c r="M1286" t="b">
        <v>0</v>
      </c>
      <c r="N1286" t="n">
        <v>1</v>
      </c>
      <c r="O1286" t="b">
        <v>0</v>
      </c>
      <c r="P1286" t="b">
        <v>1</v>
      </c>
      <c r="Q1286" t="b">
        <v>0</v>
      </c>
    </row>
    <row r="1287">
      <c r="A1287" t="inlineStr">
        <is>
          <t>REQ01286</t>
        </is>
      </c>
      <c r="B1287" t="inlineStr">
        <is>
          <t>549300CR63PUSS1S5U94</t>
        </is>
      </c>
      <c r="C1287" t="inlineStr">
        <is>
          <t>signatory_change</t>
        </is>
      </c>
      <c r="D1287" s="2" t="n">
        <v>46316.46944444445</v>
      </c>
      <c r="E1287" s="2" t="n">
        <v>46317.42777777778</v>
      </c>
      <c r="F1287" t="inlineStr">
        <is>
          <t>M4</t>
        </is>
      </c>
      <c r="G1287" t="inlineStr">
        <is>
          <t>C3</t>
        </is>
      </c>
      <c r="H1287" s="2" t="n">
        <v>46316.48958333334</v>
      </c>
      <c r="I1287" s="2" t="n">
        <v>46316.62847222222</v>
      </c>
      <c r="J1287" t="inlineStr">
        <is>
          <t>Completed</t>
        </is>
      </c>
      <c r="K1287" t="n">
        <v>3.82</v>
      </c>
      <c r="L1287" t="n">
        <v>8</v>
      </c>
      <c r="M1287" t="b">
        <v>0</v>
      </c>
      <c r="N1287" t="n">
        <v>0</v>
      </c>
      <c r="O1287" t="b">
        <v>1</v>
      </c>
      <c r="P1287" t="b">
        <v>0</v>
      </c>
      <c r="Q1287" t="b">
        <v>1</v>
      </c>
    </row>
    <row r="1288">
      <c r="A1288" t="inlineStr">
        <is>
          <t>REQ01287</t>
        </is>
      </c>
      <c r="B1288" t="inlineStr">
        <is>
          <t>969500DMCQNYM5BBJ913</t>
        </is>
      </c>
      <c r="C1288" t="inlineStr">
        <is>
          <t>signatory_change</t>
        </is>
      </c>
      <c r="D1288" s="2" t="n">
        <v>46316.475</v>
      </c>
      <c r="E1288" s="2" t="n">
        <v>46317.43333333333</v>
      </c>
      <c r="F1288" t="inlineStr">
        <is>
          <t>M2</t>
        </is>
      </c>
      <c r="G1288" t="inlineStr">
        <is>
          <t>C2</t>
        </is>
      </c>
      <c r="H1288" s="2" t="n">
        <v>46316.49236111111</v>
      </c>
      <c r="I1288" s="2" t="n">
        <v>46316.70902777778</v>
      </c>
      <c r="J1288" t="inlineStr">
        <is>
          <t>Completed</t>
        </is>
      </c>
      <c r="K1288" t="n">
        <v>5.62</v>
      </c>
      <c r="L1288" t="n">
        <v>8</v>
      </c>
      <c r="M1288" t="b">
        <v>0</v>
      </c>
      <c r="N1288" t="n">
        <v>0</v>
      </c>
      <c r="O1288" t="b">
        <v>1</v>
      </c>
      <c r="P1288" t="b">
        <v>0</v>
      </c>
      <c r="Q1288" t="b">
        <v>1</v>
      </c>
    </row>
    <row r="1289">
      <c r="A1289" t="inlineStr">
        <is>
          <t>REQ01288</t>
        </is>
      </c>
      <c r="B1289" t="inlineStr">
        <is>
          <t>9695007LTUSAUC9RQK33</t>
        </is>
      </c>
      <c r="C1289" t="inlineStr">
        <is>
          <t>document_refresh</t>
        </is>
      </c>
      <c r="D1289" s="2" t="n">
        <v>46316.48263888889</v>
      </c>
      <c r="E1289" s="2" t="n">
        <v>46317.60763888889</v>
      </c>
      <c r="F1289" t="inlineStr">
        <is>
          <t>M1</t>
        </is>
      </c>
      <c r="G1289" t="inlineStr">
        <is>
          <t>C2</t>
        </is>
      </c>
      <c r="H1289" s="2" t="n">
        <v>46316.49652777778</v>
      </c>
      <c r="I1289" s="2" t="n">
        <v>46316.64583333334</v>
      </c>
      <c r="J1289" t="inlineStr">
        <is>
          <t>Completed</t>
        </is>
      </c>
      <c r="K1289" t="n">
        <v>3.92</v>
      </c>
      <c r="L1289" t="n">
        <v>12</v>
      </c>
      <c r="M1289" t="b">
        <v>0</v>
      </c>
      <c r="N1289" t="n">
        <v>0</v>
      </c>
      <c r="O1289" t="b">
        <v>1</v>
      </c>
      <c r="P1289" t="b">
        <v>0</v>
      </c>
      <c r="Q1289" t="b">
        <v>1</v>
      </c>
    </row>
    <row r="1290">
      <c r="A1290" t="inlineStr">
        <is>
          <t>REQ01289</t>
        </is>
      </c>
      <c r="B1290" t="inlineStr">
        <is>
          <t>2138002V4OOLXCKART46</t>
        </is>
      </c>
      <c r="C1290" t="inlineStr">
        <is>
          <t>data_amendment</t>
        </is>
      </c>
      <c r="D1290" s="2" t="n">
        <v>46316.48819444444</v>
      </c>
      <c r="E1290" s="2" t="n">
        <v>46317.44652777778</v>
      </c>
      <c r="F1290" t="inlineStr">
        <is>
          <t>M6</t>
        </is>
      </c>
      <c r="G1290" t="inlineStr">
        <is>
          <t>C1</t>
        </is>
      </c>
      <c r="H1290" s="2" t="n">
        <v>46316.49652777778</v>
      </c>
      <c r="I1290" s="2" t="n">
        <v>46316.67222222222</v>
      </c>
      <c r="J1290" t="inlineStr">
        <is>
          <t>Completed</t>
        </is>
      </c>
      <c r="K1290" t="n">
        <v>4.42</v>
      </c>
      <c r="L1290" t="n">
        <v>8</v>
      </c>
      <c r="M1290" t="b">
        <v>0</v>
      </c>
      <c r="N1290" t="n">
        <v>0</v>
      </c>
      <c r="O1290" t="b">
        <v>1</v>
      </c>
      <c r="P1290" t="b">
        <v>0</v>
      </c>
      <c r="Q1290" t="b">
        <v>1</v>
      </c>
    </row>
    <row r="1291">
      <c r="A1291" t="inlineStr">
        <is>
          <t>REQ01290</t>
        </is>
      </c>
      <c r="B1291" t="inlineStr">
        <is>
          <t>6488M0K1J2D79E7G1M72</t>
        </is>
      </c>
      <c r="C1291" t="inlineStr">
        <is>
          <t>signatory_change</t>
        </is>
      </c>
      <c r="D1291" s="2" t="n">
        <v>46316.48888888889</v>
      </c>
      <c r="E1291" s="2" t="n">
        <v>46317.44722222222</v>
      </c>
      <c r="F1291" t="inlineStr">
        <is>
          <t>M3</t>
        </is>
      </c>
      <c r="G1291" t="inlineStr">
        <is>
          <t>C1</t>
        </is>
      </c>
      <c r="H1291" s="2" t="n">
        <v>46316.51388888889</v>
      </c>
      <c r="I1291" s="2" t="n">
        <v>46316.54027777778</v>
      </c>
      <c r="J1291" t="inlineStr">
        <is>
          <t>Completed</t>
        </is>
      </c>
      <c r="K1291" t="n">
        <v>1.23</v>
      </c>
      <c r="L1291" t="n">
        <v>8</v>
      </c>
      <c r="M1291" t="b">
        <v>0</v>
      </c>
      <c r="N1291" t="n">
        <v>1</v>
      </c>
      <c r="O1291" t="b">
        <v>0</v>
      </c>
      <c r="P1291" t="b">
        <v>1</v>
      </c>
      <c r="Q1291" t="b">
        <v>0</v>
      </c>
    </row>
    <row r="1292">
      <c r="A1292" t="inlineStr">
        <is>
          <t>REQ01291</t>
        </is>
      </c>
      <c r="B1292" t="inlineStr">
        <is>
          <t>213800SNEPX49B1A9382</t>
        </is>
      </c>
      <c r="C1292" t="inlineStr">
        <is>
          <t>data_amendment</t>
        </is>
      </c>
      <c r="D1292" s="2" t="n">
        <v>46316.49652777778</v>
      </c>
      <c r="E1292" s="2" t="n">
        <v>46317.45486111111</v>
      </c>
      <c r="F1292" t="inlineStr">
        <is>
          <t>M4</t>
        </is>
      </c>
      <c r="G1292" t="inlineStr">
        <is>
          <t>C2</t>
        </is>
      </c>
      <c r="H1292" s="2" t="n">
        <v>46316.50555555556</v>
      </c>
      <c r="I1292" s="2" t="n">
        <v>46316.60069444445</v>
      </c>
      <c r="J1292" t="inlineStr">
        <is>
          <t>Completed</t>
        </is>
      </c>
      <c r="K1292" t="n">
        <v>2.5</v>
      </c>
      <c r="L1292" t="n">
        <v>8</v>
      </c>
      <c r="M1292" t="b">
        <v>0</v>
      </c>
      <c r="N1292" t="n">
        <v>0</v>
      </c>
      <c r="O1292" t="b">
        <v>1</v>
      </c>
      <c r="P1292" t="b">
        <v>0</v>
      </c>
      <c r="Q1292" t="b">
        <v>1</v>
      </c>
    </row>
    <row r="1293">
      <c r="A1293" t="inlineStr">
        <is>
          <t>REQ01292</t>
        </is>
      </c>
      <c r="B1293" t="inlineStr">
        <is>
          <t>213800B77JUGY18W9445</t>
        </is>
      </c>
      <c r="C1293" t="inlineStr">
        <is>
          <t>document_refresh</t>
        </is>
      </c>
      <c r="D1293" s="2" t="n">
        <v>46316.49791666667</v>
      </c>
      <c r="E1293" s="2" t="n">
        <v>46317.62291666667</v>
      </c>
      <c r="F1293" t="inlineStr">
        <is>
          <t>M2</t>
        </is>
      </c>
      <c r="G1293" t="inlineStr">
        <is>
          <t>C3</t>
        </is>
      </c>
      <c r="H1293" s="2" t="n">
        <v>46316.51041666666</v>
      </c>
      <c r="I1293" s="2" t="n">
        <v>46316.60555555556</v>
      </c>
      <c r="J1293" t="inlineStr">
        <is>
          <t>Completed</t>
        </is>
      </c>
      <c r="K1293" t="n">
        <v>2.58</v>
      </c>
      <c r="L1293" t="n">
        <v>12</v>
      </c>
      <c r="M1293" t="b">
        <v>0</v>
      </c>
      <c r="N1293" t="n">
        <v>0</v>
      </c>
      <c r="O1293" t="b">
        <v>1</v>
      </c>
      <c r="P1293" t="b">
        <v>0</v>
      </c>
      <c r="Q1293" t="b">
        <v>1</v>
      </c>
    </row>
    <row r="1294">
      <c r="A1294" t="inlineStr">
        <is>
          <t>REQ01293</t>
        </is>
      </c>
      <c r="B1294" t="inlineStr">
        <is>
          <t>254900QE61WPF2LRL396</t>
        </is>
      </c>
      <c r="C1294" t="inlineStr">
        <is>
          <t>document_refresh</t>
        </is>
      </c>
      <c r="D1294" s="2" t="n">
        <v>46316.50069444445</v>
      </c>
      <c r="E1294" s="2" t="n">
        <v>46317.62569444445</v>
      </c>
      <c r="F1294" t="inlineStr">
        <is>
          <t>M5</t>
        </is>
      </c>
      <c r="G1294" t="inlineStr">
        <is>
          <t>C3</t>
        </is>
      </c>
      <c r="H1294" s="2" t="n">
        <v>46316.51597222222</v>
      </c>
      <c r="I1294" s="2" t="n">
        <v>46316.68333333333</v>
      </c>
      <c r="J1294" t="inlineStr">
        <is>
          <t>Completed</t>
        </is>
      </c>
      <c r="K1294" t="n">
        <v>4.38</v>
      </c>
      <c r="L1294" t="n">
        <v>12</v>
      </c>
      <c r="M1294" t="b">
        <v>0</v>
      </c>
      <c r="N1294" t="n">
        <v>0</v>
      </c>
      <c r="O1294" t="b">
        <v>1</v>
      </c>
      <c r="P1294" t="b">
        <v>0</v>
      </c>
      <c r="Q1294" t="b">
        <v>1</v>
      </c>
    </row>
    <row r="1295">
      <c r="A1295" t="inlineStr">
        <is>
          <t>REQ01294</t>
        </is>
      </c>
      <c r="B1295" t="inlineStr">
        <is>
          <t>391200EXOPJCXNFJIX16</t>
        </is>
      </c>
      <c r="C1295" t="inlineStr">
        <is>
          <t>signatory_change</t>
        </is>
      </c>
      <c r="D1295" s="2" t="n">
        <v>46316.50208333333</v>
      </c>
      <c r="E1295" s="2" t="n">
        <v>46317.46041666667</v>
      </c>
      <c r="F1295" t="inlineStr">
        <is>
          <t>M1</t>
        </is>
      </c>
      <c r="G1295" t="inlineStr">
        <is>
          <t>C1</t>
        </is>
      </c>
      <c r="H1295" s="2" t="n">
        <v>46316.52708333333</v>
      </c>
      <c r="I1295" s="2" t="n">
        <v>46316.69722222222</v>
      </c>
      <c r="J1295" t="inlineStr">
        <is>
          <t>Completed</t>
        </is>
      </c>
      <c r="K1295" t="n">
        <v>4.68</v>
      </c>
      <c r="L1295" t="n">
        <v>8</v>
      </c>
      <c r="M1295" t="b">
        <v>0</v>
      </c>
      <c r="N1295" t="n">
        <v>1</v>
      </c>
      <c r="O1295" t="b">
        <v>0</v>
      </c>
      <c r="P1295" t="b">
        <v>1</v>
      </c>
      <c r="Q1295" t="b">
        <v>1</v>
      </c>
    </row>
    <row r="1296">
      <c r="A1296" t="inlineStr">
        <is>
          <t>REQ01295</t>
        </is>
      </c>
      <c r="B1296" t="inlineStr">
        <is>
          <t>549300RBSFSK50GK6J18</t>
        </is>
      </c>
      <c r="C1296" t="inlineStr">
        <is>
          <t>signatory_change</t>
        </is>
      </c>
      <c r="D1296" s="2" t="n">
        <v>46316.50486111111</v>
      </c>
      <c r="E1296" s="2" t="n">
        <v>46317.46319444444</v>
      </c>
      <c r="F1296" t="inlineStr">
        <is>
          <t>M6</t>
        </is>
      </c>
      <c r="G1296" t="inlineStr">
        <is>
          <t>C1</t>
        </is>
      </c>
      <c r="H1296" s="2" t="n">
        <v>46316.52222222222</v>
      </c>
      <c r="I1296" s="2" t="n">
        <v>46316.66319444445</v>
      </c>
      <c r="J1296" t="inlineStr">
        <is>
          <t>Completed</t>
        </is>
      </c>
      <c r="K1296" t="n">
        <v>3.8</v>
      </c>
      <c r="L1296" t="n">
        <v>8</v>
      </c>
      <c r="M1296" t="b">
        <v>0</v>
      </c>
      <c r="N1296" t="n">
        <v>0</v>
      </c>
      <c r="O1296" t="b">
        <v>1</v>
      </c>
      <c r="P1296" t="b">
        <v>0</v>
      </c>
      <c r="Q1296" t="b">
        <v>1</v>
      </c>
    </row>
    <row r="1297">
      <c r="A1297" t="inlineStr">
        <is>
          <t>REQ01296</t>
        </is>
      </c>
      <c r="B1297" t="inlineStr">
        <is>
          <t>254900S2WFRW0RGQ6D72</t>
        </is>
      </c>
      <c r="C1297" t="inlineStr">
        <is>
          <t>document_refresh</t>
        </is>
      </c>
      <c r="D1297" s="2" t="n">
        <v>46316.50555555556</v>
      </c>
      <c r="E1297" s="2" t="n">
        <v>46317.63055555556</v>
      </c>
      <c r="F1297" t="inlineStr">
        <is>
          <t>M4</t>
        </is>
      </c>
      <c r="G1297" t="inlineStr">
        <is>
          <t>C3</t>
        </is>
      </c>
      <c r="H1297" s="2" t="n">
        <v>46316.51736111111</v>
      </c>
      <c r="I1297" s="2" t="n">
        <v>46316.52430555555</v>
      </c>
      <c r="J1297" t="inlineStr">
        <is>
          <t>Completed</t>
        </is>
      </c>
      <c r="K1297" t="n">
        <v>0.45</v>
      </c>
      <c r="L1297" t="n">
        <v>12</v>
      </c>
      <c r="M1297" t="b">
        <v>0</v>
      </c>
      <c r="N1297" t="n">
        <v>0</v>
      </c>
      <c r="O1297" t="b">
        <v>1</v>
      </c>
      <c r="P1297" t="b">
        <v>0</v>
      </c>
      <c r="Q1297" t="b">
        <v>0</v>
      </c>
    </row>
    <row r="1298">
      <c r="A1298" t="inlineStr">
        <is>
          <t>REQ01297</t>
        </is>
      </c>
      <c r="B1298" t="inlineStr">
        <is>
          <t>335800B5UPLX1F8J3J36</t>
        </is>
      </c>
      <c r="C1298" t="inlineStr">
        <is>
          <t>new_account</t>
        </is>
      </c>
      <c r="D1298" s="2" t="n">
        <v>46316.51180555556</v>
      </c>
      <c r="E1298" s="2" t="n">
        <v>46318.42847222222</v>
      </c>
      <c r="F1298" t="inlineStr">
        <is>
          <t>M2</t>
        </is>
      </c>
      <c r="G1298" t="inlineStr">
        <is>
          <t>C3</t>
        </is>
      </c>
      <c r="H1298" s="2" t="n">
        <v>46316.54236111111</v>
      </c>
      <c r="I1298" s="2" t="n">
        <v>46316.55208333334</v>
      </c>
      <c r="J1298" t="inlineStr">
        <is>
          <t>Completed</t>
        </is>
      </c>
      <c r="K1298" t="n">
        <v>0.97</v>
      </c>
      <c r="L1298" t="n">
        <v>16</v>
      </c>
      <c r="M1298" t="b">
        <v>0</v>
      </c>
      <c r="N1298" t="n">
        <v>0</v>
      </c>
      <c r="O1298" t="b">
        <v>1</v>
      </c>
      <c r="P1298" t="b">
        <v>0</v>
      </c>
      <c r="Q1298" t="b">
        <v>0</v>
      </c>
    </row>
    <row r="1299">
      <c r="A1299" t="inlineStr">
        <is>
          <t>REQ01298</t>
        </is>
      </c>
      <c r="B1299" t="inlineStr">
        <is>
          <t>254900M4QDE53Q859D44</t>
        </is>
      </c>
      <c r="C1299" t="inlineStr">
        <is>
          <t>signatory_change</t>
        </is>
      </c>
      <c r="D1299" s="2" t="n">
        <v>46316.51597222222</v>
      </c>
      <c r="E1299" s="2" t="n">
        <v>46317.47430555556</v>
      </c>
      <c r="F1299" t="inlineStr">
        <is>
          <t>M3</t>
        </is>
      </c>
      <c r="G1299" t="inlineStr">
        <is>
          <t>C3</t>
        </is>
      </c>
      <c r="H1299" s="2" t="n">
        <v>46316.53611111111</v>
      </c>
      <c r="I1299" s="2" t="n">
        <v>46316.64722222222</v>
      </c>
      <c r="J1299" t="inlineStr">
        <is>
          <t>Completed</t>
        </is>
      </c>
      <c r="K1299" t="n">
        <v>3.14</v>
      </c>
      <c r="L1299" t="n">
        <v>8</v>
      </c>
      <c r="M1299" t="b">
        <v>0</v>
      </c>
      <c r="N1299" t="n">
        <v>0</v>
      </c>
      <c r="O1299" t="b">
        <v>1</v>
      </c>
      <c r="P1299" t="b">
        <v>0</v>
      </c>
      <c r="Q1299" t="b">
        <v>1</v>
      </c>
    </row>
    <row r="1300">
      <c r="A1300" t="inlineStr">
        <is>
          <t>REQ01299</t>
        </is>
      </c>
      <c r="B1300" t="inlineStr">
        <is>
          <t>506700XG9T6C1880M102</t>
        </is>
      </c>
      <c r="C1300" t="inlineStr">
        <is>
          <t>data_amendment</t>
        </is>
      </c>
      <c r="D1300" s="2" t="n">
        <v>46316.52013888889</v>
      </c>
      <c r="E1300" s="2" t="n">
        <v>46317.47847222222</v>
      </c>
      <c r="F1300" t="inlineStr">
        <is>
          <t>M5</t>
        </is>
      </c>
      <c r="G1300" t="inlineStr">
        <is>
          <t>C2</t>
        </is>
      </c>
      <c r="H1300" s="2" t="n">
        <v>46316.52986111111</v>
      </c>
      <c r="I1300" s="2" t="n">
        <v>46316.74513888889</v>
      </c>
      <c r="J1300" t="inlineStr">
        <is>
          <t>Completed</t>
        </is>
      </c>
      <c r="K1300" t="n">
        <v>5.4</v>
      </c>
      <c r="L1300" t="n">
        <v>8</v>
      </c>
      <c r="M1300" t="b">
        <v>0</v>
      </c>
      <c r="N1300" t="n">
        <v>0</v>
      </c>
      <c r="O1300" t="b">
        <v>1</v>
      </c>
      <c r="P1300" t="b">
        <v>0</v>
      </c>
      <c r="Q1300" t="b">
        <v>1</v>
      </c>
    </row>
    <row r="1301">
      <c r="A1301" t="inlineStr">
        <is>
          <t>REQ01300</t>
        </is>
      </c>
      <c r="B1301" t="inlineStr">
        <is>
          <t>984500DF8DBAB782CB96</t>
        </is>
      </c>
      <c r="C1301" t="inlineStr">
        <is>
          <t>document_refresh</t>
        </is>
      </c>
      <c r="D1301" s="2" t="n">
        <v>46316.52361111111</v>
      </c>
      <c r="E1301" s="2" t="n">
        <v>46317.64861111111</v>
      </c>
      <c r="F1301" t="inlineStr">
        <is>
          <t>M4</t>
        </is>
      </c>
      <c r="G1301" t="inlineStr">
        <is>
          <t>C3</t>
        </is>
      </c>
      <c r="H1301" s="2" t="n">
        <v>46316.53611111111</v>
      </c>
      <c r="I1301" s="2" t="n">
        <v>46316.63819444444</v>
      </c>
      <c r="J1301" t="inlineStr">
        <is>
          <t>Completed</t>
        </is>
      </c>
      <c r="K1301" t="n">
        <v>2.75</v>
      </c>
      <c r="L1301" t="n">
        <v>12</v>
      </c>
      <c r="M1301" t="b">
        <v>0</v>
      </c>
      <c r="N1301" t="n">
        <v>0</v>
      </c>
      <c r="O1301" t="b">
        <v>1</v>
      </c>
      <c r="P1301" t="b">
        <v>0</v>
      </c>
      <c r="Q1301" t="b">
        <v>1</v>
      </c>
    </row>
    <row r="1302">
      <c r="A1302" t="inlineStr">
        <is>
          <t>REQ01301</t>
        </is>
      </c>
      <c r="B1302" t="inlineStr">
        <is>
          <t>25490061M5YV739O2V36</t>
        </is>
      </c>
      <c r="C1302" t="inlineStr">
        <is>
          <t>new_account</t>
        </is>
      </c>
      <c r="D1302" s="2" t="n">
        <v>46316.53194444445</v>
      </c>
      <c r="E1302" s="2" t="n">
        <v>46318.44861111111</v>
      </c>
      <c r="F1302" t="inlineStr">
        <is>
          <t>M6</t>
        </is>
      </c>
      <c r="G1302" t="inlineStr">
        <is>
          <t>C3</t>
        </is>
      </c>
      <c r="H1302" s="2" t="n">
        <v>46316.55486111111</v>
      </c>
      <c r="I1302" s="2" t="n">
        <v>46316.56527777778</v>
      </c>
      <c r="J1302" t="inlineStr">
        <is>
          <t>Completed</t>
        </is>
      </c>
      <c r="K1302" t="n">
        <v>0.8</v>
      </c>
      <c r="L1302" t="n">
        <v>16</v>
      </c>
      <c r="M1302" t="b">
        <v>0</v>
      </c>
      <c r="N1302" t="n">
        <v>0</v>
      </c>
      <c r="O1302" t="b">
        <v>1</v>
      </c>
      <c r="P1302" t="b">
        <v>0</v>
      </c>
      <c r="Q1302" t="b">
        <v>0</v>
      </c>
    </row>
    <row r="1303">
      <c r="A1303" t="inlineStr">
        <is>
          <t>REQ01302</t>
        </is>
      </c>
      <c r="B1303" t="inlineStr">
        <is>
          <t>529900I3VXEKDIQSJR50</t>
        </is>
      </c>
      <c r="C1303" t="inlineStr">
        <is>
          <t>document_refresh</t>
        </is>
      </c>
      <c r="D1303" s="2" t="n">
        <v>46316.53611111111</v>
      </c>
      <c r="E1303" s="2" t="n">
        <v>46317.66111111111</v>
      </c>
      <c r="F1303" t="inlineStr">
        <is>
          <t>M1</t>
        </is>
      </c>
      <c r="G1303" t="inlineStr">
        <is>
          <t>C1</t>
        </is>
      </c>
      <c r="H1303" s="2" t="n">
        <v>46316.54930555556</v>
      </c>
      <c r="I1303" s="2" t="n">
        <v>46316.55555555555</v>
      </c>
      <c r="J1303" t="inlineStr">
        <is>
          <t>Completed</t>
        </is>
      </c>
      <c r="K1303" t="n">
        <v>0.46</v>
      </c>
      <c r="L1303" t="n">
        <v>12</v>
      </c>
      <c r="M1303" t="b">
        <v>0</v>
      </c>
      <c r="N1303" t="n">
        <v>0</v>
      </c>
      <c r="O1303" t="b">
        <v>1</v>
      </c>
      <c r="P1303" t="b">
        <v>0</v>
      </c>
      <c r="Q1303" t="b">
        <v>0</v>
      </c>
    </row>
    <row r="1304">
      <c r="A1304" t="inlineStr">
        <is>
          <t>REQ01303</t>
        </is>
      </c>
      <c r="B1304" t="inlineStr">
        <is>
          <t>254900VZSXR3LYAQAG40</t>
        </is>
      </c>
      <c r="C1304" t="inlineStr">
        <is>
          <t>document_refresh</t>
        </is>
      </c>
      <c r="D1304" s="2" t="n">
        <v>46316.53888888889</v>
      </c>
      <c r="E1304" s="2" t="n">
        <v>46317.66388888889</v>
      </c>
      <c r="F1304" t="inlineStr">
        <is>
          <t>M5</t>
        </is>
      </c>
      <c r="G1304" t="inlineStr">
        <is>
          <t>C2</t>
        </is>
      </c>
      <c r="H1304" s="2" t="n">
        <v>46316.54930555556</v>
      </c>
      <c r="I1304" s="2" t="n">
        <v>46316.55416666667</v>
      </c>
      <c r="J1304" t="inlineStr">
        <is>
          <t>Completed</t>
        </is>
      </c>
      <c r="K1304" t="n">
        <v>0.36</v>
      </c>
      <c r="L1304" t="n">
        <v>12</v>
      </c>
      <c r="M1304" t="b">
        <v>0</v>
      </c>
      <c r="N1304" t="n">
        <v>0</v>
      </c>
      <c r="O1304" t="b">
        <v>1</v>
      </c>
      <c r="P1304" t="b">
        <v>0</v>
      </c>
      <c r="Q1304" t="b">
        <v>0</v>
      </c>
    </row>
    <row r="1305">
      <c r="A1305" t="inlineStr">
        <is>
          <t>REQ01304</t>
        </is>
      </c>
      <c r="B1305" t="inlineStr">
        <is>
          <t>96950033KDS3Y9IAIM15</t>
        </is>
      </c>
      <c r="C1305" t="inlineStr">
        <is>
          <t>new_account</t>
        </is>
      </c>
      <c r="D1305" s="2" t="n">
        <v>46316.54444444444</v>
      </c>
      <c r="E1305" s="2" t="n">
        <v>46318.46111111111</v>
      </c>
      <c r="F1305" t="inlineStr">
        <is>
          <t>M3</t>
        </is>
      </c>
      <c r="G1305" t="inlineStr">
        <is>
          <t>C3</t>
        </is>
      </c>
      <c r="H1305" s="2" t="n">
        <v>46316.58263888889</v>
      </c>
      <c r="I1305" s="2" t="n">
        <v>46316.59375</v>
      </c>
      <c r="J1305" t="inlineStr">
        <is>
          <t>Completed</t>
        </is>
      </c>
      <c r="K1305" t="n">
        <v>1.18</v>
      </c>
      <c r="L1305" t="n">
        <v>16</v>
      </c>
      <c r="M1305" t="b">
        <v>0</v>
      </c>
      <c r="N1305" t="n">
        <v>0</v>
      </c>
      <c r="O1305" t="b">
        <v>1</v>
      </c>
      <c r="P1305" t="b">
        <v>0</v>
      </c>
      <c r="Q1305" t="b">
        <v>0</v>
      </c>
    </row>
    <row r="1306">
      <c r="A1306" t="inlineStr">
        <is>
          <t>REQ01305</t>
        </is>
      </c>
      <c r="B1306" t="inlineStr">
        <is>
          <t>96950016792G11AEGW10</t>
        </is>
      </c>
      <c r="C1306" t="inlineStr">
        <is>
          <t>signatory_change</t>
        </is>
      </c>
      <c r="D1306" s="2" t="n">
        <v>46316.54791666667</v>
      </c>
      <c r="E1306" s="2" t="n">
        <v>46317.50625</v>
      </c>
      <c r="F1306" t="inlineStr">
        <is>
          <t>M4</t>
        </is>
      </c>
      <c r="G1306" t="inlineStr">
        <is>
          <t>C1</t>
        </is>
      </c>
      <c r="H1306" s="2" t="n">
        <v>46316.57013888889</v>
      </c>
      <c r="I1306" s="2" t="n">
        <v>46316.575</v>
      </c>
      <c r="J1306" t="inlineStr">
        <is>
          <t>Completed</t>
        </is>
      </c>
      <c r="K1306" t="n">
        <v>0.65</v>
      </c>
      <c r="L1306" t="n">
        <v>8</v>
      </c>
      <c r="M1306" t="b">
        <v>0</v>
      </c>
      <c r="N1306" t="n">
        <v>0</v>
      </c>
      <c r="O1306" t="b">
        <v>1</v>
      </c>
      <c r="P1306" t="b">
        <v>0</v>
      </c>
      <c r="Q1306" t="b">
        <v>0</v>
      </c>
    </row>
    <row r="1307">
      <c r="A1307" t="inlineStr">
        <is>
          <t>REQ01306</t>
        </is>
      </c>
      <c r="B1307" t="inlineStr">
        <is>
          <t>969500ULQHLPM50M9A16</t>
        </is>
      </c>
      <c r="C1307" t="inlineStr">
        <is>
          <t>data_amendment</t>
        </is>
      </c>
      <c r="D1307" s="2" t="n">
        <v>46316.54791666667</v>
      </c>
      <c r="E1307" s="2" t="n">
        <v>46317.50625</v>
      </c>
      <c r="F1307" t="inlineStr">
        <is>
          <t>M2</t>
        </is>
      </c>
      <c r="G1307" t="inlineStr">
        <is>
          <t>C2</t>
        </is>
      </c>
      <c r="H1307" s="2" t="n">
        <v>46316.55833333333</v>
      </c>
      <c r="I1307" s="2" t="n">
        <v>46316.56875</v>
      </c>
      <c r="J1307" t="inlineStr">
        <is>
          <t>Completed</t>
        </is>
      </c>
      <c r="K1307" t="n">
        <v>0.5</v>
      </c>
      <c r="L1307" t="n">
        <v>8</v>
      </c>
      <c r="M1307" t="b">
        <v>0</v>
      </c>
      <c r="N1307" t="n">
        <v>1</v>
      </c>
      <c r="O1307" t="b">
        <v>0</v>
      </c>
      <c r="P1307" t="b">
        <v>1</v>
      </c>
      <c r="Q1307" t="b">
        <v>0</v>
      </c>
    </row>
    <row r="1308">
      <c r="A1308" t="inlineStr">
        <is>
          <t>REQ01307</t>
        </is>
      </c>
      <c r="B1308" t="inlineStr">
        <is>
          <t>213800TAEK3W2KU4AJ91</t>
        </is>
      </c>
      <c r="C1308" t="inlineStr">
        <is>
          <t>new_account</t>
        </is>
      </c>
      <c r="D1308" s="2" t="n">
        <v>46316.55</v>
      </c>
      <c r="E1308" s="2" t="n">
        <v>46318.46666666667</v>
      </c>
      <c r="F1308" t="inlineStr">
        <is>
          <t>M1</t>
        </is>
      </c>
      <c r="G1308" t="inlineStr">
        <is>
          <t>C2</t>
        </is>
      </c>
      <c r="H1308" s="2" t="n">
        <v>46316.57569444444</v>
      </c>
      <c r="I1308" s="2" t="n">
        <v>46316.58819444444</v>
      </c>
      <c r="J1308" t="inlineStr">
        <is>
          <t>Completed</t>
        </is>
      </c>
      <c r="K1308" t="n">
        <v>0.92</v>
      </c>
      <c r="L1308" t="n">
        <v>16</v>
      </c>
      <c r="M1308" t="b">
        <v>0</v>
      </c>
      <c r="N1308" t="n">
        <v>0</v>
      </c>
      <c r="O1308" t="b">
        <v>1</v>
      </c>
      <c r="P1308" t="b">
        <v>0</v>
      </c>
      <c r="Q1308" t="b">
        <v>0</v>
      </c>
    </row>
    <row r="1309">
      <c r="A1309" t="inlineStr">
        <is>
          <t>REQ01308</t>
        </is>
      </c>
      <c r="B1309" t="inlineStr">
        <is>
          <t>335800P5NI64OAQHRH69</t>
        </is>
      </c>
      <c r="C1309" t="inlineStr">
        <is>
          <t>signatory_change</t>
        </is>
      </c>
      <c r="D1309" s="2" t="n">
        <v>46316.55416666667</v>
      </c>
      <c r="E1309" s="2" t="n">
        <v>46317.5125</v>
      </c>
      <c r="F1309" t="inlineStr">
        <is>
          <t>M5</t>
        </is>
      </c>
      <c r="G1309" t="inlineStr">
        <is>
          <t>C1</t>
        </is>
      </c>
      <c r="H1309" s="2" t="n">
        <v>46316.57916666667</v>
      </c>
      <c r="I1309" s="2" t="n">
        <v>46316.58819444444</v>
      </c>
      <c r="J1309" t="inlineStr">
        <is>
          <t>Completed</t>
        </is>
      </c>
      <c r="K1309" t="n">
        <v>0.8100000000000001</v>
      </c>
      <c r="L1309" t="n">
        <v>8</v>
      </c>
      <c r="M1309" t="b">
        <v>0</v>
      </c>
      <c r="N1309" t="n">
        <v>0</v>
      </c>
      <c r="O1309" t="b">
        <v>1</v>
      </c>
      <c r="P1309" t="b">
        <v>0</v>
      </c>
      <c r="Q1309" t="b">
        <v>0</v>
      </c>
    </row>
    <row r="1310">
      <c r="A1310" t="inlineStr">
        <is>
          <t>REQ01309</t>
        </is>
      </c>
      <c r="B1310" t="inlineStr">
        <is>
          <t>391200L0FCBCTVTPFH03</t>
        </is>
      </c>
      <c r="C1310" t="inlineStr">
        <is>
          <t>document_refresh</t>
        </is>
      </c>
      <c r="D1310" s="2" t="n">
        <v>46316.57291666666</v>
      </c>
      <c r="E1310" s="2" t="n">
        <v>46317.69791666666</v>
      </c>
      <c r="F1310" t="inlineStr">
        <is>
          <t>M6</t>
        </is>
      </c>
      <c r="G1310" t="inlineStr">
        <is>
          <t>C3</t>
        </is>
      </c>
      <c r="H1310" s="2" t="n">
        <v>46316.58680555555</v>
      </c>
      <c r="I1310" s="2" t="n">
        <v>46316.7375</v>
      </c>
      <c r="J1310" t="inlineStr">
        <is>
          <t>Completed</t>
        </is>
      </c>
      <c r="K1310" t="n">
        <v>3.94</v>
      </c>
      <c r="L1310" t="n">
        <v>12</v>
      </c>
      <c r="M1310" t="b">
        <v>0</v>
      </c>
      <c r="N1310" t="n">
        <v>0</v>
      </c>
      <c r="O1310" t="b">
        <v>1</v>
      </c>
      <c r="P1310" t="b">
        <v>0</v>
      </c>
      <c r="Q1310" t="b">
        <v>1</v>
      </c>
    </row>
    <row r="1311">
      <c r="A1311" t="inlineStr">
        <is>
          <t>REQ01310</t>
        </is>
      </c>
      <c r="B1311" t="inlineStr">
        <is>
          <t>549300Y90KXVYG5E4W08</t>
        </is>
      </c>
      <c r="C1311" t="inlineStr">
        <is>
          <t>document_refresh</t>
        </is>
      </c>
      <c r="D1311" s="2" t="n">
        <v>46316.57430555556</v>
      </c>
      <c r="E1311" s="2" t="n">
        <v>46317.69930555556</v>
      </c>
      <c r="F1311" t="inlineStr">
        <is>
          <t>M2</t>
        </is>
      </c>
      <c r="G1311" t="inlineStr">
        <is>
          <t>C2</t>
        </is>
      </c>
      <c r="H1311" s="2" t="n">
        <v>46316.58541666667</v>
      </c>
      <c r="I1311" s="2" t="n">
        <v>46317.45</v>
      </c>
      <c r="J1311" t="inlineStr">
        <is>
          <t>Completed</t>
        </is>
      </c>
      <c r="K1311" t="n">
        <v>6.02</v>
      </c>
      <c r="L1311" t="n">
        <v>12</v>
      </c>
      <c r="M1311" t="b">
        <v>0</v>
      </c>
      <c r="N1311" t="n">
        <v>0</v>
      </c>
      <c r="O1311" t="b">
        <v>1</v>
      </c>
      <c r="P1311" t="b">
        <v>0</v>
      </c>
      <c r="Q1311" t="b">
        <v>1</v>
      </c>
    </row>
    <row r="1312">
      <c r="A1312" t="inlineStr">
        <is>
          <t>REQ01311</t>
        </is>
      </c>
      <c r="B1312" t="inlineStr">
        <is>
          <t>969500VANSQPGDUZGG38</t>
        </is>
      </c>
      <c r="C1312" t="inlineStr">
        <is>
          <t>document_refresh</t>
        </is>
      </c>
      <c r="D1312" s="2" t="n">
        <v>46316.57708333333</v>
      </c>
      <c r="E1312" s="2" t="n">
        <v>46317.70208333333</v>
      </c>
      <c r="F1312" t="inlineStr">
        <is>
          <t>M4</t>
        </is>
      </c>
      <c r="G1312" t="inlineStr">
        <is>
          <t>C1</t>
        </is>
      </c>
      <c r="H1312" s="2" t="n">
        <v>46316.59236111111</v>
      </c>
      <c r="I1312" s="2" t="n">
        <v>46316.6</v>
      </c>
      <c r="J1312" t="inlineStr">
        <is>
          <t>Completed</t>
        </is>
      </c>
      <c r="K1312" t="n">
        <v>0.55</v>
      </c>
      <c r="L1312" t="n">
        <v>12</v>
      </c>
      <c r="M1312" t="b">
        <v>0</v>
      </c>
      <c r="N1312" t="n">
        <v>0</v>
      </c>
      <c r="O1312" t="b">
        <v>1</v>
      </c>
      <c r="P1312" t="b">
        <v>0</v>
      </c>
      <c r="Q1312" t="b">
        <v>0</v>
      </c>
    </row>
    <row r="1313">
      <c r="A1313" t="inlineStr">
        <is>
          <t>REQ01312</t>
        </is>
      </c>
      <c r="B1313" t="inlineStr">
        <is>
          <t>213800AYQPTYLGY3GB51</t>
        </is>
      </c>
      <c r="C1313" t="inlineStr">
        <is>
          <t>signatory_change</t>
        </is>
      </c>
      <c r="D1313" s="2" t="n">
        <v>46316.58472222222</v>
      </c>
      <c r="E1313" s="2" t="n">
        <v>46317.54305555556</v>
      </c>
      <c r="F1313" t="inlineStr">
        <is>
          <t>M1</t>
        </is>
      </c>
      <c r="G1313" t="inlineStr">
        <is>
          <t>C2</t>
        </is>
      </c>
      <c r="H1313" s="2" t="n">
        <v>46316.60069444445</v>
      </c>
      <c r="I1313" s="2" t="n">
        <v>46317.41944444444</v>
      </c>
      <c r="J1313" t="inlineStr">
        <is>
          <t>Completed</t>
        </is>
      </c>
      <c r="K1313" t="n">
        <v>5.04</v>
      </c>
      <c r="L1313" t="n">
        <v>8</v>
      </c>
      <c r="M1313" t="b">
        <v>0</v>
      </c>
      <c r="N1313" t="n">
        <v>0</v>
      </c>
      <c r="O1313" t="b">
        <v>1</v>
      </c>
      <c r="P1313" t="b">
        <v>0</v>
      </c>
      <c r="Q1313" t="b">
        <v>1</v>
      </c>
    </row>
    <row r="1314">
      <c r="A1314" t="inlineStr">
        <is>
          <t>REQ01313</t>
        </is>
      </c>
      <c r="B1314" t="inlineStr">
        <is>
          <t>335800A6RELHKUB8OQ09</t>
        </is>
      </c>
      <c r="C1314" t="inlineStr">
        <is>
          <t>new_account</t>
        </is>
      </c>
      <c r="D1314" s="2" t="n">
        <v>46316.58541666667</v>
      </c>
      <c r="E1314" s="2" t="n">
        <v>46318.50208333333</v>
      </c>
      <c r="F1314" t="inlineStr">
        <is>
          <t>M5</t>
        </is>
      </c>
      <c r="G1314" t="inlineStr">
        <is>
          <t>C3</t>
        </is>
      </c>
      <c r="H1314" s="2" t="n">
        <v>46316.60763888889</v>
      </c>
      <c r="I1314" s="2" t="n">
        <v>46316.61944444444</v>
      </c>
      <c r="J1314" t="inlineStr">
        <is>
          <t>Completed</t>
        </is>
      </c>
      <c r="K1314" t="n">
        <v>0.8100000000000001</v>
      </c>
      <c r="L1314" t="n">
        <v>16</v>
      </c>
      <c r="M1314" t="b">
        <v>0</v>
      </c>
      <c r="N1314" t="n">
        <v>0</v>
      </c>
      <c r="O1314" t="b">
        <v>1</v>
      </c>
      <c r="P1314" t="b">
        <v>0</v>
      </c>
      <c r="Q1314" t="b">
        <v>0</v>
      </c>
    </row>
    <row r="1315">
      <c r="A1315" t="inlineStr">
        <is>
          <t>REQ01314</t>
        </is>
      </c>
      <c r="B1315" t="inlineStr">
        <is>
          <t>5493000FMVNQERFVPF48</t>
        </is>
      </c>
      <c r="C1315" t="inlineStr">
        <is>
          <t>document_refresh</t>
        </is>
      </c>
      <c r="D1315" s="2" t="n">
        <v>46316.58611111111</v>
      </c>
      <c r="E1315" s="2" t="n">
        <v>46317.71111111111</v>
      </c>
      <c r="F1315" t="inlineStr">
        <is>
          <t>M3</t>
        </is>
      </c>
      <c r="G1315" t="inlineStr">
        <is>
          <t>C1</t>
        </is>
      </c>
      <c r="H1315" s="2" t="n">
        <v>46316.60138888889</v>
      </c>
      <c r="I1315" s="2" t="n">
        <v>46316.60833333333</v>
      </c>
      <c r="J1315" t="inlineStr">
        <is>
          <t>Completed</t>
        </is>
      </c>
      <c r="K1315" t="n">
        <v>0.54</v>
      </c>
      <c r="L1315" t="n">
        <v>12</v>
      </c>
      <c r="M1315" t="b">
        <v>0</v>
      </c>
      <c r="N1315" t="n">
        <v>0</v>
      </c>
      <c r="O1315" t="b">
        <v>1</v>
      </c>
      <c r="P1315" t="b">
        <v>0</v>
      </c>
      <c r="Q1315" t="b">
        <v>0</v>
      </c>
    </row>
    <row r="1316">
      <c r="A1316" t="inlineStr">
        <is>
          <t>REQ01315</t>
        </is>
      </c>
      <c r="B1316" t="inlineStr">
        <is>
          <t>213800UYBY1PYDPZQF87</t>
        </is>
      </c>
      <c r="C1316" t="inlineStr">
        <is>
          <t>signatory_change</t>
        </is>
      </c>
      <c r="D1316" s="2" t="n">
        <v>46316.58819444444</v>
      </c>
      <c r="E1316" s="2" t="n">
        <v>46317.54652777778</v>
      </c>
      <c r="F1316" t="inlineStr">
        <is>
          <t>M2</t>
        </is>
      </c>
      <c r="G1316" t="inlineStr">
        <is>
          <t>C1</t>
        </is>
      </c>
      <c r="H1316" s="2" t="n">
        <v>46316.60763888889</v>
      </c>
      <c r="I1316" s="2" t="n">
        <v>46316.73680555556</v>
      </c>
      <c r="J1316" t="inlineStr">
        <is>
          <t>Completed</t>
        </is>
      </c>
      <c r="K1316" t="n">
        <v>3.56</v>
      </c>
      <c r="L1316" t="n">
        <v>8</v>
      </c>
      <c r="M1316" t="b">
        <v>0</v>
      </c>
      <c r="N1316" t="n">
        <v>0</v>
      </c>
      <c r="O1316" t="b">
        <v>1</v>
      </c>
      <c r="P1316" t="b">
        <v>0</v>
      </c>
      <c r="Q1316" t="b">
        <v>1</v>
      </c>
    </row>
    <row r="1317">
      <c r="A1317" t="inlineStr">
        <is>
          <t>REQ01316</t>
        </is>
      </c>
      <c r="B1317" t="inlineStr">
        <is>
          <t>391200HRGOAJNAUUZT91</t>
        </is>
      </c>
      <c r="C1317" t="inlineStr">
        <is>
          <t>document_refresh</t>
        </is>
      </c>
      <c r="D1317" s="2" t="n">
        <v>46316.58958333333</v>
      </c>
      <c r="E1317" s="2" t="n">
        <v>46317.71458333333</v>
      </c>
      <c r="F1317" t="inlineStr">
        <is>
          <t>M6</t>
        </is>
      </c>
      <c r="G1317" t="inlineStr">
        <is>
          <t>C1</t>
        </is>
      </c>
      <c r="H1317" s="2" t="n">
        <v>46316.60625</v>
      </c>
      <c r="I1317" s="2" t="n">
        <v>46317.48819444444</v>
      </c>
      <c r="J1317" t="inlineStr">
        <is>
          <t>Completed</t>
        </is>
      </c>
      <c r="K1317" t="n">
        <v>6.56</v>
      </c>
      <c r="L1317" t="n">
        <v>12</v>
      </c>
      <c r="M1317" t="b">
        <v>0</v>
      </c>
      <c r="N1317" t="n">
        <v>0</v>
      </c>
      <c r="O1317" t="b">
        <v>1</v>
      </c>
      <c r="P1317" t="b">
        <v>0</v>
      </c>
      <c r="Q1317" t="b">
        <v>1</v>
      </c>
    </row>
    <row r="1318">
      <c r="A1318" t="inlineStr">
        <is>
          <t>REQ01317</t>
        </is>
      </c>
      <c r="B1318" t="inlineStr">
        <is>
          <t>254900WII1ODBGFSYN32</t>
        </is>
      </c>
      <c r="C1318" t="inlineStr">
        <is>
          <t>signatory_change</t>
        </is>
      </c>
      <c r="D1318" s="2" t="n">
        <v>46316.59791666667</v>
      </c>
      <c r="E1318" s="2" t="n">
        <v>46317.55625</v>
      </c>
      <c r="F1318" t="inlineStr">
        <is>
          <t>M4</t>
        </is>
      </c>
      <c r="G1318" t="inlineStr">
        <is>
          <t>C3</t>
        </is>
      </c>
      <c r="H1318" s="2" t="n">
        <v>46316.62013888889</v>
      </c>
      <c r="I1318" s="2" t="n">
        <v>46317.44722222222</v>
      </c>
      <c r="J1318" t="inlineStr">
        <is>
          <t>Completed</t>
        </is>
      </c>
      <c r="K1318" t="n">
        <v>5.38</v>
      </c>
      <c r="L1318" t="n">
        <v>8</v>
      </c>
      <c r="M1318" t="b">
        <v>0</v>
      </c>
      <c r="N1318" t="n">
        <v>0</v>
      </c>
      <c r="O1318" t="b">
        <v>1</v>
      </c>
      <c r="P1318" t="b">
        <v>0</v>
      </c>
      <c r="Q1318" t="b">
        <v>1</v>
      </c>
    </row>
    <row r="1319">
      <c r="A1319" t="inlineStr">
        <is>
          <t>REQ01318</t>
        </is>
      </c>
      <c r="B1319" t="inlineStr">
        <is>
          <t>529900YT5WJIR1C0CM50</t>
        </is>
      </c>
      <c r="C1319" t="inlineStr">
        <is>
          <t>data_amendment</t>
        </is>
      </c>
      <c r="D1319" s="2" t="n">
        <v>46316.62638888889</v>
      </c>
      <c r="E1319" s="2" t="n">
        <v>46317.58472222222</v>
      </c>
      <c r="F1319" t="inlineStr">
        <is>
          <t>M1</t>
        </is>
      </c>
      <c r="G1319" t="inlineStr">
        <is>
          <t>C2</t>
        </is>
      </c>
      <c r="H1319" s="2" t="n">
        <v>46316.63472222222</v>
      </c>
      <c r="I1319" s="2" t="n">
        <v>46317.49583333333</v>
      </c>
      <c r="J1319" t="inlineStr">
        <is>
          <t>Completed</t>
        </is>
      </c>
      <c r="K1319" t="n">
        <v>5.86</v>
      </c>
      <c r="L1319" t="n">
        <v>8</v>
      </c>
      <c r="M1319" t="b">
        <v>0</v>
      </c>
      <c r="N1319" t="n">
        <v>0</v>
      </c>
      <c r="O1319" t="b">
        <v>1</v>
      </c>
      <c r="P1319" t="b">
        <v>0</v>
      </c>
      <c r="Q1319" t="b">
        <v>1</v>
      </c>
    </row>
    <row r="1320">
      <c r="A1320" t="inlineStr">
        <is>
          <t>REQ01319</t>
        </is>
      </c>
      <c r="B1320" t="inlineStr">
        <is>
          <t>213800RAZ3PCDZRQY754</t>
        </is>
      </c>
      <c r="C1320" t="inlineStr">
        <is>
          <t>signatory_change</t>
        </is>
      </c>
      <c r="D1320" s="2" t="n">
        <v>46316.62638888889</v>
      </c>
      <c r="E1320" s="2" t="n">
        <v>46317.58472222222</v>
      </c>
      <c r="F1320" t="inlineStr">
        <is>
          <t>M3</t>
        </is>
      </c>
      <c r="G1320" t="inlineStr">
        <is>
          <t>C1</t>
        </is>
      </c>
      <c r="H1320" s="2" t="n">
        <v>46316.64097222222</v>
      </c>
      <c r="I1320" s="2" t="n">
        <v>46317.38263888889</v>
      </c>
      <c r="J1320" t="inlineStr">
        <is>
          <t>Completed</t>
        </is>
      </c>
      <c r="K1320" t="n">
        <v>3.16</v>
      </c>
      <c r="L1320" t="n">
        <v>8</v>
      </c>
      <c r="M1320" t="b">
        <v>0</v>
      </c>
      <c r="N1320" t="n">
        <v>1</v>
      </c>
      <c r="O1320" t="b">
        <v>0</v>
      </c>
      <c r="P1320" t="b">
        <v>1</v>
      </c>
      <c r="Q1320" t="b">
        <v>1</v>
      </c>
    </row>
    <row r="1321">
      <c r="A1321" t="inlineStr">
        <is>
          <t>REQ01320</t>
        </is>
      </c>
      <c r="B1321" t="inlineStr">
        <is>
          <t>3912005W7X4CCQWOZU05</t>
        </is>
      </c>
      <c r="C1321" t="inlineStr">
        <is>
          <t>data_amendment</t>
        </is>
      </c>
      <c r="D1321" s="2" t="n">
        <v>46316.62638888889</v>
      </c>
      <c r="E1321" s="2" t="n">
        <v>46317.58472222222</v>
      </c>
      <c r="F1321" t="inlineStr">
        <is>
          <t>M6</t>
        </is>
      </c>
      <c r="G1321" t="inlineStr">
        <is>
          <t>C2</t>
        </is>
      </c>
      <c r="H1321" s="2" t="n">
        <v>46316.63888888889</v>
      </c>
      <c r="I1321" s="2" t="n">
        <v>46316.65069444444</v>
      </c>
      <c r="J1321" t="inlineStr">
        <is>
          <t>Completed</t>
        </is>
      </c>
      <c r="K1321" t="n">
        <v>0.58</v>
      </c>
      <c r="L1321" t="n">
        <v>8</v>
      </c>
      <c r="M1321" t="b">
        <v>0</v>
      </c>
      <c r="N1321" t="n">
        <v>0</v>
      </c>
      <c r="O1321" t="b">
        <v>1</v>
      </c>
      <c r="P1321" t="b">
        <v>0</v>
      </c>
      <c r="Q1321" t="b">
        <v>0</v>
      </c>
    </row>
    <row r="1322">
      <c r="A1322" t="inlineStr">
        <is>
          <t>REQ01321</t>
        </is>
      </c>
      <c r="B1322" t="inlineStr">
        <is>
          <t>6488LB101HF09VL1O018</t>
        </is>
      </c>
      <c r="C1322" t="inlineStr">
        <is>
          <t>document_refresh</t>
        </is>
      </c>
      <c r="D1322" s="2" t="n">
        <v>46316.62708333333</v>
      </c>
      <c r="E1322" s="2" t="n">
        <v>46318.37708333333</v>
      </c>
      <c r="F1322" t="inlineStr">
        <is>
          <t>M5</t>
        </is>
      </c>
      <c r="G1322" t="inlineStr">
        <is>
          <t>C1</t>
        </is>
      </c>
      <c r="H1322" s="2" t="n">
        <v>46316.63819444444</v>
      </c>
      <c r="I1322" s="2" t="n">
        <v>46316.64861111111</v>
      </c>
      <c r="J1322" t="inlineStr">
        <is>
          <t>Completed</t>
        </is>
      </c>
      <c r="K1322" t="n">
        <v>0.51</v>
      </c>
      <c r="L1322" t="n">
        <v>12</v>
      </c>
      <c r="M1322" t="b">
        <v>0</v>
      </c>
      <c r="N1322" t="n">
        <v>0</v>
      </c>
      <c r="O1322" t="b">
        <v>1</v>
      </c>
      <c r="P1322" t="b">
        <v>0</v>
      </c>
      <c r="Q1322" t="b">
        <v>0</v>
      </c>
    </row>
    <row r="1323">
      <c r="A1323" t="inlineStr">
        <is>
          <t>REQ01322</t>
        </is>
      </c>
      <c r="B1323" t="inlineStr">
        <is>
          <t>213800P7G59U97FPNF86</t>
        </is>
      </c>
      <c r="C1323" t="inlineStr">
        <is>
          <t>new_account</t>
        </is>
      </c>
      <c r="D1323" s="2" t="n">
        <v>46316.63611111111</v>
      </c>
      <c r="E1323" s="2" t="n">
        <v>46318.55277777778</v>
      </c>
      <c r="F1323" t="inlineStr">
        <is>
          <t>M2</t>
        </is>
      </c>
      <c r="G1323" t="inlineStr">
        <is>
          <t>C3</t>
        </is>
      </c>
      <c r="H1323" s="2" t="n">
        <v>46316.67152777778</v>
      </c>
      <c r="I1323" s="2" t="n">
        <v>46317.54027777778</v>
      </c>
      <c r="J1323" t="inlineStr">
        <is>
          <t>Completed</t>
        </is>
      </c>
      <c r="K1323" t="n">
        <v>6.7</v>
      </c>
      <c r="L1323" t="n">
        <v>16</v>
      </c>
      <c r="M1323" t="b">
        <v>0</v>
      </c>
      <c r="N1323" t="n">
        <v>0</v>
      </c>
      <c r="O1323" t="b">
        <v>1</v>
      </c>
      <c r="P1323" t="b">
        <v>0</v>
      </c>
      <c r="Q1323" t="b">
        <v>1</v>
      </c>
    </row>
    <row r="1324">
      <c r="A1324" t="inlineStr">
        <is>
          <t>REQ01323</t>
        </is>
      </c>
      <c r="B1324" t="inlineStr">
        <is>
          <t>3358002YUNZKE8DGTD04</t>
        </is>
      </c>
      <c r="C1324" t="inlineStr">
        <is>
          <t>data_amendment</t>
        </is>
      </c>
      <c r="D1324" s="2" t="n">
        <v>46316.64166666667</v>
      </c>
      <c r="E1324" s="2" t="n">
        <v>46317.6</v>
      </c>
      <c r="F1324" t="inlineStr">
        <is>
          <t>M4</t>
        </is>
      </c>
      <c r="G1324" t="inlineStr">
        <is>
          <t>C2</t>
        </is>
      </c>
      <c r="H1324" s="2" t="n">
        <v>46316.65138888889</v>
      </c>
      <c r="I1324" s="2" t="n">
        <v>46316.65625</v>
      </c>
      <c r="J1324" t="inlineStr">
        <is>
          <t>Completed</t>
        </is>
      </c>
      <c r="K1324" t="n">
        <v>0.35</v>
      </c>
      <c r="L1324" t="n">
        <v>8</v>
      </c>
      <c r="M1324" t="b">
        <v>0</v>
      </c>
      <c r="N1324" t="n">
        <v>0</v>
      </c>
      <c r="O1324" t="b">
        <v>1</v>
      </c>
      <c r="P1324" t="b">
        <v>0</v>
      </c>
      <c r="Q1324" t="b">
        <v>0</v>
      </c>
    </row>
    <row r="1325">
      <c r="A1325" t="inlineStr">
        <is>
          <t>REQ01324</t>
        </is>
      </c>
      <c r="B1325" t="inlineStr">
        <is>
          <t>9695008NZUSWFQUDPD36</t>
        </is>
      </c>
      <c r="C1325" t="inlineStr">
        <is>
          <t>document_refresh</t>
        </is>
      </c>
      <c r="D1325" s="2" t="n">
        <v>46316.64513888889</v>
      </c>
      <c r="E1325" s="2" t="n">
        <v>46318.39513888889</v>
      </c>
      <c r="F1325" t="inlineStr">
        <is>
          <t>M1</t>
        </is>
      </c>
      <c r="G1325" t="inlineStr">
        <is>
          <t>C3</t>
        </is>
      </c>
      <c r="H1325" s="2" t="n">
        <v>46316.65555555555</v>
      </c>
      <c r="I1325" s="2" t="n">
        <v>46316.66041666667</v>
      </c>
      <c r="J1325" t="inlineStr">
        <is>
          <t>Completed</t>
        </is>
      </c>
      <c r="K1325" t="n">
        <v>0.37</v>
      </c>
      <c r="L1325" t="n">
        <v>12</v>
      </c>
      <c r="M1325" t="b">
        <v>0</v>
      </c>
      <c r="N1325" t="n">
        <v>0</v>
      </c>
      <c r="O1325" t="b">
        <v>1</v>
      </c>
      <c r="P1325" t="b">
        <v>0</v>
      </c>
      <c r="Q1325" t="b">
        <v>0</v>
      </c>
    </row>
    <row r="1326">
      <c r="A1326" t="inlineStr">
        <is>
          <t>REQ01325</t>
        </is>
      </c>
      <c r="B1326" t="inlineStr">
        <is>
          <t>875500VK9K962OPETW72</t>
        </is>
      </c>
      <c r="C1326" t="inlineStr">
        <is>
          <t>document_refresh</t>
        </is>
      </c>
      <c r="D1326" s="2" t="n">
        <v>46316.64722222222</v>
      </c>
      <c r="E1326" s="2" t="n">
        <v>46318.39722222222</v>
      </c>
      <c r="F1326" t="inlineStr">
        <is>
          <t>M5</t>
        </is>
      </c>
      <c r="G1326" t="inlineStr">
        <is>
          <t>C2</t>
        </is>
      </c>
      <c r="H1326" s="2" t="n">
        <v>46316.66527777778</v>
      </c>
      <c r="I1326" s="2" t="n">
        <v>46317.44444444445</v>
      </c>
      <c r="J1326" t="inlineStr">
        <is>
          <t>Completed</t>
        </is>
      </c>
      <c r="K1326" t="n">
        <v>4.14</v>
      </c>
      <c r="L1326" t="n">
        <v>12</v>
      </c>
      <c r="M1326" t="b">
        <v>0</v>
      </c>
      <c r="N1326" t="n">
        <v>0</v>
      </c>
      <c r="O1326" t="b">
        <v>1</v>
      </c>
      <c r="P1326" t="b">
        <v>0</v>
      </c>
      <c r="Q1326" t="b">
        <v>1</v>
      </c>
    </row>
    <row r="1327">
      <c r="A1327" t="inlineStr">
        <is>
          <t>REQ01326</t>
        </is>
      </c>
      <c r="B1327" t="inlineStr">
        <is>
          <t>335800NS3ZFN1XMTS436</t>
        </is>
      </c>
      <c r="C1327" t="inlineStr">
        <is>
          <t>new_account</t>
        </is>
      </c>
      <c r="D1327" s="2" t="n">
        <v>46316.64722222222</v>
      </c>
      <c r="E1327" s="2" t="n">
        <v>46318.56388888889</v>
      </c>
      <c r="F1327" t="inlineStr">
        <is>
          <t>M6</t>
        </is>
      </c>
      <c r="G1327" t="inlineStr">
        <is>
          <t>C2</t>
        </is>
      </c>
      <c r="H1327" s="2" t="n">
        <v>46316.68333333333</v>
      </c>
      <c r="I1327" s="2" t="n">
        <v>46316.69166666667</v>
      </c>
      <c r="J1327" t="inlineStr">
        <is>
          <t>Completed</t>
        </is>
      </c>
      <c r="K1327" t="n">
        <v>1.07</v>
      </c>
      <c r="L1327" t="n">
        <v>16</v>
      </c>
      <c r="M1327" t="b">
        <v>0</v>
      </c>
      <c r="N1327" t="n">
        <v>0</v>
      </c>
      <c r="O1327" t="b">
        <v>1</v>
      </c>
      <c r="P1327" t="b">
        <v>0</v>
      </c>
      <c r="Q1327" t="b">
        <v>0</v>
      </c>
    </row>
    <row r="1328">
      <c r="A1328" t="inlineStr">
        <is>
          <t>REQ01327</t>
        </is>
      </c>
      <c r="B1328" t="inlineStr">
        <is>
          <t>969500277QAFKY3DIZ35</t>
        </is>
      </c>
      <c r="C1328" t="inlineStr">
        <is>
          <t>new_account</t>
        </is>
      </c>
      <c r="D1328" s="2" t="n">
        <v>46316.64930555555</v>
      </c>
      <c r="E1328" s="2" t="n">
        <v>46318.56597222222</v>
      </c>
      <c r="F1328" t="inlineStr">
        <is>
          <t>M3</t>
        </is>
      </c>
      <c r="G1328" t="inlineStr">
        <is>
          <t>C1</t>
        </is>
      </c>
      <c r="H1328" s="2" t="n">
        <v>46316.68194444444</v>
      </c>
      <c r="I1328" s="2" t="n">
        <v>46316.68958333333</v>
      </c>
      <c r="J1328" t="inlineStr">
        <is>
          <t>Completed</t>
        </is>
      </c>
      <c r="K1328" t="n">
        <v>0.97</v>
      </c>
      <c r="L1328" t="n">
        <v>16</v>
      </c>
      <c r="M1328" t="b">
        <v>0</v>
      </c>
      <c r="N1328" t="n">
        <v>0</v>
      </c>
      <c r="O1328" t="b">
        <v>1</v>
      </c>
      <c r="P1328" t="b">
        <v>0</v>
      </c>
      <c r="Q1328" t="b">
        <v>0</v>
      </c>
    </row>
    <row r="1329">
      <c r="A1329" t="inlineStr">
        <is>
          <t>REQ01328</t>
        </is>
      </c>
      <c r="B1329" t="inlineStr">
        <is>
          <t>549300L87DKOI44GB838</t>
        </is>
      </c>
      <c r="C1329" t="inlineStr">
        <is>
          <t>signatory_change</t>
        </is>
      </c>
      <c r="D1329" s="2" t="n">
        <v>46316.65208333333</v>
      </c>
      <c r="E1329" s="2" t="n">
        <v>46317.61041666667</v>
      </c>
      <c r="F1329" t="inlineStr">
        <is>
          <t>M4</t>
        </is>
      </c>
      <c r="G1329" t="inlineStr">
        <is>
          <t>C3</t>
        </is>
      </c>
      <c r="H1329" s="2" t="n">
        <v>46316.67083333333</v>
      </c>
      <c r="I1329" s="2" t="n">
        <v>46316.67777777778</v>
      </c>
      <c r="J1329" t="inlineStr">
        <is>
          <t>Completed</t>
        </is>
      </c>
      <c r="K1329" t="n">
        <v>0.62</v>
      </c>
      <c r="L1329" t="n">
        <v>8</v>
      </c>
      <c r="M1329" t="b">
        <v>0</v>
      </c>
      <c r="N1329" t="n">
        <v>0</v>
      </c>
      <c r="O1329" t="b">
        <v>1</v>
      </c>
      <c r="P1329" t="b">
        <v>0</v>
      </c>
      <c r="Q1329" t="b">
        <v>0</v>
      </c>
    </row>
    <row r="1330">
      <c r="A1330" t="inlineStr">
        <is>
          <t>REQ01329</t>
        </is>
      </c>
      <c r="B1330" t="inlineStr">
        <is>
          <t>5493002ZOOZ0SN3YYI81</t>
        </is>
      </c>
      <c r="C1330" t="inlineStr">
        <is>
          <t>data_amendment</t>
        </is>
      </c>
      <c r="D1330" s="2" t="n">
        <v>46316.65416666667</v>
      </c>
      <c r="E1330" s="2" t="n">
        <v>46317.6125</v>
      </c>
      <c r="F1330" t="inlineStr">
        <is>
          <t>M1</t>
        </is>
      </c>
      <c r="G1330" t="inlineStr">
        <is>
          <t>C3</t>
        </is>
      </c>
      <c r="H1330" s="2" t="n">
        <v>46316.66666666666</v>
      </c>
      <c r="I1330" s="2" t="n">
        <v>46316.67083333333</v>
      </c>
      <c r="J1330" t="inlineStr">
        <is>
          <t>Completed</t>
        </is>
      </c>
      <c r="K1330" t="n">
        <v>0.4</v>
      </c>
      <c r="L1330" t="n">
        <v>8</v>
      </c>
      <c r="M1330" t="b">
        <v>0</v>
      </c>
      <c r="N1330" t="n">
        <v>0</v>
      </c>
      <c r="O1330" t="b">
        <v>1</v>
      </c>
      <c r="P1330" t="b">
        <v>0</v>
      </c>
      <c r="Q1330" t="b">
        <v>0</v>
      </c>
    </row>
    <row r="1331">
      <c r="A1331" t="inlineStr">
        <is>
          <t>REQ01330</t>
        </is>
      </c>
      <c r="B1331" t="inlineStr">
        <is>
          <t>549300VVE6UDYBSGJO20</t>
        </is>
      </c>
      <c r="C1331" t="inlineStr">
        <is>
          <t>new_account</t>
        </is>
      </c>
      <c r="D1331" s="2" t="n">
        <v>46316.65902777778</v>
      </c>
      <c r="E1331" s="2" t="n">
        <v>46318.57569444444</v>
      </c>
      <c r="F1331" t="inlineStr">
        <is>
          <t>M5</t>
        </is>
      </c>
      <c r="G1331" t="inlineStr">
        <is>
          <t>C1</t>
        </is>
      </c>
      <c r="H1331" s="2" t="n">
        <v>46316.69652777778</v>
      </c>
      <c r="I1331" s="2" t="n">
        <v>46317.45972222222</v>
      </c>
      <c r="J1331" t="inlineStr">
        <is>
          <t>Completed</t>
        </is>
      </c>
      <c r="K1331" t="n">
        <v>4.22</v>
      </c>
      <c r="L1331" t="n">
        <v>16</v>
      </c>
      <c r="M1331" t="b">
        <v>0</v>
      </c>
      <c r="N1331" t="n">
        <v>0</v>
      </c>
      <c r="O1331" t="b">
        <v>1</v>
      </c>
      <c r="P1331" t="b">
        <v>0</v>
      </c>
      <c r="Q1331" t="b">
        <v>1</v>
      </c>
    </row>
    <row r="1332">
      <c r="A1332" t="inlineStr">
        <is>
          <t>REQ01331</t>
        </is>
      </c>
      <c r="B1332" t="inlineStr">
        <is>
          <t>335800VLP7SMECC66143</t>
        </is>
      </c>
      <c r="C1332" t="inlineStr">
        <is>
          <t>data_amendment</t>
        </is>
      </c>
      <c r="D1332" s="2" t="n">
        <v>46316.66180555556</v>
      </c>
      <c r="E1332" s="2" t="n">
        <v>46317.62013888889</v>
      </c>
      <c r="F1332" t="inlineStr">
        <is>
          <t>M1</t>
        </is>
      </c>
      <c r="G1332" t="inlineStr">
        <is>
          <t>C2</t>
        </is>
      </c>
      <c r="H1332" s="2" t="n">
        <v>46316.67708333334</v>
      </c>
      <c r="I1332" s="2" t="n">
        <v>46316.68125</v>
      </c>
      <c r="J1332" t="inlineStr">
        <is>
          <t>Completed</t>
        </is>
      </c>
      <c r="K1332" t="n">
        <v>0.47</v>
      </c>
      <c r="L1332" t="n">
        <v>8</v>
      </c>
      <c r="M1332" t="b">
        <v>0</v>
      </c>
      <c r="N1332" t="n">
        <v>0</v>
      </c>
      <c r="O1332" t="b">
        <v>1</v>
      </c>
      <c r="P1332" t="b">
        <v>0</v>
      </c>
      <c r="Q1332" t="b">
        <v>0</v>
      </c>
    </row>
    <row r="1333">
      <c r="A1333" t="inlineStr">
        <is>
          <t>REQ01332</t>
        </is>
      </c>
      <c r="B1333" t="inlineStr">
        <is>
          <t>2549003JNNJ634CMKZ25</t>
        </is>
      </c>
      <c r="C1333" t="inlineStr">
        <is>
          <t>new_account</t>
        </is>
      </c>
      <c r="D1333" s="2" t="n">
        <v>46316.66388888889</v>
      </c>
      <c r="E1333" s="2" t="n">
        <v>46318.58055555556</v>
      </c>
      <c r="F1333" t="inlineStr">
        <is>
          <t>M4</t>
        </is>
      </c>
      <c r="G1333" t="inlineStr">
        <is>
          <t>C3</t>
        </is>
      </c>
      <c r="H1333" s="2" t="n">
        <v>46316.7</v>
      </c>
      <c r="I1333" s="2" t="n">
        <v>46316.71041666667</v>
      </c>
      <c r="J1333" t="inlineStr">
        <is>
          <t>Completed</t>
        </is>
      </c>
      <c r="K1333" t="n">
        <v>1.12</v>
      </c>
      <c r="L1333" t="n">
        <v>16</v>
      </c>
      <c r="M1333" t="b">
        <v>0</v>
      </c>
      <c r="N1333" t="n">
        <v>0</v>
      </c>
      <c r="O1333" t="b">
        <v>1</v>
      </c>
      <c r="P1333" t="b">
        <v>0</v>
      </c>
      <c r="Q1333" t="b">
        <v>0</v>
      </c>
    </row>
    <row r="1334">
      <c r="A1334" t="inlineStr">
        <is>
          <t>REQ01333</t>
        </is>
      </c>
      <c r="B1334" t="inlineStr">
        <is>
          <t>724500SBAG8HFTJVBN88</t>
        </is>
      </c>
      <c r="C1334" t="inlineStr">
        <is>
          <t>signatory_change</t>
        </is>
      </c>
      <c r="D1334" s="2" t="n">
        <v>46316.66458333333</v>
      </c>
      <c r="E1334" s="2" t="n">
        <v>46317.62291666667</v>
      </c>
      <c r="F1334" t="inlineStr">
        <is>
          <t>M2</t>
        </is>
      </c>
      <c r="G1334" t="inlineStr">
        <is>
          <t>C1</t>
        </is>
      </c>
      <c r="H1334" s="2" t="n">
        <v>46316.69722222222</v>
      </c>
      <c r="I1334" s="2" t="n">
        <v>46317.52986111111</v>
      </c>
      <c r="J1334" t="inlineStr">
        <is>
          <t>Completed</t>
        </is>
      </c>
      <c r="K1334" t="n">
        <v>5.77</v>
      </c>
      <c r="L1334" t="n">
        <v>8</v>
      </c>
      <c r="M1334" t="b">
        <v>0</v>
      </c>
      <c r="N1334" t="n">
        <v>0</v>
      </c>
      <c r="O1334" t="b">
        <v>1</v>
      </c>
      <c r="P1334" t="b">
        <v>0</v>
      </c>
      <c r="Q1334" t="b">
        <v>1</v>
      </c>
    </row>
    <row r="1335">
      <c r="A1335" t="inlineStr">
        <is>
          <t>REQ01334</t>
        </is>
      </c>
      <c r="B1335" t="inlineStr">
        <is>
          <t>969500HRB2G997LHEK05</t>
        </is>
      </c>
      <c r="C1335" t="inlineStr">
        <is>
          <t>document_refresh</t>
        </is>
      </c>
      <c r="D1335" s="2" t="n">
        <v>46316.67083333333</v>
      </c>
      <c r="E1335" s="2" t="n">
        <v>46318.42083333333</v>
      </c>
      <c r="F1335" t="inlineStr">
        <is>
          <t>M1</t>
        </is>
      </c>
      <c r="G1335" t="inlineStr">
        <is>
          <t>C3</t>
        </is>
      </c>
      <c r="H1335" s="2" t="n">
        <v>46316.68819444445</v>
      </c>
      <c r="I1335" s="2" t="n">
        <v>46316.69305555556</v>
      </c>
      <c r="J1335" t="inlineStr">
        <is>
          <t>Completed</t>
        </is>
      </c>
      <c r="K1335" t="n">
        <v>0.54</v>
      </c>
      <c r="L1335" t="n">
        <v>12</v>
      </c>
      <c r="M1335" t="b">
        <v>0</v>
      </c>
      <c r="N1335" t="n">
        <v>0</v>
      </c>
      <c r="O1335" t="b">
        <v>1</v>
      </c>
      <c r="P1335" t="b">
        <v>0</v>
      </c>
      <c r="Q1335" t="b">
        <v>0</v>
      </c>
    </row>
    <row r="1336">
      <c r="A1336" t="inlineStr">
        <is>
          <t>REQ01335</t>
        </is>
      </c>
      <c r="B1336" t="inlineStr">
        <is>
          <t>6488VTB57CW2K2R93546</t>
        </is>
      </c>
      <c r="C1336" t="inlineStr">
        <is>
          <t>document_refresh</t>
        </is>
      </c>
      <c r="D1336" s="2" t="n">
        <v>46316.67361111111</v>
      </c>
      <c r="E1336" s="2" t="n">
        <v>46318.42361111111</v>
      </c>
      <c r="F1336" t="inlineStr">
        <is>
          <t>M3</t>
        </is>
      </c>
      <c r="G1336" t="inlineStr">
        <is>
          <t>C1</t>
        </is>
      </c>
      <c r="H1336" s="2" t="n">
        <v>46316.69375</v>
      </c>
      <c r="I1336" s="2" t="n">
        <v>46316.69930555556</v>
      </c>
      <c r="J1336" t="inlineStr">
        <is>
          <t>Completed</t>
        </is>
      </c>
      <c r="K1336" t="n">
        <v>0.61</v>
      </c>
      <c r="L1336" t="n">
        <v>12</v>
      </c>
      <c r="M1336" t="b">
        <v>0</v>
      </c>
      <c r="N1336" t="n">
        <v>0</v>
      </c>
      <c r="O1336" t="b">
        <v>1</v>
      </c>
      <c r="P1336" t="b">
        <v>0</v>
      </c>
      <c r="Q1336" t="b">
        <v>0</v>
      </c>
    </row>
    <row r="1337">
      <c r="A1337" t="inlineStr">
        <is>
          <t>REQ01336</t>
        </is>
      </c>
      <c r="B1337" t="inlineStr">
        <is>
          <t>254900LUOQ9D3KIICA44</t>
        </is>
      </c>
      <c r="C1337" t="inlineStr">
        <is>
          <t>data_amendment</t>
        </is>
      </c>
      <c r="D1337" s="2" t="n">
        <v>46316.67430555556</v>
      </c>
      <c r="E1337" s="2" t="n">
        <v>46317.63263888889</v>
      </c>
      <c r="F1337" t="inlineStr">
        <is>
          <t>M6</t>
        </is>
      </c>
      <c r="G1337" t="inlineStr">
        <is>
          <t>C2</t>
        </is>
      </c>
      <c r="H1337" s="2" t="n">
        <v>46316.69652777778</v>
      </c>
      <c r="I1337" s="2" t="n">
        <v>46317.43472222222</v>
      </c>
      <c r="J1337" t="inlineStr">
        <is>
          <t>Completed</t>
        </is>
      </c>
      <c r="K1337" t="n">
        <v>3.24</v>
      </c>
      <c r="L1337" t="n">
        <v>8</v>
      </c>
      <c r="M1337" t="b">
        <v>0</v>
      </c>
      <c r="N1337" t="n">
        <v>0</v>
      </c>
      <c r="O1337" t="b">
        <v>1</v>
      </c>
      <c r="P1337" t="b">
        <v>0</v>
      </c>
      <c r="Q1337" t="b">
        <v>1</v>
      </c>
    </row>
    <row r="1338">
      <c r="A1338" t="inlineStr">
        <is>
          <t>REQ01337</t>
        </is>
      </c>
      <c r="B1338" t="inlineStr">
        <is>
          <t>39120020OM1WBMQHME41</t>
        </is>
      </c>
      <c r="C1338" t="inlineStr">
        <is>
          <t>new_account</t>
        </is>
      </c>
      <c r="D1338" s="2" t="n">
        <v>46316.68125</v>
      </c>
      <c r="E1338" s="2" t="n">
        <v>46318.59791666667</v>
      </c>
      <c r="F1338" t="inlineStr">
        <is>
          <t>M1</t>
        </is>
      </c>
      <c r="G1338" t="inlineStr">
        <is>
          <t>C2</t>
        </is>
      </c>
      <c r="H1338" s="2" t="n">
        <v>46316.72152777778</v>
      </c>
      <c r="I1338" s="2" t="n">
        <v>46316.73263888889</v>
      </c>
      <c r="J1338" t="inlineStr">
        <is>
          <t>Completed</t>
        </is>
      </c>
      <c r="K1338" t="n">
        <v>1.23</v>
      </c>
      <c r="L1338" t="n">
        <v>16</v>
      </c>
      <c r="M1338" t="b">
        <v>0</v>
      </c>
      <c r="N1338" t="n">
        <v>0</v>
      </c>
      <c r="O1338" t="b">
        <v>1</v>
      </c>
      <c r="P1338" t="b">
        <v>0</v>
      </c>
      <c r="Q1338" t="b">
        <v>0</v>
      </c>
    </row>
    <row r="1339">
      <c r="A1339" t="inlineStr">
        <is>
          <t>REQ01338</t>
        </is>
      </c>
      <c r="B1339" t="inlineStr">
        <is>
          <t>984500D5C64F02D6C562</t>
        </is>
      </c>
      <c r="C1339" t="inlineStr">
        <is>
          <t>signatory_change</t>
        </is>
      </c>
      <c r="D1339" s="2" t="n">
        <v>46316.68402777778</v>
      </c>
      <c r="E1339" s="2" t="n">
        <v>46317.64236111111</v>
      </c>
      <c r="F1339" t="inlineStr">
        <is>
          <t>M3</t>
        </is>
      </c>
      <c r="G1339" t="inlineStr">
        <is>
          <t>C3</t>
        </is>
      </c>
      <c r="H1339" s="2" t="n">
        <v>46316.71041666667</v>
      </c>
      <c r="I1339" s="2" t="n">
        <v>46317.4875</v>
      </c>
      <c r="J1339" t="inlineStr">
        <is>
          <t>Completed</t>
        </is>
      </c>
      <c r="K1339" t="n">
        <v>4.28</v>
      </c>
      <c r="L1339" t="n">
        <v>8</v>
      </c>
      <c r="M1339" t="b">
        <v>0</v>
      </c>
      <c r="N1339" t="n">
        <v>0</v>
      </c>
      <c r="O1339" t="b">
        <v>1</v>
      </c>
      <c r="P1339" t="b">
        <v>0</v>
      </c>
      <c r="Q1339" t="b">
        <v>1</v>
      </c>
    </row>
    <row r="1340">
      <c r="A1340" t="inlineStr">
        <is>
          <t>REQ01339</t>
        </is>
      </c>
      <c r="B1340" t="inlineStr">
        <is>
          <t>984500B3780C9A47EE58</t>
        </is>
      </c>
      <c r="C1340" t="inlineStr">
        <is>
          <t>new_account</t>
        </is>
      </c>
      <c r="D1340" s="2" t="n">
        <v>46316.68472222222</v>
      </c>
      <c r="E1340" s="2" t="n">
        <v>46318.60138888889</v>
      </c>
      <c r="F1340" t="inlineStr">
        <is>
          <t>M6</t>
        </is>
      </c>
      <c r="G1340" t="inlineStr">
        <is>
          <t>C3</t>
        </is>
      </c>
      <c r="H1340" s="2" t="n">
        <v>46316.72638888889</v>
      </c>
      <c r="I1340" s="2" t="n">
        <v>46317.55069444444</v>
      </c>
      <c r="J1340" t="inlineStr">
        <is>
          <t>Completed</t>
        </is>
      </c>
      <c r="K1340" t="n">
        <v>5.78</v>
      </c>
      <c r="L1340" t="n">
        <v>16</v>
      </c>
      <c r="M1340" t="b">
        <v>0</v>
      </c>
      <c r="N1340" t="n">
        <v>0</v>
      </c>
      <c r="O1340" t="b">
        <v>1</v>
      </c>
      <c r="P1340" t="b">
        <v>0</v>
      </c>
      <c r="Q1340" t="b">
        <v>1</v>
      </c>
    </row>
    <row r="1341">
      <c r="A1341" t="inlineStr">
        <is>
          <t>REQ01340</t>
        </is>
      </c>
      <c r="B1341" t="inlineStr">
        <is>
          <t>9845002EDDV53LCF0632</t>
        </is>
      </c>
      <c r="C1341" t="inlineStr">
        <is>
          <t>signatory_change</t>
        </is>
      </c>
      <c r="D1341" s="2" t="n">
        <v>46316.68541666667</v>
      </c>
      <c r="E1341" s="2" t="n">
        <v>46317.64375</v>
      </c>
      <c r="F1341" t="inlineStr">
        <is>
          <t>M5</t>
        </is>
      </c>
      <c r="G1341" t="inlineStr">
        <is>
          <t>C3</t>
        </is>
      </c>
      <c r="H1341" s="2" t="n">
        <v>46316.72013888889</v>
      </c>
      <c r="I1341" s="2" t="n">
        <v>46316.74236111111</v>
      </c>
      <c r="J1341" t="inlineStr">
        <is>
          <t>Completed</t>
        </is>
      </c>
      <c r="K1341" t="n">
        <v>1.37</v>
      </c>
      <c r="L1341" t="n">
        <v>8</v>
      </c>
      <c r="M1341" t="b">
        <v>0</v>
      </c>
      <c r="N1341" t="n">
        <v>1</v>
      </c>
      <c r="O1341" t="b">
        <v>0</v>
      </c>
      <c r="P1341" t="b">
        <v>1</v>
      </c>
      <c r="Q1341" t="b">
        <v>0</v>
      </c>
    </row>
    <row r="1342">
      <c r="A1342" t="inlineStr">
        <is>
          <t>REQ01341</t>
        </is>
      </c>
      <c r="B1342" t="inlineStr">
        <is>
          <t>529900ACSI90AP4D6T59</t>
        </is>
      </c>
      <c r="C1342" t="inlineStr">
        <is>
          <t>document_refresh</t>
        </is>
      </c>
      <c r="D1342" s="2" t="n">
        <v>46316.6875</v>
      </c>
      <c r="E1342" s="2" t="n">
        <v>46318.4375</v>
      </c>
      <c r="F1342" t="inlineStr">
        <is>
          <t>M2</t>
        </is>
      </c>
      <c r="G1342" t="inlineStr">
        <is>
          <t>C1</t>
        </is>
      </c>
      <c r="H1342" s="2" t="n">
        <v>46316.71388888889</v>
      </c>
      <c r="I1342" s="2" t="n">
        <v>46317.44652777778</v>
      </c>
      <c r="J1342" t="inlineStr">
        <is>
          <t>Completed</t>
        </is>
      </c>
      <c r="K1342" t="n">
        <v>3.22</v>
      </c>
      <c r="L1342" t="n">
        <v>12</v>
      </c>
      <c r="M1342" t="b">
        <v>0</v>
      </c>
      <c r="N1342" t="n">
        <v>0</v>
      </c>
      <c r="O1342" t="b">
        <v>1</v>
      </c>
      <c r="P1342" t="b">
        <v>0</v>
      </c>
      <c r="Q1342" t="b">
        <v>1</v>
      </c>
    </row>
    <row r="1343">
      <c r="A1343" t="inlineStr">
        <is>
          <t>REQ01342</t>
        </is>
      </c>
      <c r="B1343" t="inlineStr">
        <is>
          <t>96950077H7MNZFM4Y663</t>
        </is>
      </c>
      <c r="C1343" t="inlineStr">
        <is>
          <t>document_refresh</t>
        </is>
      </c>
      <c r="D1343" s="2" t="n">
        <v>46316.68819444445</v>
      </c>
      <c r="E1343" s="2" t="n">
        <v>46318.43819444445</v>
      </c>
      <c r="F1343" t="inlineStr">
        <is>
          <t>M4</t>
        </is>
      </c>
      <c r="G1343" t="inlineStr">
        <is>
          <t>C2</t>
        </is>
      </c>
      <c r="H1343" s="2" t="n">
        <v>46316.70972222222</v>
      </c>
      <c r="I1343" s="2" t="n">
        <v>46317.47916666666</v>
      </c>
      <c r="J1343" t="inlineStr">
        <is>
          <t>Completed</t>
        </is>
      </c>
      <c r="K1343" t="n">
        <v>3.99</v>
      </c>
      <c r="L1343" t="n">
        <v>12</v>
      </c>
      <c r="M1343" t="b">
        <v>0</v>
      </c>
      <c r="N1343" t="n">
        <v>0</v>
      </c>
      <c r="O1343" t="b">
        <v>1</v>
      </c>
      <c r="P1343" t="b">
        <v>0</v>
      </c>
      <c r="Q1343" t="b">
        <v>1</v>
      </c>
    </row>
    <row r="1344">
      <c r="A1344" t="inlineStr">
        <is>
          <t>REQ01343</t>
        </is>
      </c>
      <c r="B1344" t="inlineStr">
        <is>
          <t>254900P0EWCOU3PP1Q96</t>
        </is>
      </c>
      <c r="C1344" t="inlineStr">
        <is>
          <t>document_refresh</t>
        </is>
      </c>
      <c r="D1344" s="2" t="n">
        <v>46316.69722222222</v>
      </c>
      <c r="E1344" s="2" t="n">
        <v>46318.44722222222</v>
      </c>
      <c r="F1344" t="inlineStr">
        <is>
          <t>M4</t>
        </is>
      </c>
      <c r="G1344" t="inlineStr">
        <is>
          <t>C1</t>
        </is>
      </c>
      <c r="H1344" s="2" t="n">
        <v>46316.72152777778</v>
      </c>
      <c r="I1344" s="2" t="n">
        <v>46316.72638888889</v>
      </c>
      <c r="J1344" t="inlineStr">
        <is>
          <t>Completed</t>
        </is>
      </c>
      <c r="K1344" t="n">
        <v>0.6899999999999999</v>
      </c>
      <c r="L1344" t="n">
        <v>12</v>
      </c>
      <c r="M1344" t="b">
        <v>0</v>
      </c>
      <c r="N1344" t="n">
        <v>0</v>
      </c>
      <c r="O1344" t="b">
        <v>1</v>
      </c>
      <c r="P1344" t="b">
        <v>0</v>
      </c>
      <c r="Q1344" t="b">
        <v>0</v>
      </c>
    </row>
    <row r="1345">
      <c r="A1345" t="inlineStr">
        <is>
          <t>REQ01344</t>
        </is>
      </c>
      <c r="B1345" t="inlineStr">
        <is>
          <t>335800ZBS6HI85YMOJ12</t>
        </is>
      </c>
      <c r="C1345" t="inlineStr">
        <is>
          <t>data_amendment</t>
        </is>
      </c>
      <c r="D1345" s="2" t="n">
        <v>46316.70347222222</v>
      </c>
      <c r="E1345" s="2" t="n">
        <v>46317.66180555556</v>
      </c>
      <c r="F1345" t="inlineStr">
        <is>
          <t>M3</t>
        </is>
      </c>
      <c r="G1345" t="inlineStr">
        <is>
          <t>C2</t>
        </is>
      </c>
      <c r="H1345" s="2" t="n">
        <v>46316.71805555555</v>
      </c>
      <c r="I1345" s="2" t="n">
        <v>46316.72291666667</v>
      </c>
      <c r="J1345" t="inlineStr">
        <is>
          <t>Completed</t>
        </is>
      </c>
      <c r="K1345" t="n">
        <v>0.47</v>
      </c>
      <c r="L1345" t="n">
        <v>8</v>
      </c>
      <c r="M1345" t="b">
        <v>0</v>
      </c>
      <c r="N1345" t="n">
        <v>0</v>
      </c>
      <c r="O1345" t="b">
        <v>1</v>
      </c>
      <c r="P1345" t="b">
        <v>0</v>
      </c>
      <c r="Q1345" t="b">
        <v>0</v>
      </c>
    </row>
    <row r="1346">
      <c r="A1346" t="inlineStr">
        <is>
          <t>REQ01345</t>
        </is>
      </c>
      <c r="B1346" t="inlineStr">
        <is>
          <t>984500EKEBFD4BHB6933</t>
        </is>
      </c>
      <c r="C1346" t="inlineStr">
        <is>
          <t>new_account</t>
        </is>
      </c>
      <c r="D1346" s="2" t="n">
        <v>46316.71388888889</v>
      </c>
      <c r="E1346" s="2" t="n">
        <v>46318.63055555556</v>
      </c>
      <c r="F1346" t="inlineStr">
        <is>
          <t>M2</t>
        </is>
      </c>
      <c r="G1346" t="inlineStr">
        <is>
          <t>C3</t>
        </is>
      </c>
      <c r="H1346" s="2" t="n">
        <v>46317.37777777778</v>
      </c>
      <c r="I1346" s="2" t="n">
        <v>46317.3875</v>
      </c>
      <c r="J1346" t="inlineStr">
        <is>
          <t>Completed</t>
        </is>
      </c>
      <c r="K1346" t="n">
        <v>1.16</v>
      </c>
      <c r="L1346" t="n">
        <v>16</v>
      </c>
      <c r="M1346" t="b">
        <v>0</v>
      </c>
      <c r="N1346" t="n">
        <v>0</v>
      </c>
      <c r="O1346" t="b">
        <v>1</v>
      </c>
      <c r="P1346" t="b">
        <v>0</v>
      </c>
      <c r="Q1346" t="b">
        <v>0</v>
      </c>
    </row>
    <row r="1347">
      <c r="A1347" t="inlineStr">
        <is>
          <t>REQ01346</t>
        </is>
      </c>
      <c r="B1347" t="inlineStr">
        <is>
          <t>391200UBM41Y2K0QBQ42</t>
        </is>
      </c>
      <c r="C1347" t="inlineStr">
        <is>
          <t>new_account</t>
        </is>
      </c>
      <c r="D1347" s="2" t="n">
        <v>46316.725</v>
      </c>
      <c r="E1347" s="2" t="n">
        <v>46318.64166666667</v>
      </c>
      <c r="F1347" t="inlineStr">
        <is>
          <t>M3</t>
        </is>
      </c>
      <c r="G1347" t="inlineStr">
        <is>
          <t>C2</t>
        </is>
      </c>
      <c r="H1347" s="2" t="n">
        <v>46317.39027777778</v>
      </c>
      <c r="I1347" s="2" t="n">
        <v>46317.58958333333</v>
      </c>
      <c r="J1347" t="inlineStr">
        <is>
          <t>Completed</t>
        </is>
      </c>
      <c r="K1347" t="n">
        <v>5.75</v>
      </c>
      <c r="L1347" t="n">
        <v>16</v>
      </c>
      <c r="M1347" t="b">
        <v>0</v>
      </c>
      <c r="N1347" t="n">
        <v>0</v>
      </c>
      <c r="O1347" t="b">
        <v>1</v>
      </c>
      <c r="P1347" t="b">
        <v>0</v>
      </c>
      <c r="Q1347" t="b">
        <v>1</v>
      </c>
    </row>
    <row r="1348">
      <c r="A1348" t="inlineStr">
        <is>
          <t>REQ01347</t>
        </is>
      </c>
      <c r="B1348" t="inlineStr">
        <is>
          <t>969500LW8HQ007209A11</t>
        </is>
      </c>
      <c r="C1348" t="inlineStr">
        <is>
          <t>document_refresh</t>
        </is>
      </c>
      <c r="D1348" s="2" t="n">
        <v>46316.73125</v>
      </c>
      <c r="E1348" s="2" t="n">
        <v>46318.48125</v>
      </c>
      <c r="F1348" t="inlineStr">
        <is>
          <t>M5</t>
        </is>
      </c>
      <c r="G1348" t="inlineStr">
        <is>
          <t>C1</t>
        </is>
      </c>
      <c r="H1348" s="2" t="n">
        <v>46316.74097222222</v>
      </c>
      <c r="I1348" s="2" t="n">
        <v>46317.50069444445</v>
      </c>
      <c r="J1348" t="inlineStr">
        <is>
          <t>Completed</t>
        </is>
      </c>
      <c r="K1348" t="n">
        <v>3.47</v>
      </c>
      <c r="L1348" t="n">
        <v>12</v>
      </c>
      <c r="M1348" t="b">
        <v>0</v>
      </c>
      <c r="N1348" t="n">
        <v>0</v>
      </c>
      <c r="O1348" t="b">
        <v>1</v>
      </c>
      <c r="P1348" t="b">
        <v>0</v>
      </c>
      <c r="Q1348" t="b">
        <v>1</v>
      </c>
    </row>
    <row r="1349">
      <c r="A1349" t="inlineStr">
        <is>
          <t>REQ01348</t>
        </is>
      </c>
      <c r="B1349" t="inlineStr">
        <is>
          <t>724500E9XP8QNP4G0R47</t>
        </is>
      </c>
      <c r="C1349" t="inlineStr">
        <is>
          <t>new_account</t>
        </is>
      </c>
      <c r="D1349" s="2" t="n">
        <v>46316.73125</v>
      </c>
      <c r="E1349" s="2" t="n">
        <v>46318.64791666667</v>
      </c>
      <c r="F1349" t="inlineStr">
        <is>
          <t>M4</t>
        </is>
      </c>
      <c r="G1349" t="inlineStr">
        <is>
          <t>C2</t>
        </is>
      </c>
      <c r="H1349" s="2" t="n">
        <v>46317.38611111111</v>
      </c>
      <c r="I1349" s="2" t="n">
        <v>46317.39861111111</v>
      </c>
      <c r="J1349" t="inlineStr">
        <is>
          <t>Completed</t>
        </is>
      </c>
      <c r="K1349" t="n">
        <v>1.01</v>
      </c>
      <c r="L1349" t="n">
        <v>16</v>
      </c>
      <c r="M1349" t="b">
        <v>0</v>
      </c>
      <c r="N1349" t="n">
        <v>0</v>
      </c>
      <c r="O1349" t="b">
        <v>1</v>
      </c>
      <c r="P1349" t="b">
        <v>0</v>
      </c>
      <c r="Q1349" t="b">
        <v>0</v>
      </c>
    </row>
    <row r="1350">
      <c r="A1350" t="inlineStr">
        <is>
          <t>REQ01349</t>
        </is>
      </c>
      <c r="B1350" t="inlineStr">
        <is>
          <t>335800G8OWGPCDZOPM96</t>
        </is>
      </c>
      <c r="C1350" t="inlineStr">
        <is>
          <t>document_refresh</t>
        </is>
      </c>
      <c r="D1350" s="2" t="n">
        <v>46316.73333333333</v>
      </c>
      <c r="E1350" s="2" t="n">
        <v>46318.48333333333</v>
      </c>
      <c r="F1350" t="inlineStr">
        <is>
          <t>M1</t>
        </is>
      </c>
      <c r="G1350" t="inlineStr">
        <is>
          <t>C1</t>
        </is>
      </c>
      <c r="H1350" s="2" t="n">
        <v>46316.74513888889</v>
      </c>
      <c r="I1350" s="2" t="n">
        <v>46317.56666666667</v>
      </c>
      <c r="J1350" t="inlineStr">
        <is>
          <t>Completed</t>
        </is>
      </c>
      <c r="K1350" t="n">
        <v>4.99</v>
      </c>
      <c r="L1350" t="n">
        <v>12</v>
      </c>
      <c r="M1350" t="b">
        <v>0</v>
      </c>
      <c r="N1350" t="n">
        <v>0</v>
      </c>
      <c r="O1350" t="b">
        <v>1</v>
      </c>
      <c r="P1350" t="b">
        <v>0</v>
      </c>
      <c r="Q1350" t="b">
        <v>1</v>
      </c>
    </row>
    <row r="1351">
      <c r="A1351" t="inlineStr">
        <is>
          <t>REQ01350</t>
        </is>
      </c>
      <c r="B1351" t="inlineStr">
        <is>
          <t>724500HAAA278T5D2Z34</t>
        </is>
      </c>
      <c r="C1351" t="inlineStr">
        <is>
          <t>document_refresh</t>
        </is>
      </c>
      <c r="D1351" s="2" t="n">
        <v>46316.73541666667</v>
      </c>
      <c r="E1351" s="2" t="n">
        <v>46318.48541666667</v>
      </c>
      <c r="F1351" t="inlineStr">
        <is>
          <t>M6</t>
        </is>
      </c>
      <c r="G1351" t="inlineStr">
        <is>
          <t>C1</t>
        </is>
      </c>
      <c r="H1351" s="2" t="n">
        <v>46317.37777777778</v>
      </c>
      <c r="I1351" s="2" t="n">
        <v>46317.62152777778</v>
      </c>
      <c r="J1351" t="inlineStr">
        <is>
          <t>Completed</t>
        </is>
      </c>
      <c r="K1351" t="n">
        <v>6.27</v>
      </c>
      <c r="L1351" t="n">
        <v>12</v>
      </c>
      <c r="M1351" t="b">
        <v>0</v>
      </c>
      <c r="N1351" t="n">
        <v>0</v>
      </c>
      <c r="O1351" t="b">
        <v>1</v>
      </c>
      <c r="P1351" t="b">
        <v>0</v>
      </c>
      <c r="Q1351" t="b">
        <v>1</v>
      </c>
    </row>
    <row r="1352">
      <c r="A1352" t="inlineStr">
        <is>
          <t>REQ01351</t>
        </is>
      </c>
      <c r="B1352" t="inlineStr">
        <is>
          <t>25490008WCX36I0MKJ08</t>
        </is>
      </c>
      <c r="C1352" t="inlineStr">
        <is>
          <t>new_account</t>
        </is>
      </c>
      <c r="D1352" s="2" t="n">
        <v>46316.73541666667</v>
      </c>
      <c r="E1352" s="2" t="n">
        <v>46318.65208333333</v>
      </c>
      <c r="F1352" t="inlineStr">
        <is>
          <t>M5</t>
        </is>
      </c>
      <c r="G1352" t="inlineStr">
        <is>
          <t>C3</t>
        </is>
      </c>
      <c r="H1352" s="2" t="n">
        <v>46317.40347222222</v>
      </c>
      <c r="I1352" s="2" t="n">
        <v>46317.56388888889</v>
      </c>
      <c r="J1352" t="inlineStr">
        <is>
          <t>Completed</t>
        </is>
      </c>
      <c r="K1352" t="n">
        <v>4.88</v>
      </c>
      <c r="L1352" t="n">
        <v>16</v>
      </c>
      <c r="M1352" t="b">
        <v>0</v>
      </c>
      <c r="N1352" t="n">
        <v>0</v>
      </c>
      <c r="O1352" t="b">
        <v>1</v>
      </c>
      <c r="P1352" t="b">
        <v>0</v>
      </c>
      <c r="Q1352" t="b">
        <v>1</v>
      </c>
    </row>
    <row r="1353">
      <c r="A1353" t="inlineStr">
        <is>
          <t>REQ01352</t>
        </is>
      </c>
      <c r="B1353" t="inlineStr">
        <is>
          <t>969500CZWKKOYBRA8141</t>
        </is>
      </c>
      <c r="C1353" t="inlineStr">
        <is>
          <t>new_account</t>
        </is>
      </c>
      <c r="D1353" s="2" t="n">
        <v>46316.73541666667</v>
      </c>
      <c r="E1353" s="2" t="n">
        <v>46318.65208333333</v>
      </c>
      <c r="F1353" t="inlineStr">
        <is>
          <t>M1</t>
        </is>
      </c>
      <c r="G1353" t="inlineStr">
        <is>
          <t>C1</t>
        </is>
      </c>
      <c r="H1353" s="2" t="n">
        <v>46317.39583333334</v>
      </c>
      <c r="I1353" s="2" t="n">
        <v>46317.40625</v>
      </c>
      <c r="J1353" t="inlineStr">
        <is>
          <t>Completed</t>
        </is>
      </c>
      <c r="K1353" t="n">
        <v>1.1</v>
      </c>
      <c r="L1353" t="n">
        <v>16</v>
      </c>
      <c r="M1353" t="b">
        <v>0</v>
      </c>
      <c r="N1353" t="n">
        <v>0</v>
      </c>
      <c r="O1353" t="b">
        <v>1</v>
      </c>
      <c r="P1353" t="b">
        <v>0</v>
      </c>
      <c r="Q1353" t="b">
        <v>0</v>
      </c>
    </row>
    <row r="1354">
      <c r="A1354" t="inlineStr">
        <is>
          <t>REQ01353</t>
        </is>
      </c>
      <c r="B1354" t="inlineStr">
        <is>
          <t>724500K5ANP3XK5MJ844</t>
        </is>
      </c>
      <c r="C1354" t="inlineStr">
        <is>
          <t>new_account</t>
        </is>
      </c>
      <c r="D1354" s="2" t="n">
        <v>46316.74236111111</v>
      </c>
      <c r="E1354" s="2" t="n">
        <v>46318.65902777778</v>
      </c>
      <c r="F1354" t="inlineStr">
        <is>
          <t>M6</t>
        </is>
      </c>
      <c r="G1354" t="inlineStr">
        <is>
          <t>C3</t>
        </is>
      </c>
      <c r="H1354" s="2" t="n">
        <v>46317.40763888889</v>
      </c>
      <c r="I1354" s="2" t="n">
        <v>46317.41944444444</v>
      </c>
      <c r="J1354" t="inlineStr">
        <is>
          <t>Completed</t>
        </is>
      </c>
      <c r="K1354" t="n">
        <v>1.25</v>
      </c>
      <c r="L1354" t="n">
        <v>16</v>
      </c>
      <c r="M1354" t="b">
        <v>0</v>
      </c>
      <c r="N1354" t="n">
        <v>0</v>
      </c>
      <c r="O1354" t="b">
        <v>1</v>
      </c>
      <c r="P1354" t="b">
        <v>0</v>
      </c>
      <c r="Q1354" t="b">
        <v>0</v>
      </c>
    </row>
    <row r="1355">
      <c r="A1355" t="inlineStr">
        <is>
          <t>REQ01354</t>
        </is>
      </c>
      <c r="B1355" t="inlineStr">
        <is>
          <t>549300XE55PYTNPMUB74</t>
        </is>
      </c>
      <c r="C1355" t="inlineStr">
        <is>
          <t>signatory_change</t>
        </is>
      </c>
      <c r="D1355" s="2" t="n">
        <v>46316.74444444444</v>
      </c>
      <c r="E1355" s="2" t="n">
        <v>46317.70277777778</v>
      </c>
      <c r="F1355" t="inlineStr">
        <is>
          <t>M2</t>
        </is>
      </c>
      <c r="G1355" t="inlineStr">
        <is>
          <t>C2</t>
        </is>
      </c>
      <c r="H1355" s="2" t="n">
        <v>46317.40069444444</v>
      </c>
      <c r="I1355" s="2" t="n">
        <v>46317.40972222222</v>
      </c>
      <c r="J1355" t="inlineStr">
        <is>
          <t>Completed</t>
        </is>
      </c>
      <c r="K1355" t="n">
        <v>0.97</v>
      </c>
      <c r="L1355" t="n">
        <v>8</v>
      </c>
      <c r="M1355" t="b">
        <v>0</v>
      </c>
      <c r="N1355" t="n">
        <v>0</v>
      </c>
      <c r="O1355" t="b">
        <v>1</v>
      </c>
      <c r="P1355" t="b">
        <v>0</v>
      </c>
      <c r="Q1355" t="b">
        <v>0</v>
      </c>
    </row>
    <row r="1356">
      <c r="A1356" t="inlineStr">
        <is>
          <t>REQ01355</t>
        </is>
      </c>
      <c r="B1356" t="inlineStr">
        <is>
          <t>213800RVKB9XDQOSTY32</t>
        </is>
      </c>
      <c r="C1356" t="inlineStr">
        <is>
          <t>data_amendment</t>
        </is>
      </c>
      <c r="D1356" s="2" t="n">
        <v>46317.37777777778</v>
      </c>
      <c r="E1356" s="2" t="n">
        <v>46317.71111111111</v>
      </c>
      <c r="F1356" t="inlineStr">
        <is>
          <t>M4</t>
        </is>
      </c>
      <c r="G1356" t="inlineStr">
        <is>
          <t>C2</t>
        </is>
      </c>
      <c r="H1356" s="2" t="n">
        <v>46317.39930555555</v>
      </c>
      <c r="I1356" s="2" t="n">
        <v>46317.40347222222</v>
      </c>
      <c r="J1356" t="inlineStr">
        <is>
          <t>Completed</t>
        </is>
      </c>
      <c r="K1356" t="n">
        <v>0.61</v>
      </c>
      <c r="L1356" t="n">
        <v>8</v>
      </c>
      <c r="M1356" t="b">
        <v>0</v>
      </c>
      <c r="N1356" t="n">
        <v>0</v>
      </c>
      <c r="O1356" t="b">
        <v>1</v>
      </c>
      <c r="P1356" t="b">
        <v>0</v>
      </c>
      <c r="Q1356" t="b">
        <v>0</v>
      </c>
    </row>
    <row r="1357">
      <c r="A1357" t="inlineStr">
        <is>
          <t>REQ01356</t>
        </is>
      </c>
      <c r="B1357" t="inlineStr">
        <is>
          <t>8945003HHO6H8KEIRT38</t>
        </is>
      </c>
      <c r="C1357" t="inlineStr">
        <is>
          <t>data_amendment</t>
        </is>
      </c>
      <c r="D1357" s="2" t="n">
        <v>46317.37847222222</v>
      </c>
      <c r="E1357" s="2" t="n">
        <v>46317.71180555555</v>
      </c>
      <c r="F1357" t="inlineStr">
        <is>
          <t>M3</t>
        </is>
      </c>
      <c r="G1357" t="inlineStr">
        <is>
          <t>C3</t>
        </is>
      </c>
      <c r="H1357" s="2" t="n">
        <v>46317.39861111111</v>
      </c>
      <c r="I1357" s="2" t="n">
        <v>46317.40416666667</v>
      </c>
      <c r="J1357" t="inlineStr">
        <is>
          <t>Completed</t>
        </is>
      </c>
      <c r="K1357" t="n">
        <v>0.62</v>
      </c>
      <c r="L1357" t="n">
        <v>8</v>
      </c>
      <c r="M1357" t="b">
        <v>0</v>
      </c>
      <c r="N1357" t="n">
        <v>0</v>
      </c>
      <c r="O1357" t="b">
        <v>1</v>
      </c>
      <c r="P1357" t="b">
        <v>0</v>
      </c>
      <c r="Q1357" t="b">
        <v>0</v>
      </c>
    </row>
    <row r="1358">
      <c r="A1358" t="inlineStr">
        <is>
          <t>REQ01357</t>
        </is>
      </c>
      <c r="B1358" t="inlineStr">
        <is>
          <t>635400QKCGP6Q7P3IN48</t>
        </is>
      </c>
      <c r="C1358" t="inlineStr">
        <is>
          <t>document_refresh</t>
        </is>
      </c>
      <c r="D1358" s="2" t="n">
        <v>46317.38541666666</v>
      </c>
      <c r="E1358" s="2" t="n">
        <v>46318.51041666666</v>
      </c>
      <c r="F1358" t="inlineStr">
        <is>
          <t>M1</t>
        </is>
      </c>
      <c r="G1358" t="inlineStr">
        <is>
          <t>C2</t>
        </is>
      </c>
      <c r="H1358" s="2" t="n">
        <v>46317.41041666667</v>
      </c>
      <c r="I1358" s="2" t="n">
        <v>46317.65625</v>
      </c>
      <c r="J1358" t="inlineStr">
        <is>
          <t>Completed</t>
        </is>
      </c>
      <c r="K1358" t="n">
        <v>6.5</v>
      </c>
      <c r="L1358" t="n">
        <v>12</v>
      </c>
      <c r="M1358" t="b">
        <v>0</v>
      </c>
      <c r="N1358" t="n">
        <v>0</v>
      </c>
      <c r="O1358" t="b">
        <v>1</v>
      </c>
      <c r="P1358" t="b">
        <v>0</v>
      </c>
      <c r="Q1358" t="b">
        <v>1</v>
      </c>
    </row>
    <row r="1359">
      <c r="A1359" t="inlineStr">
        <is>
          <t>REQ01358</t>
        </is>
      </c>
      <c r="B1359" t="inlineStr">
        <is>
          <t>2549002U1VV1LIUGI940</t>
        </is>
      </c>
      <c r="C1359" t="inlineStr">
        <is>
          <t>data_amendment</t>
        </is>
      </c>
      <c r="D1359" s="2" t="n">
        <v>46317.38680555556</v>
      </c>
      <c r="E1359" s="2" t="n">
        <v>46317.72013888889</v>
      </c>
      <c r="F1359" t="inlineStr">
        <is>
          <t>M3</t>
        </is>
      </c>
      <c r="G1359" t="inlineStr">
        <is>
          <t>C1</t>
        </is>
      </c>
      <c r="H1359" s="2" t="n">
        <v>46317.40972222222</v>
      </c>
      <c r="I1359" s="2" t="n">
        <v>46317.54166666666</v>
      </c>
      <c r="J1359" t="inlineStr">
        <is>
          <t>Completed</t>
        </is>
      </c>
      <c r="K1359" t="n">
        <v>3.71</v>
      </c>
      <c r="L1359" t="n">
        <v>8</v>
      </c>
      <c r="M1359" t="b">
        <v>0</v>
      </c>
      <c r="N1359" t="n">
        <v>0</v>
      </c>
      <c r="O1359" t="b">
        <v>1</v>
      </c>
      <c r="P1359" t="b">
        <v>0</v>
      </c>
      <c r="Q1359" t="b">
        <v>1</v>
      </c>
    </row>
    <row r="1360">
      <c r="A1360" t="inlineStr">
        <is>
          <t>REQ01359</t>
        </is>
      </c>
      <c r="B1360" t="inlineStr">
        <is>
          <t>7245004N84YZ8CICKM86</t>
        </is>
      </c>
      <c r="C1360" t="inlineStr">
        <is>
          <t>data_amendment</t>
        </is>
      </c>
      <c r="D1360" s="2" t="n">
        <v>46317.38888888889</v>
      </c>
      <c r="E1360" s="2" t="n">
        <v>46317.72222222222</v>
      </c>
      <c r="F1360" t="inlineStr">
        <is>
          <t>M4</t>
        </is>
      </c>
      <c r="G1360" t="inlineStr">
        <is>
          <t>C1</t>
        </is>
      </c>
      <c r="H1360" s="2" t="n">
        <v>46317.41180555556</v>
      </c>
      <c r="I1360" s="2" t="n">
        <v>46317.41666666666</v>
      </c>
      <c r="J1360" t="inlineStr">
        <is>
          <t>Completed</t>
        </is>
      </c>
      <c r="K1360" t="n">
        <v>0.66</v>
      </c>
      <c r="L1360" t="n">
        <v>8</v>
      </c>
      <c r="M1360" t="b">
        <v>0</v>
      </c>
      <c r="N1360" t="n">
        <v>0</v>
      </c>
      <c r="O1360" t="b">
        <v>1</v>
      </c>
      <c r="P1360" t="b">
        <v>0</v>
      </c>
      <c r="Q1360" t="b">
        <v>0</v>
      </c>
    </row>
    <row r="1361">
      <c r="A1361" t="inlineStr">
        <is>
          <t>REQ01360</t>
        </is>
      </c>
      <c r="B1361" t="inlineStr">
        <is>
          <t>335800OYG502P0Z8CN54</t>
        </is>
      </c>
      <c r="C1361" t="inlineStr">
        <is>
          <t>document_refresh</t>
        </is>
      </c>
      <c r="D1361" s="2" t="n">
        <v>46317.38958333333</v>
      </c>
      <c r="E1361" s="2" t="n">
        <v>46318.51458333333</v>
      </c>
      <c r="F1361" t="inlineStr">
        <is>
          <t>M2</t>
        </is>
      </c>
      <c r="G1361" t="inlineStr">
        <is>
          <t>C1</t>
        </is>
      </c>
      <c r="H1361" s="2" t="n">
        <v>46317.41597222222</v>
      </c>
      <c r="I1361" s="2" t="n">
        <v>46317.42361111111</v>
      </c>
      <c r="J1361" t="inlineStr">
        <is>
          <t>Completed</t>
        </is>
      </c>
      <c r="K1361" t="n">
        <v>0.82</v>
      </c>
      <c r="L1361" t="n">
        <v>12</v>
      </c>
      <c r="M1361" t="b">
        <v>0</v>
      </c>
      <c r="N1361" t="n">
        <v>0</v>
      </c>
      <c r="O1361" t="b">
        <v>1</v>
      </c>
      <c r="P1361" t="b">
        <v>0</v>
      </c>
      <c r="Q1361" t="b">
        <v>0</v>
      </c>
    </row>
    <row r="1362">
      <c r="A1362" t="inlineStr">
        <is>
          <t>REQ01361</t>
        </is>
      </c>
      <c r="B1362" t="inlineStr">
        <is>
          <t>7245003F1SYW7XTH1T68</t>
        </is>
      </c>
      <c r="C1362" t="inlineStr">
        <is>
          <t>signatory_change</t>
        </is>
      </c>
      <c r="D1362" s="2" t="n">
        <v>46317.39305555556</v>
      </c>
      <c r="E1362" s="2" t="n">
        <v>46317.72638888889</v>
      </c>
      <c r="F1362" t="inlineStr">
        <is>
          <t>M5</t>
        </is>
      </c>
      <c r="G1362" t="inlineStr">
        <is>
          <t>C3</t>
        </is>
      </c>
      <c r="H1362" s="2" t="n">
        <v>46317.42916666667</v>
      </c>
      <c r="I1362" s="2" t="n">
        <v>46317.62638888889</v>
      </c>
      <c r="J1362" t="inlineStr">
        <is>
          <t>Completed</t>
        </is>
      </c>
      <c r="K1362" t="n">
        <v>5.6</v>
      </c>
      <c r="L1362" t="n">
        <v>8</v>
      </c>
      <c r="M1362" t="b">
        <v>0</v>
      </c>
      <c r="N1362" t="n">
        <v>0</v>
      </c>
      <c r="O1362" t="b">
        <v>1</v>
      </c>
      <c r="P1362" t="b">
        <v>0</v>
      </c>
      <c r="Q1362" t="b">
        <v>1</v>
      </c>
    </row>
    <row r="1363">
      <c r="A1363" t="inlineStr">
        <is>
          <t>REQ01362</t>
        </is>
      </c>
      <c r="B1363" t="inlineStr">
        <is>
          <t>969500C1H4ZSLLFLXM12</t>
        </is>
      </c>
      <c r="C1363" t="inlineStr">
        <is>
          <t>new_account</t>
        </is>
      </c>
      <c r="D1363" s="2" t="n">
        <v>46317.39861111111</v>
      </c>
      <c r="E1363" s="2" t="n">
        <v>46318.69027777778</v>
      </c>
      <c r="F1363" t="inlineStr">
        <is>
          <t>M6</t>
        </is>
      </c>
      <c r="G1363" t="inlineStr">
        <is>
          <t>C2</t>
        </is>
      </c>
      <c r="H1363" s="2" t="n">
        <v>46317.44583333333</v>
      </c>
      <c r="I1363" s="2" t="n">
        <v>46317.58125</v>
      </c>
      <c r="J1363" t="inlineStr">
        <is>
          <t>Completed</t>
        </is>
      </c>
      <c r="K1363" t="n">
        <v>4.39</v>
      </c>
      <c r="L1363" t="n">
        <v>16</v>
      </c>
      <c r="M1363" t="b">
        <v>0</v>
      </c>
      <c r="N1363" t="n">
        <v>0</v>
      </c>
      <c r="O1363" t="b">
        <v>1</v>
      </c>
      <c r="P1363" t="b">
        <v>0</v>
      </c>
      <c r="Q1363" t="b">
        <v>1</v>
      </c>
    </row>
    <row r="1364">
      <c r="A1364" t="inlineStr">
        <is>
          <t>REQ01363</t>
        </is>
      </c>
      <c r="B1364" t="inlineStr">
        <is>
          <t>549300N0ZOZ5CZXHHJ74</t>
        </is>
      </c>
      <c r="C1364" t="inlineStr">
        <is>
          <t>data_amendment</t>
        </is>
      </c>
      <c r="D1364" s="2" t="n">
        <v>46317.40069444444</v>
      </c>
      <c r="E1364" s="2" t="n">
        <v>46317.73402777778</v>
      </c>
      <c r="F1364" t="inlineStr">
        <is>
          <t>M3</t>
        </is>
      </c>
      <c r="G1364" t="inlineStr">
        <is>
          <t>C3</t>
        </is>
      </c>
      <c r="H1364" s="2" t="n">
        <v>46317.42013888889</v>
      </c>
      <c r="I1364" s="2" t="n">
        <v>46317.58958333333</v>
      </c>
      <c r="J1364" t="inlineStr">
        <is>
          <t>Completed</t>
        </is>
      </c>
      <c r="K1364" t="n">
        <v>4.53</v>
      </c>
      <c r="L1364" t="n">
        <v>8</v>
      </c>
      <c r="M1364" t="b">
        <v>0</v>
      </c>
      <c r="N1364" t="n">
        <v>0</v>
      </c>
      <c r="O1364" t="b">
        <v>1</v>
      </c>
      <c r="P1364" t="b">
        <v>0</v>
      </c>
      <c r="Q1364" t="b">
        <v>1</v>
      </c>
    </row>
    <row r="1365">
      <c r="A1365" t="inlineStr">
        <is>
          <t>REQ01364</t>
        </is>
      </c>
      <c r="B1365" t="inlineStr">
        <is>
          <t>213800XWNJ5GH5LOLQ71</t>
        </is>
      </c>
      <c r="C1365" t="inlineStr">
        <is>
          <t>data_amendment</t>
        </is>
      </c>
      <c r="D1365" s="2" t="n">
        <v>46317.40138888889</v>
      </c>
      <c r="E1365" s="2" t="n">
        <v>46317.73472222222</v>
      </c>
      <c r="F1365" t="inlineStr">
        <is>
          <t>M1</t>
        </is>
      </c>
      <c r="G1365" t="inlineStr">
        <is>
          <t>C2</t>
        </is>
      </c>
      <c r="H1365" s="2" t="n">
        <v>46317.42361111111</v>
      </c>
      <c r="I1365" s="2" t="n">
        <v>46317.59861111111</v>
      </c>
      <c r="J1365" t="inlineStr">
        <is>
          <t>Completed</t>
        </is>
      </c>
      <c r="K1365" t="n">
        <v>4.74</v>
      </c>
      <c r="L1365" t="n">
        <v>8</v>
      </c>
      <c r="M1365" t="b">
        <v>0</v>
      </c>
      <c r="N1365" t="n">
        <v>0</v>
      </c>
      <c r="O1365" t="b">
        <v>1</v>
      </c>
      <c r="P1365" t="b">
        <v>0</v>
      </c>
      <c r="Q1365" t="b">
        <v>1</v>
      </c>
    </row>
    <row r="1366">
      <c r="A1366" t="inlineStr">
        <is>
          <t>REQ01365</t>
        </is>
      </c>
      <c r="B1366" t="inlineStr">
        <is>
          <t>549300N03MI7Q3EGMR90</t>
        </is>
      </c>
      <c r="C1366" t="inlineStr">
        <is>
          <t>document_refresh</t>
        </is>
      </c>
      <c r="D1366" s="2" t="n">
        <v>46317.40208333333</v>
      </c>
      <c r="E1366" s="2" t="n">
        <v>46318.52708333333</v>
      </c>
      <c r="F1366" t="inlineStr">
        <is>
          <t>M4</t>
        </is>
      </c>
      <c r="G1366" t="inlineStr">
        <is>
          <t>C1</t>
        </is>
      </c>
      <c r="H1366" s="2" t="n">
        <v>46317.42777777778</v>
      </c>
      <c r="I1366" s="2" t="n">
        <v>46317.65347222222</v>
      </c>
      <c r="J1366" t="inlineStr">
        <is>
          <t>Completed</t>
        </is>
      </c>
      <c r="K1366" t="n">
        <v>6.04</v>
      </c>
      <c r="L1366" t="n">
        <v>12</v>
      </c>
      <c r="M1366" t="b">
        <v>0</v>
      </c>
      <c r="N1366" t="n">
        <v>0</v>
      </c>
      <c r="O1366" t="b">
        <v>1</v>
      </c>
      <c r="P1366" t="b">
        <v>0</v>
      </c>
      <c r="Q1366" t="b">
        <v>1</v>
      </c>
    </row>
    <row r="1367">
      <c r="A1367" t="inlineStr">
        <is>
          <t>REQ01366</t>
        </is>
      </c>
      <c r="B1367" t="inlineStr">
        <is>
          <t>335800UK41D1TMTYOQ39</t>
        </is>
      </c>
      <c r="C1367" t="inlineStr">
        <is>
          <t>data_amendment</t>
        </is>
      </c>
      <c r="D1367" s="2" t="n">
        <v>46317.40694444445</v>
      </c>
      <c r="E1367" s="2" t="n">
        <v>46317.74027777778</v>
      </c>
      <c r="F1367" t="inlineStr">
        <is>
          <t>M2</t>
        </is>
      </c>
      <c r="G1367" t="inlineStr">
        <is>
          <t>C3</t>
        </is>
      </c>
      <c r="H1367" s="2" t="n">
        <v>46317.42708333334</v>
      </c>
      <c r="I1367" s="2" t="n">
        <v>46317.43194444444</v>
      </c>
      <c r="J1367" t="inlineStr">
        <is>
          <t>Completed</t>
        </is>
      </c>
      <c r="K1367" t="n">
        <v>0.59</v>
      </c>
      <c r="L1367" t="n">
        <v>8</v>
      </c>
      <c r="M1367" t="b">
        <v>0</v>
      </c>
      <c r="N1367" t="n">
        <v>0</v>
      </c>
      <c r="O1367" t="b">
        <v>1</v>
      </c>
      <c r="P1367" t="b">
        <v>0</v>
      </c>
      <c r="Q1367" t="b">
        <v>0</v>
      </c>
    </row>
    <row r="1368">
      <c r="A1368" t="inlineStr">
        <is>
          <t>REQ01367</t>
        </is>
      </c>
      <c r="B1368" t="inlineStr">
        <is>
          <t>549300LRGUZYELQKAH25</t>
        </is>
      </c>
      <c r="C1368" t="inlineStr">
        <is>
          <t>data_amendment</t>
        </is>
      </c>
      <c r="D1368" s="2" t="n">
        <v>46317.41041666667</v>
      </c>
      <c r="E1368" s="2" t="n">
        <v>46317.74375</v>
      </c>
      <c r="F1368" t="inlineStr">
        <is>
          <t>M3</t>
        </is>
      </c>
      <c r="G1368" t="inlineStr">
        <is>
          <t>C2</t>
        </is>
      </c>
      <c r="H1368" s="2" t="n">
        <v>46317.42847222222</v>
      </c>
      <c r="I1368" s="2" t="n">
        <v>46317.60347222222</v>
      </c>
      <c r="J1368" t="inlineStr">
        <is>
          <t>Completed</t>
        </is>
      </c>
      <c r="K1368" t="n">
        <v>4.63</v>
      </c>
      <c r="L1368" t="n">
        <v>8</v>
      </c>
      <c r="M1368" t="b">
        <v>0</v>
      </c>
      <c r="N1368" t="n">
        <v>0</v>
      </c>
      <c r="O1368" t="b">
        <v>1</v>
      </c>
      <c r="P1368" t="b">
        <v>0</v>
      </c>
      <c r="Q1368" t="b">
        <v>1</v>
      </c>
    </row>
    <row r="1369">
      <c r="A1369" t="inlineStr">
        <is>
          <t>REQ01368</t>
        </is>
      </c>
      <c r="B1369" t="inlineStr">
        <is>
          <t>254900SYPI8MKFT7GG08</t>
        </is>
      </c>
      <c r="C1369" t="inlineStr">
        <is>
          <t>document_refresh</t>
        </is>
      </c>
      <c r="D1369" s="2" t="n">
        <v>46317.41388888889</v>
      </c>
      <c r="E1369" s="2" t="n">
        <v>46318.53888888889</v>
      </c>
      <c r="F1369" t="inlineStr">
        <is>
          <t>M1</t>
        </is>
      </c>
      <c r="G1369" t="inlineStr">
        <is>
          <t>C1</t>
        </is>
      </c>
      <c r="H1369" s="2" t="n">
        <v>46317.43541666667</v>
      </c>
      <c r="I1369" s="2" t="n">
        <v>46317.44236111111</v>
      </c>
      <c r="J1369" t="inlineStr">
        <is>
          <t>Completed</t>
        </is>
      </c>
      <c r="K1369" t="n">
        <v>0.6899999999999999</v>
      </c>
      <c r="L1369" t="n">
        <v>12</v>
      </c>
      <c r="M1369" t="b">
        <v>0</v>
      </c>
      <c r="N1369" t="n">
        <v>0</v>
      </c>
      <c r="O1369" t="b">
        <v>1</v>
      </c>
      <c r="P1369" t="b">
        <v>0</v>
      </c>
      <c r="Q1369" t="b">
        <v>0</v>
      </c>
    </row>
    <row r="1370">
      <c r="A1370" t="inlineStr">
        <is>
          <t>REQ01369</t>
        </is>
      </c>
      <c r="B1370" t="inlineStr">
        <is>
          <t>6488J7Z0UQ2934TFB737</t>
        </is>
      </c>
      <c r="C1370" t="inlineStr">
        <is>
          <t>data_amendment</t>
        </is>
      </c>
      <c r="D1370" s="2" t="n">
        <v>46317.41666666666</v>
      </c>
      <c r="E1370" s="2" t="n">
        <v>46318.375</v>
      </c>
      <c r="F1370" t="inlineStr">
        <is>
          <t>M2</t>
        </is>
      </c>
      <c r="G1370" t="inlineStr">
        <is>
          <t>C1</t>
        </is>
      </c>
      <c r="H1370" s="2" t="n">
        <v>46317.43888888889</v>
      </c>
      <c r="I1370" s="2" t="n">
        <v>46317.64513888889</v>
      </c>
      <c r="J1370" t="inlineStr">
        <is>
          <t>Completed</t>
        </is>
      </c>
      <c r="K1370" t="n">
        <v>5.49</v>
      </c>
      <c r="L1370" t="n">
        <v>8</v>
      </c>
      <c r="M1370" t="b">
        <v>0</v>
      </c>
      <c r="N1370" t="n">
        <v>0</v>
      </c>
      <c r="O1370" t="b">
        <v>1</v>
      </c>
      <c r="P1370" t="b">
        <v>0</v>
      </c>
      <c r="Q1370" t="b">
        <v>1</v>
      </c>
    </row>
    <row r="1371">
      <c r="A1371" t="inlineStr">
        <is>
          <t>REQ01370</t>
        </is>
      </c>
      <c r="B1371" t="inlineStr">
        <is>
          <t>724500S7FI04FO3S0B22</t>
        </is>
      </c>
      <c r="C1371" t="inlineStr">
        <is>
          <t>new_account</t>
        </is>
      </c>
      <c r="D1371" s="2" t="n">
        <v>46317.41875</v>
      </c>
      <c r="E1371" s="2" t="n">
        <v>46318.71041666667</v>
      </c>
      <c r="F1371" t="inlineStr">
        <is>
          <t>M4</t>
        </is>
      </c>
      <c r="G1371" t="inlineStr">
        <is>
          <t>C3</t>
        </is>
      </c>
      <c r="H1371" s="2" t="n">
        <v>46317.46180555555</v>
      </c>
      <c r="I1371" s="2" t="n">
        <v>46317.58541666667</v>
      </c>
      <c r="J1371" t="inlineStr">
        <is>
          <t>Completed</t>
        </is>
      </c>
      <c r="K1371" t="n">
        <v>4</v>
      </c>
      <c r="L1371" t="n">
        <v>16</v>
      </c>
      <c r="M1371" t="b">
        <v>0</v>
      </c>
      <c r="N1371" t="n">
        <v>0</v>
      </c>
      <c r="O1371" t="b">
        <v>1</v>
      </c>
      <c r="P1371" t="b">
        <v>0</v>
      </c>
      <c r="Q1371" t="b">
        <v>1</v>
      </c>
    </row>
    <row r="1372">
      <c r="A1372" t="inlineStr">
        <is>
          <t>REQ01371</t>
        </is>
      </c>
      <c r="B1372" t="inlineStr">
        <is>
          <t>254900XHOH6PYOSR2P42</t>
        </is>
      </c>
      <c r="C1372" t="inlineStr">
        <is>
          <t>new_account</t>
        </is>
      </c>
      <c r="D1372" s="2" t="n">
        <v>46317.41944444444</v>
      </c>
      <c r="E1372" s="2" t="n">
        <v>46318.71111111111</v>
      </c>
      <c r="F1372" t="inlineStr">
        <is>
          <t>M3</t>
        </is>
      </c>
      <c r="G1372" t="inlineStr">
        <is>
          <t>C3</t>
        </is>
      </c>
      <c r="H1372" s="2" t="n">
        <v>46317.45277777778</v>
      </c>
      <c r="I1372" s="2" t="n">
        <v>46317.61111111111</v>
      </c>
      <c r="J1372" t="inlineStr">
        <is>
          <t>Completed</t>
        </is>
      </c>
      <c r="K1372" t="n">
        <v>4.61</v>
      </c>
      <c r="L1372" t="n">
        <v>16</v>
      </c>
      <c r="M1372" t="b">
        <v>0</v>
      </c>
      <c r="N1372" t="n">
        <v>0</v>
      </c>
      <c r="O1372" t="b">
        <v>1</v>
      </c>
      <c r="P1372" t="b">
        <v>0</v>
      </c>
      <c r="Q1372" t="b">
        <v>1</v>
      </c>
    </row>
    <row r="1373">
      <c r="A1373" t="inlineStr">
        <is>
          <t>REQ01372</t>
        </is>
      </c>
      <c r="B1373" t="inlineStr">
        <is>
          <t>254900RI09RE9Z92S802</t>
        </is>
      </c>
      <c r="C1373" t="inlineStr">
        <is>
          <t>new_account</t>
        </is>
      </c>
      <c r="D1373" s="2" t="n">
        <v>46317.42708333334</v>
      </c>
      <c r="E1373" s="2" t="n">
        <v>46318.71875</v>
      </c>
      <c r="F1373" t="inlineStr">
        <is>
          <t>M5</t>
        </is>
      </c>
      <c r="G1373" t="inlineStr">
        <is>
          <t>C2</t>
        </is>
      </c>
      <c r="H1373" s="2" t="n">
        <v>46317.46041666667</v>
      </c>
      <c r="I1373" s="2" t="n">
        <v>46317.67986111111</v>
      </c>
      <c r="J1373" t="inlineStr">
        <is>
          <t>Completed</t>
        </is>
      </c>
      <c r="K1373" t="n">
        <v>6.07</v>
      </c>
      <c r="L1373" t="n">
        <v>16</v>
      </c>
      <c r="M1373" t="b">
        <v>0</v>
      </c>
      <c r="N1373" t="n">
        <v>0</v>
      </c>
      <c r="O1373" t="b">
        <v>1</v>
      </c>
      <c r="P1373" t="b">
        <v>0</v>
      </c>
      <c r="Q1373" t="b">
        <v>1</v>
      </c>
    </row>
    <row r="1374">
      <c r="A1374" t="inlineStr">
        <is>
          <t>REQ01373</t>
        </is>
      </c>
      <c r="B1374" t="inlineStr">
        <is>
          <t>5493008EYOZ1SZ0ZN858</t>
        </is>
      </c>
      <c r="C1374" t="inlineStr">
        <is>
          <t>new_account</t>
        </is>
      </c>
      <c r="D1374" s="2" t="n">
        <v>46317.42847222222</v>
      </c>
      <c r="E1374" s="2" t="n">
        <v>46318.72013888889</v>
      </c>
      <c r="F1374" t="inlineStr">
        <is>
          <t>M1</t>
        </is>
      </c>
      <c r="G1374" t="inlineStr">
        <is>
          <t>C3</t>
        </is>
      </c>
      <c r="H1374" s="2" t="n">
        <v>46317.46388888889</v>
      </c>
      <c r="I1374" s="2" t="n">
        <v>46317.47708333333</v>
      </c>
      <c r="J1374" t="inlineStr">
        <is>
          <t>Completed</t>
        </is>
      </c>
      <c r="K1374" t="n">
        <v>1.16</v>
      </c>
      <c r="L1374" t="n">
        <v>16</v>
      </c>
      <c r="M1374" t="b">
        <v>0</v>
      </c>
      <c r="N1374" t="n">
        <v>0</v>
      </c>
      <c r="O1374" t="b">
        <v>1</v>
      </c>
      <c r="P1374" t="b">
        <v>0</v>
      </c>
      <c r="Q1374" t="b">
        <v>0</v>
      </c>
    </row>
    <row r="1375">
      <c r="A1375" t="inlineStr">
        <is>
          <t>REQ01374</t>
        </is>
      </c>
      <c r="B1375" t="inlineStr">
        <is>
          <t>7245003VJBRS4ST6Y822</t>
        </is>
      </c>
      <c r="C1375" t="inlineStr">
        <is>
          <t>signatory_change</t>
        </is>
      </c>
      <c r="D1375" s="2" t="n">
        <v>46317.42916666667</v>
      </c>
      <c r="E1375" s="2" t="n">
        <v>46318.3875</v>
      </c>
      <c r="F1375" t="inlineStr">
        <is>
          <t>M2</t>
        </is>
      </c>
      <c r="G1375" t="inlineStr">
        <is>
          <t>C2</t>
        </is>
      </c>
      <c r="H1375" s="2" t="n">
        <v>46317.45902777778</v>
      </c>
      <c r="I1375" s="2" t="n">
        <v>46317.69652777778</v>
      </c>
      <c r="J1375" t="inlineStr">
        <is>
          <t>Completed</t>
        </is>
      </c>
      <c r="K1375" t="n">
        <v>6.42</v>
      </c>
      <c r="L1375" t="n">
        <v>8</v>
      </c>
      <c r="M1375" t="b">
        <v>0</v>
      </c>
      <c r="N1375" t="n">
        <v>0</v>
      </c>
      <c r="O1375" t="b">
        <v>1</v>
      </c>
      <c r="P1375" t="b">
        <v>0</v>
      </c>
      <c r="Q1375" t="b">
        <v>1</v>
      </c>
    </row>
    <row r="1376">
      <c r="A1376" t="inlineStr">
        <is>
          <t>REQ01375</t>
        </is>
      </c>
      <c r="B1376" t="inlineStr">
        <is>
          <t>6488CEYK862094G3KW49</t>
        </is>
      </c>
      <c r="C1376" t="inlineStr">
        <is>
          <t>new_account</t>
        </is>
      </c>
      <c r="D1376" s="2" t="n">
        <v>46317.42916666667</v>
      </c>
      <c r="E1376" s="2" t="n">
        <v>46318.72083333333</v>
      </c>
      <c r="F1376" t="inlineStr">
        <is>
          <t>M6</t>
        </is>
      </c>
      <c r="G1376" t="inlineStr">
        <is>
          <t>C1</t>
        </is>
      </c>
      <c r="H1376" s="2" t="n">
        <v>46317.47083333333</v>
      </c>
      <c r="I1376" s="2" t="n">
        <v>46317.47777777778</v>
      </c>
      <c r="J1376" t="inlineStr">
        <is>
          <t>Completed</t>
        </is>
      </c>
      <c r="K1376" t="n">
        <v>1.17</v>
      </c>
      <c r="L1376" t="n">
        <v>16</v>
      </c>
      <c r="M1376" t="b">
        <v>0</v>
      </c>
      <c r="N1376" t="n">
        <v>0</v>
      </c>
      <c r="O1376" t="b">
        <v>1</v>
      </c>
      <c r="P1376" t="b">
        <v>0</v>
      </c>
      <c r="Q1376" t="b">
        <v>0</v>
      </c>
    </row>
    <row r="1377">
      <c r="A1377" t="inlineStr">
        <is>
          <t>REQ01376</t>
        </is>
      </c>
      <c r="B1377" t="inlineStr">
        <is>
          <t>549300UQIPSGXYD0FI88</t>
        </is>
      </c>
      <c r="C1377" t="inlineStr">
        <is>
          <t>new_account</t>
        </is>
      </c>
      <c r="D1377" s="2" t="n">
        <v>46317.43472222222</v>
      </c>
      <c r="E1377" s="2" t="n">
        <v>46318.72638888889</v>
      </c>
      <c r="F1377" t="inlineStr">
        <is>
          <t>M3</t>
        </is>
      </c>
      <c r="G1377" t="inlineStr">
        <is>
          <t>C1</t>
        </is>
      </c>
      <c r="H1377" s="2" t="n">
        <v>46317.48819444444</v>
      </c>
      <c r="I1377" s="2" t="n">
        <v>46317.61041666667</v>
      </c>
      <c r="J1377" t="inlineStr">
        <is>
          <t>Completed</t>
        </is>
      </c>
      <c r="K1377" t="n">
        <v>4.22</v>
      </c>
      <c r="L1377" t="n">
        <v>16</v>
      </c>
      <c r="M1377" t="b">
        <v>0</v>
      </c>
      <c r="N1377" t="n">
        <v>0</v>
      </c>
      <c r="O1377" t="b">
        <v>1</v>
      </c>
      <c r="P1377" t="b">
        <v>0</v>
      </c>
      <c r="Q1377" t="b">
        <v>1</v>
      </c>
    </row>
    <row r="1378">
      <c r="A1378" t="inlineStr">
        <is>
          <t>REQ01377</t>
        </is>
      </c>
      <c r="B1378" t="inlineStr">
        <is>
          <t>335800ZYZNKQ6CQO5956</t>
        </is>
      </c>
      <c r="C1378" t="inlineStr">
        <is>
          <t>data_amendment</t>
        </is>
      </c>
      <c r="D1378" s="2" t="n">
        <v>46317.4375</v>
      </c>
      <c r="E1378" s="2" t="n">
        <v>46318.39583333334</v>
      </c>
      <c r="F1378" t="inlineStr">
        <is>
          <t>M2</t>
        </is>
      </c>
      <c r="G1378" t="inlineStr">
        <is>
          <t>C2</t>
        </is>
      </c>
      <c r="H1378" s="2" t="n">
        <v>46317.46666666667</v>
      </c>
      <c r="I1378" s="2" t="n">
        <v>46317.47013888889</v>
      </c>
      <c r="J1378" t="inlineStr">
        <is>
          <t>Completed</t>
        </is>
      </c>
      <c r="K1378" t="n">
        <v>0.78</v>
      </c>
      <c r="L1378" t="n">
        <v>8</v>
      </c>
      <c r="M1378" t="b">
        <v>0</v>
      </c>
      <c r="N1378" t="n">
        <v>0</v>
      </c>
      <c r="O1378" t="b">
        <v>1</v>
      </c>
      <c r="P1378" t="b">
        <v>0</v>
      </c>
      <c r="Q1378" t="b">
        <v>0</v>
      </c>
    </row>
    <row r="1379">
      <c r="A1379" t="inlineStr">
        <is>
          <t>REQ01378</t>
        </is>
      </c>
      <c r="B1379" t="inlineStr">
        <is>
          <t>254900BSAPUD2B9HKZ08</t>
        </is>
      </c>
      <c r="C1379" t="inlineStr">
        <is>
          <t>new_account</t>
        </is>
      </c>
      <c r="D1379" s="2" t="n">
        <v>46317.43819444445</v>
      </c>
      <c r="E1379" s="2" t="n">
        <v>46318.72986111111</v>
      </c>
      <c r="F1379" t="inlineStr">
        <is>
          <t>M5</t>
        </is>
      </c>
      <c r="G1379" t="inlineStr">
        <is>
          <t>C3</t>
        </is>
      </c>
      <c r="H1379" s="2" t="n">
        <v>46317.49097222222</v>
      </c>
      <c r="I1379" s="2" t="n">
        <v>46317.50138888889</v>
      </c>
      <c r="J1379" t="inlineStr">
        <is>
          <t>Completed</t>
        </is>
      </c>
      <c r="K1379" t="n">
        <v>1.52</v>
      </c>
      <c r="L1379" t="n">
        <v>16</v>
      </c>
      <c r="M1379" t="b">
        <v>0</v>
      </c>
      <c r="N1379" t="n">
        <v>0</v>
      </c>
      <c r="O1379" t="b">
        <v>1</v>
      </c>
      <c r="P1379" t="b">
        <v>0</v>
      </c>
      <c r="Q1379" t="b">
        <v>0</v>
      </c>
    </row>
    <row r="1380">
      <c r="A1380" t="inlineStr">
        <is>
          <t>REQ01379</t>
        </is>
      </c>
      <c r="B1380" t="inlineStr">
        <is>
          <t>549300C6NK68DTXQI735</t>
        </is>
      </c>
      <c r="C1380" t="inlineStr">
        <is>
          <t>signatory_change</t>
        </is>
      </c>
      <c r="D1380" s="2" t="n">
        <v>46317.44236111111</v>
      </c>
      <c r="E1380" s="2" t="n">
        <v>46318.40069444444</v>
      </c>
      <c r="F1380" t="inlineStr">
        <is>
          <t>M4</t>
        </is>
      </c>
      <c r="G1380" t="inlineStr">
        <is>
          <t>C2</t>
        </is>
      </c>
      <c r="H1380" s="2" t="n">
        <v>46317.48680555556</v>
      </c>
      <c r="I1380" s="2" t="n">
        <v>46317.60972222222</v>
      </c>
      <c r="J1380" t="inlineStr">
        <is>
          <t>Completed</t>
        </is>
      </c>
      <c r="K1380" t="n">
        <v>4.02</v>
      </c>
      <c r="L1380" t="n">
        <v>8</v>
      </c>
      <c r="M1380" t="b">
        <v>0</v>
      </c>
      <c r="N1380" t="n">
        <v>0</v>
      </c>
      <c r="O1380" t="b">
        <v>1</v>
      </c>
      <c r="P1380" t="b">
        <v>0</v>
      </c>
      <c r="Q1380" t="b">
        <v>1</v>
      </c>
    </row>
    <row r="1381">
      <c r="A1381" t="inlineStr">
        <is>
          <t>REQ01380</t>
        </is>
      </c>
      <c r="B1381" t="inlineStr">
        <is>
          <t>894500CJFYFRUIEXE691</t>
        </is>
      </c>
      <c r="C1381" t="inlineStr">
        <is>
          <t>document_refresh</t>
        </is>
      </c>
      <c r="D1381" s="2" t="n">
        <v>46317.45208333333</v>
      </c>
      <c r="E1381" s="2" t="n">
        <v>46318.57708333333</v>
      </c>
      <c r="F1381" t="inlineStr">
        <is>
          <t>M1</t>
        </is>
      </c>
      <c r="G1381" t="inlineStr">
        <is>
          <t>C2</t>
        </is>
      </c>
      <c r="H1381" s="2" t="n">
        <v>46317.475</v>
      </c>
      <c r="I1381" s="2" t="n">
        <v>46317.63680555556</v>
      </c>
      <c r="J1381" t="inlineStr">
        <is>
          <t>Completed</t>
        </is>
      </c>
      <c r="K1381" t="n">
        <v>4.43</v>
      </c>
      <c r="L1381" t="n">
        <v>12</v>
      </c>
      <c r="M1381" t="b">
        <v>0</v>
      </c>
      <c r="N1381" t="n">
        <v>1</v>
      </c>
      <c r="O1381" t="b">
        <v>0</v>
      </c>
      <c r="P1381" t="b">
        <v>1</v>
      </c>
      <c r="Q1381" t="b">
        <v>1</v>
      </c>
    </row>
    <row r="1382">
      <c r="A1382" t="inlineStr">
        <is>
          <t>REQ01381</t>
        </is>
      </c>
      <c r="B1382" t="inlineStr">
        <is>
          <t>984500D4I67F38ECYE67</t>
        </is>
      </c>
      <c r="C1382" t="inlineStr">
        <is>
          <t>signatory_change</t>
        </is>
      </c>
      <c r="D1382" s="2" t="n">
        <v>46317.46111111111</v>
      </c>
      <c r="E1382" s="2" t="n">
        <v>46318.41944444444</v>
      </c>
      <c r="F1382" t="inlineStr">
        <is>
          <t>M2</t>
        </is>
      </c>
      <c r="G1382" t="inlineStr">
        <is>
          <t>C1</t>
        </is>
      </c>
      <c r="H1382" s="2" t="n">
        <v>46317.49097222222</v>
      </c>
      <c r="I1382" s="2" t="n">
        <v>46317.67638888889</v>
      </c>
      <c r="J1382" t="inlineStr">
        <is>
          <t>Completed</t>
        </is>
      </c>
      <c r="K1382" t="n">
        <v>5.17</v>
      </c>
      <c r="L1382" t="n">
        <v>8</v>
      </c>
      <c r="M1382" t="b">
        <v>0</v>
      </c>
      <c r="N1382" t="n">
        <v>0</v>
      </c>
      <c r="O1382" t="b">
        <v>1</v>
      </c>
      <c r="P1382" t="b">
        <v>0</v>
      </c>
      <c r="Q1382" t="b">
        <v>1</v>
      </c>
    </row>
    <row r="1383">
      <c r="A1383" t="inlineStr">
        <is>
          <t>REQ01382</t>
        </is>
      </c>
      <c r="B1383" t="inlineStr">
        <is>
          <t>5493008XMNWVHZZJAX40</t>
        </is>
      </c>
      <c r="C1383" t="inlineStr">
        <is>
          <t>data_amendment</t>
        </is>
      </c>
      <c r="D1383" s="2" t="n">
        <v>46317.48194444444</v>
      </c>
      <c r="E1383" s="2" t="n">
        <v>46318.44027777778</v>
      </c>
      <c r="F1383" t="inlineStr">
        <is>
          <t>M6</t>
        </is>
      </c>
      <c r="G1383" t="inlineStr">
        <is>
          <t>C2</t>
        </is>
      </c>
      <c r="H1383" s="2" t="n">
        <v>46317.49513888889</v>
      </c>
      <c r="I1383" s="2" t="n">
        <v>46317.74791666667</v>
      </c>
      <c r="J1383" t="inlineStr">
        <is>
          <t>Completed</t>
        </is>
      </c>
      <c r="K1383" t="n">
        <v>6.38</v>
      </c>
      <c r="L1383" t="n">
        <v>8</v>
      </c>
      <c r="M1383" t="b">
        <v>0</v>
      </c>
      <c r="N1383" t="n">
        <v>0</v>
      </c>
      <c r="O1383" t="b">
        <v>1</v>
      </c>
      <c r="P1383" t="b">
        <v>0</v>
      </c>
      <c r="Q1383" t="b">
        <v>1</v>
      </c>
    </row>
    <row r="1384">
      <c r="A1384" t="inlineStr">
        <is>
          <t>REQ01383</t>
        </is>
      </c>
      <c r="B1384" t="inlineStr">
        <is>
          <t>6488B6W6T9Z41QZ6C145</t>
        </is>
      </c>
      <c r="C1384" t="inlineStr">
        <is>
          <t>signatory_change</t>
        </is>
      </c>
      <c r="D1384" s="2" t="n">
        <v>46317.49791666667</v>
      </c>
      <c r="E1384" s="2" t="n">
        <v>46318.45625</v>
      </c>
      <c r="F1384" t="inlineStr">
        <is>
          <t>M1</t>
        </is>
      </c>
      <c r="G1384" t="inlineStr">
        <is>
          <t>C2</t>
        </is>
      </c>
      <c r="H1384" s="2" t="n">
        <v>46317.51666666667</v>
      </c>
      <c r="I1384" s="2" t="n">
        <v>46317.52291666667</v>
      </c>
      <c r="J1384" t="inlineStr">
        <is>
          <t>Completed</t>
        </is>
      </c>
      <c r="K1384" t="n">
        <v>0.6</v>
      </c>
      <c r="L1384" t="n">
        <v>8</v>
      </c>
      <c r="M1384" t="b">
        <v>0</v>
      </c>
      <c r="N1384" t="n">
        <v>0</v>
      </c>
      <c r="O1384" t="b">
        <v>1</v>
      </c>
      <c r="P1384" t="b">
        <v>0</v>
      </c>
      <c r="Q1384" t="b">
        <v>0</v>
      </c>
    </row>
    <row r="1385">
      <c r="A1385" t="inlineStr">
        <is>
          <t>REQ01384</t>
        </is>
      </c>
      <c r="B1385" t="inlineStr">
        <is>
          <t>254900HAUZPFMMYFP449</t>
        </is>
      </c>
      <c r="C1385" t="inlineStr">
        <is>
          <t>document_refresh</t>
        </is>
      </c>
      <c r="D1385" s="2" t="n">
        <v>46317.49791666667</v>
      </c>
      <c r="E1385" s="2" t="n">
        <v>46318.62291666667</v>
      </c>
      <c r="F1385" t="inlineStr">
        <is>
          <t>M4</t>
        </is>
      </c>
      <c r="G1385" t="inlineStr">
        <is>
          <t>C1</t>
        </is>
      </c>
      <c r="H1385" s="2" t="n">
        <v>46317.51180555556</v>
      </c>
      <c r="I1385" s="2" t="n">
        <v>46317.73125</v>
      </c>
      <c r="J1385" t="inlineStr">
        <is>
          <t>Completed</t>
        </is>
      </c>
      <c r="K1385" t="n">
        <v>5.59</v>
      </c>
      <c r="L1385" t="n">
        <v>12</v>
      </c>
      <c r="M1385" t="b">
        <v>0</v>
      </c>
      <c r="N1385" t="n">
        <v>0</v>
      </c>
      <c r="O1385" t="b">
        <v>1</v>
      </c>
      <c r="P1385" t="b">
        <v>0</v>
      </c>
      <c r="Q1385" t="b">
        <v>1</v>
      </c>
    </row>
    <row r="1386">
      <c r="A1386" t="inlineStr">
        <is>
          <t>REQ01385</t>
        </is>
      </c>
      <c r="B1386" t="inlineStr">
        <is>
          <t>391200OQWIHPYIGUEC92</t>
        </is>
      </c>
      <c r="C1386" t="inlineStr">
        <is>
          <t>document_refresh</t>
        </is>
      </c>
      <c r="D1386" s="2" t="n">
        <v>46317.50694444445</v>
      </c>
      <c r="E1386" s="2" t="n">
        <v>46318.63194444445</v>
      </c>
      <c r="F1386" t="inlineStr">
        <is>
          <t>M3</t>
        </is>
      </c>
      <c r="G1386" t="inlineStr">
        <is>
          <t>C2</t>
        </is>
      </c>
      <c r="H1386" s="2" t="n">
        <v>46317.525</v>
      </c>
      <c r="I1386" s="2" t="n">
        <v>46317.52986111111</v>
      </c>
      <c r="J1386" t="inlineStr">
        <is>
          <t>Completed</t>
        </is>
      </c>
      <c r="K1386" t="n">
        <v>0.5600000000000001</v>
      </c>
      <c r="L1386" t="n">
        <v>12</v>
      </c>
      <c r="M1386" t="b">
        <v>0</v>
      </c>
      <c r="N1386" t="n">
        <v>0</v>
      </c>
      <c r="O1386" t="b">
        <v>1</v>
      </c>
      <c r="P1386" t="b">
        <v>0</v>
      </c>
      <c r="Q1386" t="b">
        <v>0</v>
      </c>
    </row>
    <row r="1387">
      <c r="A1387" t="inlineStr">
        <is>
          <t>REQ01386</t>
        </is>
      </c>
      <c r="B1387" t="inlineStr">
        <is>
          <t>549300KOF8DJ6SKTN576</t>
        </is>
      </c>
      <c r="C1387" t="inlineStr">
        <is>
          <t>signatory_change</t>
        </is>
      </c>
      <c r="D1387" s="2" t="n">
        <v>46317.50902777778</v>
      </c>
      <c r="E1387" s="2" t="n">
        <v>46318.46736111111</v>
      </c>
      <c r="F1387" t="inlineStr">
        <is>
          <t>M5</t>
        </is>
      </c>
      <c r="G1387" t="inlineStr">
        <is>
          <t>C3</t>
        </is>
      </c>
      <c r="H1387" s="2" t="n">
        <v>46317.52430555555</v>
      </c>
      <c r="I1387" s="2" t="n">
        <v>46317.65138888889</v>
      </c>
      <c r="J1387" t="inlineStr">
        <is>
          <t>Completed</t>
        </is>
      </c>
      <c r="K1387" t="n">
        <v>3.41</v>
      </c>
      <c r="L1387" t="n">
        <v>8</v>
      </c>
      <c r="M1387" t="b">
        <v>0</v>
      </c>
      <c r="N1387" t="n">
        <v>0</v>
      </c>
      <c r="O1387" t="b">
        <v>1</v>
      </c>
      <c r="P1387" t="b">
        <v>0</v>
      </c>
      <c r="Q1387" t="b">
        <v>1</v>
      </c>
    </row>
    <row r="1388">
      <c r="A1388" t="inlineStr">
        <is>
          <t>REQ01387</t>
        </is>
      </c>
      <c r="B1388" t="inlineStr">
        <is>
          <t>549300LDN0QCX6N5RE50</t>
        </is>
      </c>
      <c r="C1388" t="inlineStr">
        <is>
          <t>document_refresh</t>
        </is>
      </c>
      <c r="D1388" s="2" t="n">
        <v>46317.50972222222</v>
      </c>
      <c r="E1388" s="2" t="n">
        <v>46318.63472222222</v>
      </c>
      <c r="F1388" t="inlineStr">
        <is>
          <t>M2</t>
        </is>
      </c>
      <c r="G1388" t="inlineStr">
        <is>
          <t>C2</t>
        </is>
      </c>
      <c r="H1388" s="2" t="n">
        <v>46317.52291666667</v>
      </c>
      <c r="I1388" s="2" t="n">
        <v>46317.64375</v>
      </c>
      <c r="J1388" t="inlineStr">
        <is>
          <t>Completed</t>
        </is>
      </c>
      <c r="K1388" t="n">
        <v>3.21</v>
      </c>
      <c r="L1388" t="n">
        <v>12</v>
      </c>
      <c r="M1388" t="b">
        <v>0</v>
      </c>
      <c r="N1388" t="n">
        <v>0</v>
      </c>
      <c r="O1388" t="b">
        <v>1</v>
      </c>
      <c r="P1388" t="b">
        <v>0</v>
      </c>
      <c r="Q1388" t="b">
        <v>1</v>
      </c>
    </row>
    <row r="1389">
      <c r="A1389" t="inlineStr">
        <is>
          <t>REQ01388</t>
        </is>
      </c>
      <c r="B1389" t="inlineStr">
        <is>
          <t>549300WPKQ51OPEQNJ94</t>
        </is>
      </c>
      <c r="C1389" t="inlineStr">
        <is>
          <t>data_amendment</t>
        </is>
      </c>
      <c r="D1389" s="2" t="n">
        <v>46317.50972222222</v>
      </c>
      <c r="E1389" s="2" t="n">
        <v>46318.46805555555</v>
      </c>
      <c r="F1389" t="inlineStr">
        <is>
          <t>M6</t>
        </is>
      </c>
      <c r="G1389" t="inlineStr">
        <is>
          <t>C2</t>
        </is>
      </c>
      <c r="H1389" s="2" t="n">
        <v>46317.52152777778</v>
      </c>
      <c r="I1389" s="2" t="n">
        <v>46317.70763888889</v>
      </c>
      <c r="J1389" t="inlineStr">
        <is>
          <t>Completed</t>
        </is>
      </c>
      <c r="K1389" t="n">
        <v>4.75</v>
      </c>
      <c r="L1389" t="n">
        <v>8</v>
      </c>
      <c r="M1389" t="b">
        <v>0</v>
      </c>
      <c r="N1389" t="n">
        <v>0</v>
      </c>
      <c r="O1389" t="b">
        <v>1</v>
      </c>
      <c r="P1389" t="b">
        <v>0</v>
      </c>
      <c r="Q1389" t="b">
        <v>1</v>
      </c>
    </row>
    <row r="1390">
      <c r="A1390" t="inlineStr">
        <is>
          <t>REQ01389</t>
        </is>
      </c>
      <c r="B1390" t="inlineStr">
        <is>
          <t>6488POG55Y0C50O32G98</t>
        </is>
      </c>
      <c r="C1390" t="inlineStr">
        <is>
          <t>document_refresh</t>
        </is>
      </c>
      <c r="D1390" s="2" t="n">
        <v>46317.51111111111</v>
      </c>
      <c r="E1390" s="2" t="n">
        <v>46318.63611111111</v>
      </c>
      <c r="F1390" t="inlineStr">
        <is>
          <t>M4</t>
        </is>
      </c>
      <c r="G1390" t="inlineStr">
        <is>
          <t>C3</t>
        </is>
      </c>
      <c r="H1390" s="2" t="n">
        <v>46317.525</v>
      </c>
      <c r="I1390" s="2" t="n">
        <v>46317.52986111111</v>
      </c>
      <c r="J1390" t="inlineStr">
        <is>
          <t>Completed</t>
        </is>
      </c>
      <c r="K1390" t="n">
        <v>0.45</v>
      </c>
      <c r="L1390" t="n">
        <v>12</v>
      </c>
      <c r="M1390" t="b">
        <v>0</v>
      </c>
      <c r="N1390" t="n">
        <v>0</v>
      </c>
      <c r="O1390" t="b">
        <v>1</v>
      </c>
      <c r="P1390" t="b">
        <v>0</v>
      </c>
      <c r="Q1390" t="b">
        <v>0</v>
      </c>
    </row>
    <row r="1391">
      <c r="A1391" t="inlineStr">
        <is>
          <t>REQ01390</t>
        </is>
      </c>
      <c r="B1391" t="inlineStr">
        <is>
          <t>213800L91EPS22K5NK04</t>
        </is>
      </c>
      <c r="C1391" t="inlineStr">
        <is>
          <t>signatory_change</t>
        </is>
      </c>
      <c r="D1391" s="2" t="n">
        <v>46317.52152777778</v>
      </c>
      <c r="E1391" s="2" t="n">
        <v>46318.47986111111</v>
      </c>
      <c r="F1391" t="inlineStr">
        <is>
          <t>M1</t>
        </is>
      </c>
      <c r="G1391" t="inlineStr">
        <is>
          <t>C1</t>
        </is>
      </c>
      <c r="H1391" s="2" t="n">
        <v>46317.54027777778</v>
      </c>
      <c r="I1391" s="2" t="n">
        <v>46317.55069444444</v>
      </c>
      <c r="J1391" t="inlineStr">
        <is>
          <t>Completed</t>
        </is>
      </c>
      <c r="K1391" t="n">
        <v>0.6899999999999999</v>
      </c>
      <c r="L1391" t="n">
        <v>8</v>
      </c>
      <c r="M1391" t="b">
        <v>0</v>
      </c>
      <c r="N1391" t="n">
        <v>0</v>
      </c>
      <c r="O1391" t="b">
        <v>1</v>
      </c>
      <c r="P1391" t="b">
        <v>0</v>
      </c>
      <c r="Q1391" t="b">
        <v>0</v>
      </c>
    </row>
    <row r="1392">
      <c r="A1392" t="inlineStr">
        <is>
          <t>REQ01391</t>
        </is>
      </c>
      <c r="B1392" t="inlineStr">
        <is>
          <t>549300Z9PYDNM0F3SV29</t>
        </is>
      </c>
      <c r="C1392" t="inlineStr">
        <is>
          <t>data_amendment</t>
        </is>
      </c>
      <c r="D1392" s="2" t="n">
        <v>46317.52430555555</v>
      </c>
      <c r="E1392" s="2" t="n">
        <v>46318.48263888889</v>
      </c>
      <c r="F1392" t="inlineStr">
        <is>
          <t>M6</t>
        </is>
      </c>
      <c r="G1392" t="inlineStr">
        <is>
          <t>C3</t>
        </is>
      </c>
      <c r="H1392" s="2" t="n">
        <v>46317.5375</v>
      </c>
      <c r="I1392" s="2" t="n">
        <v>46317.63194444445</v>
      </c>
      <c r="J1392" t="inlineStr">
        <is>
          <t>Completed</t>
        </is>
      </c>
      <c r="K1392" t="n">
        <v>2.58</v>
      </c>
      <c r="L1392" t="n">
        <v>8</v>
      </c>
      <c r="M1392" t="b">
        <v>0</v>
      </c>
      <c r="N1392" t="n">
        <v>0</v>
      </c>
      <c r="O1392" t="b">
        <v>1</v>
      </c>
      <c r="P1392" t="b">
        <v>0</v>
      </c>
      <c r="Q1392" t="b">
        <v>1</v>
      </c>
    </row>
    <row r="1393">
      <c r="A1393" t="inlineStr">
        <is>
          <t>REQ01392</t>
        </is>
      </c>
      <c r="B1393" t="inlineStr">
        <is>
          <t>984500C397E2BFB45786</t>
        </is>
      </c>
      <c r="C1393" t="inlineStr">
        <is>
          <t>document_refresh</t>
        </is>
      </c>
      <c r="D1393" s="2" t="n">
        <v>46317.52638888889</v>
      </c>
      <c r="E1393" s="2" t="n">
        <v>46318.65138888889</v>
      </c>
      <c r="F1393" t="inlineStr">
        <is>
          <t>M2</t>
        </is>
      </c>
      <c r="G1393" t="inlineStr">
        <is>
          <t>C2</t>
        </is>
      </c>
      <c r="H1393" s="2" t="n">
        <v>46317.5375</v>
      </c>
      <c r="I1393" s="2" t="n">
        <v>46317.54513888889</v>
      </c>
      <c r="J1393" t="inlineStr">
        <is>
          <t>Completed</t>
        </is>
      </c>
      <c r="K1393" t="n">
        <v>0.44</v>
      </c>
      <c r="L1393" t="n">
        <v>12</v>
      </c>
      <c r="M1393" t="b">
        <v>0</v>
      </c>
      <c r="N1393" t="n">
        <v>0</v>
      </c>
      <c r="O1393" t="b">
        <v>1</v>
      </c>
      <c r="P1393" t="b">
        <v>0</v>
      </c>
      <c r="Q1393" t="b">
        <v>0</v>
      </c>
    </row>
    <row r="1394">
      <c r="A1394" t="inlineStr">
        <is>
          <t>REQ01393</t>
        </is>
      </c>
      <c r="B1394" t="inlineStr">
        <is>
          <t>6488036SSKE705A6YX72</t>
        </is>
      </c>
      <c r="C1394" t="inlineStr">
        <is>
          <t>new_account</t>
        </is>
      </c>
      <c r="D1394" s="2" t="n">
        <v>46317.52708333333</v>
      </c>
      <c r="E1394" s="2" t="n">
        <v>46321.44375</v>
      </c>
      <c r="F1394" t="inlineStr">
        <is>
          <t>M5</t>
        </is>
      </c>
      <c r="G1394" t="inlineStr">
        <is>
          <t>C3</t>
        </is>
      </c>
      <c r="H1394" s="2" t="n">
        <v>46317.56666666667</v>
      </c>
      <c r="I1394" s="2" t="n">
        <v>46317.57430555556</v>
      </c>
      <c r="J1394" t="inlineStr">
        <is>
          <t>Completed</t>
        </is>
      </c>
      <c r="K1394" t="n">
        <v>1.14</v>
      </c>
      <c r="L1394" t="n">
        <v>16</v>
      </c>
      <c r="M1394" t="b">
        <v>0</v>
      </c>
      <c r="N1394" t="n">
        <v>0</v>
      </c>
      <c r="O1394" t="b">
        <v>1</v>
      </c>
      <c r="P1394" t="b">
        <v>0</v>
      </c>
      <c r="Q1394" t="b">
        <v>0</v>
      </c>
    </row>
    <row r="1395">
      <c r="A1395" t="inlineStr">
        <is>
          <t>REQ01394</t>
        </is>
      </c>
      <c r="B1395" t="inlineStr">
        <is>
          <t>724500J7JY6VG7OGB351</t>
        </is>
      </c>
      <c r="C1395" t="inlineStr">
        <is>
          <t>signatory_change</t>
        </is>
      </c>
      <c r="D1395" s="2" t="n">
        <v>46317.52916666667</v>
      </c>
      <c r="E1395" s="2" t="n">
        <v>46318.4875</v>
      </c>
      <c r="F1395" t="inlineStr">
        <is>
          <t>M4</t>
        </is>
      </c>
      <c r="G1395" t="inlineStr">
        <is>
          <t>C2</t>
        </is>
      </c>
      <c r="H1395" s="2" t="n">
        <v>46317.55347222222</v>
      </c>
      <c r="I1395" s="2" t="n">
        <v>46317.55902777778</v>
      </c>
      <c r="J1395" t="inlineStr">
        <is>
          <t>Completed</t>
        </is>
      </c>
      <c r="K1395" t="n">
        <v>0.72</v>
      </c>
      <c r="L1395" t="n">
        <v>8</v>
      </c>
      <c r="M1395" t="b">
        <v>0</v>
      </c>
      <c r="N1395" t="n">
        <v>0</v>
      </c>
      <c r="O1395" t="b">
        <v>1</v>
      </c>
      <c r="P1395" t="b">
        <v>0</v>
      </c>
      <c r="Q1395" t="b">
        <v>0</v>
      </c>
    </row>
    <row r="1396">
      <c r="A1396" t="inlineStr">
        <is>
          <t>REQ01395</t>
        </is>
      </c>
      <c r="B1396" t="inlineStr">
        <is>
          <t>724500MHIC9HSDXP3I25</t>
        </is>
      </c>
      <c r="C1396" t="inlineStr">
        <is>
          <t>new_account</t>
        </is>
      </c>
      <c r="D1396" s="2" t="n">
        <v>46317.53194444445</v>
      </c>
      <c r="E1396" s="2" t="n">
        <v>46321.44861111111</v>
      </c>
      <c r="F1396" t="inlineStr">
        <is>
          <t>M3</t>
        </is>
      </c>
      <c r="G1396" t="inlineStr">
        <is>
          <t>C2</t>
        </is>
      </c>
      <c r="H1396" s="2" t="n">
        <v>46317.55972222222</v>
      </c>
      <c r="I1396" s="2" t="n">
        <v>46318.43611111111</v>
      </c>
      <c r="J1396" t="inlineStr">
        <is>
          <t>Completed</t>
        </is>
      </c>
      <c r="K1396" t="n">
        <v>6.7</v>
      </c>
      <c r="L1396" t="n">
        <v>16</v>
      </c>
      <c r="M1396" t="b">
        <v>0</v>
      </c>
      <c r="N1396" t="n">
        <v>0</v>
      </c>
      <c r="O1396" t="b">
        <v>1</v>
      </c>
      <c r="P1396" t="b">
        <v>0</v>
      </c>
      <c r="Q1396" t="b">
        <v>1</v>
      </c>
    </row>
    <row r="1397">
      <c r="A1397" t="inlineStr">
        <is>
          <t>REQ01396</t>
        </is>
      </c>
      <c r="B1397" t="inlineStr">
        <is>
          <t>9695006O2NZ6849XSJ31</t>
        </is>
      </c>
      <c r="C1397" t="inlineStr">
        <is>
          <t>document_refresh</t>
        </is>
      </c>
      <c r="D1397" s="2" t="n">
        <v>46317.53194444445</v>
      </c>
      <c r="E1397" s="2" t="n">
        <v>46318.65694444445</v>
      </c>
      <c r="F1397" t="inlineStr">
        <is>
          <t>M6</t>
        </is>
      </c>
      <c r="G1397" t="inlineStr">
        <is>
          <t>C1</t>
        </is>
      </c>
      <c r="H1397" s="2" t="n">
        <v>46317.55347222222</v>
      </c>
      <c r="I1397" s="2" t="n">
        <v>46317.55833333333</v>
      </c>
      <c r="J1397" t="inlineStr">
        <is>
          <t>Completed</t>
        </is>
      </c>
      <c r="K1397" t="n">
        <v>0.63</v>
      </c>
      <c r="L1397" t="n">
        <v>12</v>
      </c>
      <c r="M1397" t="b">
        <v>0</v>
      </c>
      <c r="N1397" t="n">
        <v>0</v>
      </c>
      <c r="O1397" t="b">
        <v>1</v>
      </c>
      <c r="P1397" t="b">
        <v>0</v>
      </c>
      <c r="Q1397" t="b">
        <v>0</v>
      </c>
    </row>
    <row r="1398">
      <c r="A1398" t="inlineStr">
        <is>
          <t>REQ01397</t>
        </is>
      </c>
      <c r="B1398" t="inlineStr">
        <is>
          <t>54930061YXT7YIK8NN89</t>
        </is>
      </c>
      <c r="C1398" t="inlineStr">
        <is>
          <t>new_account</t>
        </is>
      </c>
      <c r="D1398" s="2" t="n">
        <v>46317.53333333333</v>
      </c>
      <c r="E1398" s="2" t="n">
        <v>46321.45</v>
      </c>
      <c r="F1398" t="inlineStr">
        <is>
          <t>M2</t>
        </is>
      </c>
      <c r="G1398" t="inlineStr">
        <is>
          <t>C2</t>
        </is>
      </c>
      <c r="H1398" s="2" t="n">
        <v>46317.56111111111</v>
      </c>
      <c r="I1398" s="2" t="n">
        <v>46317.56944444445</v>
      </c>
      <c r="J1398" t="inlineStr">
        <is>
          <t>Completed</t>
        </is>
      </c>
      <c r="K1398" t="n">
        <v>0.87</v>
      </c>
      <c r="L1398" t="n">
        <v>16</v>
      </c>
      <c r="M1398" t="b">
        <v>0</v>
      </c>
      <c r="N1398" t="n">
        <v>0</v>
      </c>
      <c r="O1398" t="b">
        <v>1</v>
      </c>
      <c r="P1398" t="b">
        <v>0</v>
      </c>
      <c r="Q1398" t="b">
        <v>0</v>
      </c>
    </row>
    <row r="1399">
      <c r="A1399" t="inlineStr">
        <is>
          <t>REQ01398</t>
        </is>
      </c>
      <c r="B1399" t="inlineStr">
        <is>
          <t>635400VCGYWWWCAZKY23</t>
        </is>
      </c>
      <c r="C1399" t="inlineStr">
        <is>
          <t>new_account</t>
        </is>
      </c>
      <c r="D1399" s="2" t="n">
        <v>46317.54097222222</v>
      </c>
      <c r="E1399" s="2" t="n">
        <v>46321.45763888889</v>
      </c>
      <c r="F1399" t="inlineStr">
        <is>
          <t>M1</t>
        </is>
      </c>
      <c r="G1399" t="inlineStr">
        <is>
          <t>C1</t>
        </is>
      </c>
      <c r="H1399" s="2" t="n">
        <v>46317.57430555556</v>
      </c>
      <c r="I1399" s="2" t="n">
        <v>46318.38819444444</v>
      </c>
      <c r="J1399" t="inlineStr">
        <is>
          <t>Completed</t>
        </is>
      </c>
      <c r="K1399" t="n">
        <v>5.33</v>
      </c>
      <c r="L1399" t="n">
        <v>16</v>
      </c>
      <c r="M1399" t="b">
        <v>0</v>
      </c>
      <c r="N1399" t="n">
        <v>0</v>
      </c>
      <c r="O1399" t="b">
        <v>1</v>
      </c>
      <c r="P1399" t="b">
        <v>0</v>
      </c>
      <c r="Q1399" t="b">
        <v>1</v>
      </c>
    </row>
    <row r="1400">
      <c r="A1400" t="inlineStr">
        <is>
          <t>REQ01399</t>
        </is>
      </c>
      <c r="B1400" t="inlineStr">
        <is>
          <t>9676000TO8GIPC3L6K28</t>
        </is>
      </c>
      <c r="C1400" t="inlineStr">
        <is>
          <t>signatory_change</t>
        </is>
      </c>
      <c r="D1400" s="2" t="n">
        <v>46317.54166666666</v>
      </c>
      <c r="E1400" s="2" t="n">
        <v>46318.5</v>
      </c>
      <c r="F1400" t="inlineStr">
        <is>
          <t>M4</t>
        </is>
      </c>
      <c r="G1400" t="inlineStr">
        <is>
          <t>C1</t>
        </is>
      </c>
      <c r="H1400" s="2" t="n">
        <v>46317.57638888889</v>
      </c>
      <c r="I1400" s="2" t="n">
        <v>46317.58472222222</v>
      </c>
      <c r="J1400" t="inlineStr">
        <is>
          <t>Completed</t>
        </is>
      </c>
      <c r="K1400" t="n">
        <v>1.03</v>
      </c>
      <c r="L1400" t="n">
        <v>8</v>
      </c>
      <c r="M1400" t="b">
        <v>0</v>
      </c>
      <c r="N1400" t="n">
        <v>0</v>
      </c>
      <c r="O1400" t="b">
        <v>1</v>
      </c>
      <c r="P1400" t="b">
        <v>0</v>
      </c>
      <c r="Q1400" t="b">
        <v>0</v>
      </c>
    </row>
    <row r="1401">
      <c r="A1401" t="inlineStr">
        <is>
          <t>REQ01400</t>
        </is>
      </c>
      <c r="B1401" t="inlineStr">
        <is>
          <t>724500IFELSED0HXGD81</t>
        </is>
      </c>
      <c r="C1401" t="inlineStr">
        <is>
          <t>document_refresh</t>
        </is>
      </c>
      <c r="D1401" s="2" t="n">
        <v>46317.54791666667</v>
      </c>
      <c r="E1401" s="2" t="n">
        <v>46318.67291666667</v>
      </c>
      <c r="F1401" t="inlineStr">
        <is>
          <t>M6</t>
        </is>
      </c>
      <c r="G1401" t="inlineStr">
        <is>
          <t>C1</t>
        </is>
      </c>
      <c r="H1401" s="2" t="n">
        <v>46317.56875</v>
      </c>
      <c r="I1401" s="2" t="n">
        <v>46317.57361111111</v>
      </c>
      <c r="J1401" t="inlineStr">
        <is>
          <t>Completed</t>
        </is>
      </c>
      <c r="K1401" t="n">
        <v>0.61</v>
      </c>
      <c r="L1401" t="n">
        <v>12</v>
      </c>
      <c r="M1401" t="b">
        <v>0</v>
      </c>
      <c r="N1401" t="n">
        <v>0</v>
      </c>
      <c r="O1401" t="b">
        <v>1</v>
      </c>
      <c r="P1401" t="b">
        <v>0</v>
      </c>
      <c r="Q1401" t="b">
        <v>0</v>
      </c>
    </row>
    <row r="1402">
      <c r="A1402" t="inlineStr">
        <is>
          <t>REQ01401</t>
        </is>
      </c>
      <c r="B1402" t="inlineStr">
        <is>
          <t>6488U3B19BK9O2P43R43</t>
        </is>
      </c>
      <c r="C1402" t="inlineStr">
        <is>
          <t>signatory_change</t>
        </is>
      </c>
      <c r="D1402" s="2" t="n">
        <v>46317.55347222222</v>
      </c>
      <c r="E1402" s="2" t="n">
        <v>46318.51180555556</v>
      </c>
      <c r="F1402" t="inlineStr">
        <is>
          <t>M3</t>
        </is>
      </c>
      <c r="G1402" t="inlineStr">
        <is>
          <t>C1</t>
        </is>
      </c>
      <c r="H1402" s="2" t="n">
        <v>46317.58402777778</v>
      </c>
      <c r="I1402" s="2" t="n">
        <v>46317.59375</v>
      </c>
      <c r="J1402" t="inlineStr">
        <is>
          <t>Completed</t>
        </is>
      </c>
      <c r="K1402" t="n">
        <v>0.96</v>
      </c>
      <c r="L1402" t="n">
        <v>8</v>
      </c>
      <c r="M1402" t="b">
        <v>0</v>
      </c>
      <c r="N1402" t="n">
        <v>0</v>
      </c>
      <c r="O1402" t="b">
        <v>1</v>
      </c>
      <c r="P1402" t="b">
        <v>0</v>
      </c>
      <c r="Q1402" t="b">
        <v>0</v>
      </c>
    </row>
    <row r="1403">
      <c r="A1403" t="inlineStr">
        <is>
          <t>REQ01402</t>
        </is>
      </c>
      <c r="B1403" t="inlineStr">
        <is>
          <t>96950093QAF9HDOG1V89</t>
        </is>
      </c>
      <c r="C1403" t="inlineStr">
        <is>
          <t>document_refresh</t>
        </is>
      </c>
      <c r="D1403" s="2" t="n">
        <v>46317.5625</v>
      </c>
      <c r="E1403" s="2" t="n">
        <v>46318.6875</v>
      </c>
      <c r="F1403" t="inlineStr">
        <is>
          <t>M2</t>
        </is>
      </c>
      <c r="G1403" t="inlineStr">
        <is>
          <t>C1</t>
        </is>
      </c>
      <c r="H1403" s="2" t="n">
        <v>46317.57291666666</v>
      </c>
      <c r="I1403" s="2" t="n">
        <v>46317.69722222222</v>
      </c>
      <c r="J1403" t="inlineStr">
        <is>
          <t>Completed</t>
        </is>
      </c>
      <c r="K1403" t="n">
        <v>3.23</v>
      </c>
      <c r="L1403" t="n">
        <v>12</v>
      </c>
      <c r="M1403" t="b">
        <v>0</v>
      </c>
      <c r="N1403" t="n">
        <v>0</v>
      </c>
      <c r="O1403" t="b">
        <v>1</v>
      </c>
      <c r="P1403" t="b">
        <v>0</v>
      </c>
      <c r="Q1403" t="b">
        <v>1</v>
      </c>
    </row>
    <row r="1404">
      <c r="A1404" t="inlineStr">
        <is>
          <t>REQ01403</t>
        </is>
      </c>
      <c r="B1404" t="inlineStr">
        <is>
          <t>549300JEC80L1HCWRA98</t>
        </is>
      </c>
      <c r="C1404" t="inlineStr">
        <is>
          <t>signatory_change</t>
        </is>
      </c>
      <c r="D1404" s="2" t="n">
        <v>46317.56458333333</v>
      </c>
      <c r="E1404" s="2" t="n">
        <v>46318.52291666667</v>
      </c>
      <c r="F1404" t="inlineStr">
        <is>
          <t>M5</t>
        </is>
      </c>
      <c r="G1404" t="inlineStr">
        <is>
          <t>C2</t>
        </is>
      </c>
      <c r="H1404" s="2" t="n">
        <v>46317.58263888889</v>
      </c>
      <c r="I1404" s="2" t="n">
        <v>46318.46319444444</v>
      </c>
      <c r="J1404" t="inlineStr">
        <is>
          <t>Completed</t>
        </is>
      </c>
      <c r="K1404" t="n">
        <v>6.56</v>
      </c>
      <c r="L1404" t="n">
        <v>8</v>
      </c>
      <c r="M1404" t="b">
        <v>0</v>
      </c>
      <c r="N1404" t="n">
        <v>0</v>
      </c>
      <c r="O1404" t="b">
        <v>1</v>
      </c>
      <c r="P1404" t="b">
        <v>0</v>
      </c>
      <c r="Q1404" t="b">
        <v>1</v>
      </c>
    </row>
    <row r="1405">
      <c r="A1405" t="inlineStr">
        <is>
          <t>REQ01404</t>
        </is>
      </c>
      <c r="B1405" t="inlineStr">
        <is>
          <t>724500SBAG8HFTJVBN88</t>
        </is>
      </c>
      <c r="C1405" t="inlineStr">
        <is>
          <t>signatory_change</t>
        </is>
      </c>
      <c r="D1405" s="2" t="n">
        <v>46317.56736111111</v>
      </c>
      <c r="E1405" s="2" t="n">
        <v>46318.52569444444</v>
      </c>
      <c r="F1405" t="inlineStr">
        <is>
          <t>M6</t>
        </is>
      </c>
      <c r="G1405" t="inlineStr">
        <is>
          <t>C1</t>
        </is>
      </c>
      <c r="H1405" s="2" t="n">
        <v>46317.58541666667</v>
      </c>
      <c r="I1405" s="2" t="n">
        <v>46318.46111111111</v>
      </c>
      <c r="J1405" t="inlineStr">
        <is>
          <t>Completed</t>
        </is>
      </c>
      <c r="K1405" t="n">
        <v>6.46</v>
      </c>
      <c r="L1405" t="n">
        <v>8</v>
      </c>
      <c r="M1405" t="b">
        <v>0</v>
      </c>
      <c r="N1405" t="n">
        <v>0</v>
      </c>
      <c r="O1405" t="b">
        <v>1</v>
      </c>
      <c r="P1405" t="b">
        <v>0</v>
      </c>
      <c r="Q1405" t="b">
        <v>1</v>
      </c>
    </row>
    <row r="1406">
      <c r="A1406" t="inlineStr">
        <is>
          <t>REQ01405</t>
        </is>
      </c>
      <c r="B1406" t="inlineStr">
        <is>
          <t>724500A1L66CGIZI2G84</t>
        </is>
      </c>
      <c r="C1406" t="inlineStr">
        <is>
          <t>data_amendment</t>
        </is>
      </c>
      <c r="D1406" s="2" t="n">
        <v>46317.58125</v>
      </c>
      <c r="E1406" s="2" t="n">
        <v>46318.53958333333</v>
      </c>
      <c r="F1406" t="inlineStr">
        <is>
          <t>M2</t>
        </is>
      </c>
      <c r="G1406" t="inlineStr">
        <is>
          <t>C3</t>
        </is>
      </c>
      <c r="H1406" s="2" t="n">
        <v>46317.59375</v>
      </c>
      <c r="I1406" s="2" t="n">
        <v>46317.59791666667</v>
      </c>
      <c r="J1406" t="inlineStr">
        <is>
          <t>Completed</t>
        </is>
      </c>
      <c r="K1406" t="n">
        <v>0.4</v>
      </c>
      <c r="L1406" t="n">
        <v>8</v>
      </c>
      <c r="M1406" t="b">
        <v>0</v>
      </c>
      <c r="N1406" t="n">
        <v>0</v>
      </c>
      <c r="O1406" t="b">
        <v>1</v>
      </c>
      <c r="P1406" t="b">
        <v>0</v>
      </c>
      <c r="Q1406" t="b">
        <v>0</v>
      </c>
    </row>
    <row r="1407">
      <c r="A1407" t="inlineStr">
        <is>
          <t>REQ01406</t>
        </is>
      </c>
      <c r="B1407" t="inlineStr">
        <is>
          <t>335800QKEFV7ARZPYB70</t>
        </is>
      </c>
      <c r="C1407" t="inlineStr">
        <is>
          <t>document_refresh</t>
        </is>
      </c>
      <c r="D1407" s="2" t="n">
        <v>46317.58263888889</v>
      </c>
      <c r="E1407" s="2" t="n">
        <v>46318.70763888889</v>
      </c>
      <c r="F1407" t="inlineStr">
        <is>
          <t>M1</t>
        </is>
      </c>
      <c r="G1407" t="inlineStr">
        <is>
          <t>C1</t>
        </is>
      </c>
      <c r="H1407" s="2" t="n">
        <v>46317.59722222222</v>
      </c>
      <c r="I1407" s="2" t="n">
        <v>46317.71666666667</v>
      </c>
      <c r="J1407" t="inlineStr">
        <is>
          <t>Completed</t>
        </is>
      </c>
      <c r="K1407" t="n">
        <v>3.22</v>
      </c>
      <c r="L1407" t="n">
        <v>12</v>
      </c>
      <c r="M1407" t="b">
        <v>0</v>
      </c>
      <c r="N1407" t="n">
        <v>0</v>
      </c>
      <c r="O1407" t="b">
        <v>1</v>
      </c>
      <c r="P1407" t="b">
        <v>0</v>
      </c>
      <c r="Q1407" t="b">
        <v>1</v>
      </c>
    </row>
    <row r="1408">
      <c r="A1408" t="inlineStr">
        <is>
          <t>REQ01407</t>
        </is>
      </c>
      <c r="B1408" t="inlineStr">
        <is>
          <t>984500005SD6D1CB6646</t>
        </is>
      </c>
      <c r="C1408" t="inlineStr">
        <is>
          <t>signatory_change</t>
        </is>
      </c>
      <c r="D1408" s="2" t="n">
        <v>46317.58472222222</v>
      </c>
      <c r="E1408" s="2" t="n">
        <v>46318.54305555556</v>
      </c>
      <c r="F1408" t="inlineStr">
        <is>
          <t>M4</t>
        </is>
      </c>
      <c r="G1408" t="inlineStr">
        <is>
          <t>C1</t>
        </is>
      </c>
      <c r="H1408" s="2" t="n">
        <v>46317.60694444444</v>
      </c>
      <c r="I1408" s="2" t="n">
        <v>46317.61666666667</v>
      </c>
      <c r="J1408" t="inlineStr">
        <is>
          <t>Completed</t>
        </is>
      </c>
      <c r="K1408" t="n">
        <v>0.76</v>
      </c>
      <c r="L1408" t="n">
        <v>8</v>
      </c>
      <c r="M1408" t="b">
        <v>0</v>
      </c>
      <c r="N1408" t="n">
        <v>0</v>
      </c>
      <c r="O1408" t="b">
        <v>1</v>
      </c>
      <c r="P1408" t="b">
        <v>0</v>
      </c>
      <c r="Q1408" t="b">
        <v>0</v>
      </c>
    </row>
    <row r="1409">
      <c r="A1409" t="inlineStr">
        <is>
          <t>REQ01408</t>
        </is>
      </c>
      <c r="B1409" t="inlineStr">
        <is>
          <t>894500D70CN8CBGI3256</t>
        </is>
      </c>
      <c r="C1409" t="inlineStr">
        <is>
          <t>signatory_change</t>
        </is>
      </c>
      <c r="D1409" s="2" t="n">
        <v>46317.58680555555</v>
      </c>
      <c r="E1409" s="2" t="n">
        <v>46318.54513888889</v>
      </c>
      <c r="F1409" t="inlineStr">
        <is>
          <t>M5</t>
        </is>
      </c>
      <c r="G1409" t="inlineStr">
        <is>
          <t>C3</t>
        </is>
      </c>
      <c r="H1409" s="2" t="n">
        <v>46317.61041666667</v>
      </c>
      <c r="I1409" s="2" t="n">
        <v>46317.61666666667</v>
      </c>
      <c r="J1409" t="inlineStr">
        <is>
          <t>Completed</t>
        </is>
      </c>
      <c r="K1409" t="n">
        <v>0.71</v>
      </c>
      <c r="L1409" t="n">
        <v>8</v>
      </c>
      <c r="M1409" t="b">
        <v>0</v>
      </c>
      <c r="N1409" t="n">
        <v>0</v>
      </c>
      <c r="O1409" t="b">
        <v>1</v>
      </c>
      <c r="P1409" t="b">
        <v>0</v>
      </c>
      <c r="Q1409" t="b">
        <v>0</v>
      </c>
    </row>
    <row r="1410">
      <c r="A1410" t="inlineStr">
        <is>
          <t>REQ01409</t>
        </is>
      </c>
      <c r="B1410" t="inlineStr">
        <is>
          <t>967600IFHX8KWX8UN184</t>
        </is>
      </c>
      <c r="C1410" t="inlineStr">
        <is>
          <t>signatory_change</t>
        </is>
      </c>
      <c r="D1410" s="2" t="n">
        <v>46317.58958333333</v>
      </c>
      <c r="E1410" s="2" t="n">
        <v>46318.54791666667</v>
      </c>
      <c r="F1410" t="inlineStr">
        <is>
          <t>M3</t>
        </is>
      </c>
      <c r="G1410" t="inlineStr">
        <is>
          <t>C2</t>
        </is>
      </c>
      <c r="H1410" s="2" t="n">
        <v>46317.60555555556</v>
      </c>
      <c r="I1410" s="2" t="n">
        <v>46317.61736111111</v>
      </c>
      <c r="J1410" t="inlineStr">
        <is>
          <t>Completed</t>
        </is>
      </c>
      <c r="K1410" t="n">
        <v>0.66</v>
      </c>
      <c r="L1410" t="n">
        <v>8</v>
      </c>
      <c r="M1410" t="b">
        <v>0</v>
      </c>
      <c r="N1410" t="n">
        <v>0</v>
      </c>
      <c r="O1410" t="b">
        <v>1</v>
      </c>
      <c r="P1410" t="b">
        <v>0</v>
      </c>
      <c r="Q1410" t="b">
        <v>0</v>
      </c>
    </row>
    <row r="1411">
      <c r="A1411" t="inlineStr">
        <is>
          <t>REQ01410</t>
        </is>
      </c>
      <c r="B1411" t="inlineStr">
        <is>
          <t>894500DJH4SV4C8X2V81</t>
        </is>
      </c>
      <c r="C1411" t="inlineStr">
        <is>
          <t>signatory_change</t>
        </is>
      </c>
      <c r="D1411" s="2" t="n">
        <v>46317.60694444444</v>
      </c>
      <c r="E1411" s="2" t="n">
        <v>46318.56527777778</v>
      </c>
      <c r="F1411" t="inlineStr">
        <is>
          <t>M6</t>
        </is>
      </c>
      <c r="G1411" t="inlineStr">
        <is>
          <t>C1</t>
        </is>
      </c>
      <c r="H1411" s="2" t="n">
        <v>46317.625</v>
      </c>
      <c r="I1411" s="2" t="n">
        <v>46317.63194444445</v>
      </c>
      <c r="J1411" t="inlineStr">
        <is>
          <t>Completed</t>
        </is>
      </c>
      <c r="K1411" t="n">
        <v>0.6</v>
      </c>
      <c r="L1411" t="n">
        <v>8</v>
      </c>
      <c r="M1411" t="b">
        <v>0</v>
      </c>
      <c r="N1411" t="n">
        <v>0</v>
      </c>
      <c r="O1411" t="b">
        <v>1</v>
      </c>
      <c r="P1411" t="b">
        <v>0</v>
      </c>
      <c r="Q1411" t="b">
        <v>0</v>
      </c>
    </row>
    <row r="1412">
      <c r="A1412" t="inlineStr">
        <is>
          <t>REQ01411</t>
        </is>
      </c>
      <c r="B1412" t="inlineStr">
        <is>
          <t>969500SSUB4Z9H2YMJ75</t>
        </is>
      </c>
      <c r="C1412" t="inlineStr">
        <is>
          <t>document_refresh</t>
        </is>
      </c>
      <c r="D1412" s="2" t="n">
        <v>46317.60763888889</v>
      </c>
      <c r="E1412" s="2" t="n">
        <v>46318.73263888889</v>
      </c>
      <c r="F1412" t="inlineStr">
        <is>
          <t>M2</t>
        </is>
      </c>
      <c r="G1412" t="inlineStr">
        <is>
          <t>C3</t>
        </is>
      </c>
      <c r="H1412" s="2" t="n">
        <v>46317.625</v>
      </c>
      <c r="I1412" s="2" t="n">
        <v>46318.47777777778</v>
      </c>
      <c r="J1412" t="inlineStr">
        <is>
          <t>Completed</t>
        </is>
      </c>
      <c r="K1412" t="n">
        <v>5.89</v>
      </c>
      <c r="L1412" t="n">
        <v>12</v>
      </c>
      <c r="M1412" t="b">
        <v>0</v>
      </c>
      <c r="N1412" t="n">
        <v>0</v>
      </c>
      <c r="O1412" t="b">
        <v>1</v>
      </c>
      <c r="P1412" t="b">
        <v>0</v>
      </c>
      <c r="Q1412" t="b">
        <v>1</v>
      </c>
    </row>
    <row r="1413">
      <c r="A1413" t="inlineStr">
        <is>
          <t>REQ01412</t>
        </is>
      </c>
      <c r="B1413" t="inlineStr">
        <is>
          <t>335800C4E5MG5P73RM19</t>
        </is>
      </c>
      <c r="C1413" t="inlineStr">
        <is>
          <t>new_account</t>
        </is>
      </c>
      <c r="D1413" s="2" t="n">
        <v>46317.61736111111</v>
      </c>
      <c r="E1413" s="2" t="n">
        <v>46321.53402777778</v>
      </c>
      <c r="F1413" t="inlineStr">
        <is>
          <t>M1</t>
        </is>
      </c>
      <c r="G1413" t="inlineStr">
        <is>
          <t>C3</t>
        </is>
      </c>
      <c r="H1413" s="2" t="n">
        <v>46317.65625</v>
      </c>
      <c r="I1413" s="2" t="n">
        <v>46317.66527777778</v>
      </c>
      <c r="J1413" t="inlineStr">
        <is>
          <t>Completed</t>
        </is>
      </c>
      <c r="K1413" t="n">
        <v>1.15</v>
      </c>
      <c r="L1413" t="n">
        <v>16</v>
      </c>
      <c r="M1413" t="b">
        <v>0</v>
      </c>
      <c r="N1413" t="n">
        <v>0</v>
      </c>
      <c r="O1413" t="b">
        <v>1</v>
      </c>
      <c r="P1413" t="b">
        <v>0</v>
      </c>
      <c r="Q1413" t="b">
        <v>0</v>
      </c>
    </row>
    <row r="1414">
      <c r="A1414" t="inlineStr">
        <is>
          <t>REQ01413</t>
        </is>
      </c>
      <c r="B1414" t="inlineStr">
        <is>
          <t>213800TYP5PTN4ILVX69</t>
        </is>
      </c>
      <c r="C1414" t="inlineStr">
        <is>
          <t>new_account</t>
        </is>
      </c>
      <c r="D1414" s="2" t="n">
        <v>46317.61875</v>
      </c>
      <c r="E1414" s="2" t="n">
        <v>46321.53541666667</v>
      </c>
      <c r="F1414" t="inlineStr">
        <is>
          <t>M3</t>
        </is>
      </c>
      <c r="G1414" t="inlineStr">
        <is>
          <t>C1</t>
        </is>
      </c>
      <c r="H1414" s="2" t="n">
        <v>46317.64305555556</v>
      </c>
      <c r="I1414" s="2" t="n">
        <v>46318.37777777778</v>
      </c>
      <c r="J1414" t="inlineStr">
        <is>
          <t>Completed</t>
        </is>
      </c>
      <c r="K1414" t="n">
        <v>3.22</v>
      </c>
      <c r="L1414" t="n">
        <v>16</v>
      </c>
      <c r="M1414" t="b">
        <v>0</v>
      </c>
      <c r="N1414" t="n">
        <v>0</v>
      </c>
      <c r="O1414" t="b">
        <v>1</v>
      </c>
      <c r="P1414" t="b">
        <v>0</v>
      </c>
      <c r="Q1414" t="b">
        <v>1</v>
      </c>
    </row>
    <row r="1415">
      <c r="A1415" t="inlineStr">
        <is>
          <t>REQ01414</t>
        </is>
      </c>
      <c r="B1415" t="inlineStr">
        <is>
          <t>549300I99140FY0RDO67</t>
        </is>
      </c>
      <c r="C1415" t="inlineStr">
        <is>
          <t>signatory_change</t>
        </is>
      </c>
      <c r="D1415" s="2" t="n">
        <v>46317.62152777778</v>
      </c>
      <c r="E1415" s="2" t="n">
        <v>46318.57986111111</v>
      </c>
      <c r="F1415" t="inlineStr">
        <is>
          <t>M4</t>
        </is>
      </c>
      <c r="G1415" t="inlineStr">
        <is>
          <t>C2</t>
        </is>
      </c>
      <c r="H1415" s="2" t="n">
        <v>46317.64027777778</v>
      </c>
      <c r="I1415" s="2" t="n">
        <v>46318.40138888889</v>
      </c>
      <c r="J1415" t="inlineStr">
        <is>
          <t>Completed</t>
        </is>
      </c>
      <c r="K1415" t="n">
        <v>3.72</v>
      </c>
      <c r="L1415" t="n">
        <v>8</v>
      </c>
      <c r="M1415" t="b">
        <v>0</v>
      </c>
      <c r="N1415" t="n">
        <v>0</v>
      </c>
      <c r="O1415" t="b">
        <v>1</v>
      </c>
      <c r="P1415" t="b">
        <v>0</v>
      </c>
      <c r="Q1415" t="b">
        <v>1</v>
      </c>
    </row>
    <row r="1416">
      <c r="A1416" t="inlineStr">
        <is>
          <t>REQ01415</t>
        </is>
      </c>
      <c r="B1416" t="inlineStr">
        <is>
          <t>894500895Y3Y3CE4C316</t>
        </is>
      </c>
      <c r="C1416" t="inlineStr">
        <is>
          <t>new_account</t>
        </is>
      </c>
      <c r="D1416" s="2" t="n">
        <v>46317.625</v>
      </c>
      <c r="E1416" s="2" t="n">
        <v>46321.54166666666</v>
      </c>
      <c r="F1416" t="inlineStr">
        <is>
          <t>M5</t>
        </is>
      </c>
      <c r="G1416" t="inlineStr">
        <is>
          <t>C2</t>
        </is>
      </c>
      <c r="H1416" s="2" t="n">
        <v>46317.65972222222</v>
      </c>
      <c r="I1416" s="2" t="n">
        <v>46318.38055555556</v>
      </c>
      <c r="J1416" t="inlineStr">
        <is>
          <t>Completed</t>
        </is>
      </c>
      <c r="K1416" t="n">
        <v>3.14</v>
      </c>
      <c r="L1416" t="n">
        <v>16</v>
      </c>
      <c r="M1416" t="b">
        <v>0</v>
      </c>
      <c r="N1416" t="n">
        <v>0</v>
      </c>
      <c r="O1416" t="b">
        <v>1</v>
      </c>
      <c r="P1416" t="b">
        <v>0</v>
      </c>
      <c r="Q1416" t="b">
        <v>1</v>
      </c>
    </row>
    <row r="1417">
      <c r="A1417" t="inlineStr">
        <is>
          <t>REQ01416</t>
        </is>
      </c>
      <c r="B1417" t="inlineStr">
        <is>
          <t>724500AFF8IFEA2C7Z65</t>
        </is>
      </c>
      <c r="C1417" t="inlineStr">
        <is>
          <t>data_amendment</t>
        </is>
      </c>
      <c r="D1417" s="2" t="n">
        <v>46317.62986111111</v>
      </c>
      <c r="E1417" s="2" t="n">
        <v>46318.58819444444</v>
      </c>
      <c r="F1417" t="inlineStr">
        <is>
          <t>M6</t>
        </is>
      </c>
      <c r="G1417" t="inlineStr">
        <is>
          <t>C3</t>
        </is>
      </c>
      <c r="H1417" s="2" t="n">
        <v>46317.63819444444</v>
      </c>
      <c r="I1417" s="2" t="n">
        <v>46317.64305555556</v>
      </c>
      <c r="J1417" t="inlineStr">
        <is>
          <t>Completed</t>
        </is>
      </c>
      <c r="K1417" t="n">
        <v>0.31</v>
      </c>
      <c r="L1417" t="n">
        <v>8</v>
      </c>
      <c r="M1417" t="b">
        <v>0</v>
      </c>
      <c r="N1417" t="n">
        <v>0</v>
      </c>
      <c r="O1417" t="b">
        <v>1</v>
      </c>
      <c r="P1417" t="b">
        <v>0</v>
      </c>
      <c r="Q1417" t="b">
        <v>0</v>
      </c>
    </row>
    <row r="1418">
      <c r="A1418" t="inlineStr">
        <is>
          <t>REQ01417</t>
        </is>
      </c>
      <c r="B1418" t="inlineStr">
        <is>
          <t>213800Z8DN9GWK2VW209</t>
        </is>
      </c>
      <c r="C1418" t="inlineStr">
        <is>
          <t>document_refresh</t>
        </is>
      </c>
      <c r="D1418" s="2" t="n">
        <v>46317.63194444445</v>
      </c>
      <c r="E1418" s="2" t="n">
        <v>46321.38194444445</v>
      </c>
      <c r="F1418" t="inlineStr">
        <is>
          <t>M2</t>
        </is>
      </c>
      <c r="G1418" t="inlineStr">
        <is>
          <t>C2</t>
        </is>
      </c>
      <c r="H1418" s="2" t="n">
        <v>46317.64513888889</v>
      </c>
      <c r="I1418" s="2" t="n">
        <v>46317.65</v>
      </c>
      <c r="J1418" t="inlineStr">
        <is>
          <t>Completed</t>
        </is>
      </c>
      <c r="K1418" t="n">
        <v>0.44</v>
      </c>
      <c r="L1418" t="n">
        <v>12</v>
      </c>
      <c r="M1418" t="b">
        <v>0</v>
      </c>
      <c r="N1418" t="n">
        <v>0</v>
      </c>
      <c r="O1418" t="b">
        <v>1</v>
      </c>
      <c r="P1418" t="b">
        <v>0</v>
      </c>
      <c r="Q1418" t="b">
        <v>0</v>
      </c>
    </row>
    <row r="1419">
      <c r="A1419" t="inlineStr">
        <is>
          <t>REQ01418</t>
        </is>
      </c>
      <c r="B1419" t="inlineStr">
        <is>
          <t>9695001O1WWNPXHTB073</t>
        </is>
      </c>
      <c r="C1419" t="inlineStr">
        <is>
          <t>signatory_change</t>
        </is>
      </c>
      <c r="D1419" s="2" t="n">
        <v>46317.63472222222</v>
      </c>
      <c r="E1419" s="2" t="n">
        <v>46318.59305555555</v>
      </c>
      <c r="F1419" t="inlineStr">
        <is>
          <t>M6</t>
        </is>
      </c>
      <c r="G1419" t="inlineStr">
        <is>
          <t>C3</t>
        </is>
      </c>
      <c r="H1419" s="2" t="n">
        <v>46317.66111111111</v>
      </c>
      <c r="I1419" s="2" t="n">
        <v>46318.49375</v>
      </c>
      <c r="J1419" t="inlineStr">
        <is>
          <t>Completed</t>
        </is>
      </c>
      <c r="K1419" t="n">
        <v>5.61</v>
      </c>
      <c r="L1419" t="n">
        <v>8</v>
      </c>
      <c r="M1419" t="b">
        <v>0</v>
      </c>
      <c r="N1419" t="n">
        <v>0</v>
      </c>
      <c r="O1419" t="b">
        <v>1</v>
      </c>
      <c r="P1419" t="b">
        <v>0</v>
      </c>
      <c r="Q1419" t="b">
        <v>1</v>
      </c>
    </row>
    <row r="1420">
      <c r="A1420" t="inlineStr">
        <is>
          <t>REQ01419</t>
        </is>
      </c>
      <c r="B1420" t="inlineStr">
        <is>
          <t>969500EHFSME64J4UO37</t>
        </is>
      </c>
      <c r="C1420" t="inlineStr">
        <is>
          <t>document_refresh</t>
        </is>
      </c>
      <c r="D1420" s="2" t="n">
        <v>46317.63958333333</v>
      </c>
      <c r="E1420" s="2" t="n">
        <v>46321.38958333333</v>
      </c>
      <c r="F1420" t="inlineStr">
        <is>
          <t>M4</t>
        </is>
      </c>
      <c r="G1420" t="inlineStr">
        <is>
          <t>C3</t>
        </is>
      </c>
      <c r="H1420" s="2" t="n">
        <v>46317.65277777778</v>
      </c>
      <c r="I1420" s="2" t="n">
        <v>46318.38194444445</v>
      </c>
      <c r="J1420" t="inlineStr">
        <is>
          <t>Completed</t>
        </is>
      </c>
      <c r="K1420" t="n">
        <v>2.82</v>
      </c>
      <c r="L1420" t="n">
        <v>12</v>
      </c>
      <c r="M1420" t="b">
        <v>0</v>
      </c>
      <c r="N1420" t="n">
        <v>0</v>
      </c>
      <c r="O1420" t="b">
        <v>1</v>
      </c>
      <c r="P1420" t="b">
        <v>0</v>
      </c>
      <c r="Q1420" t="b">
        <v>1</v>
      </c>
    </row>
    <row r="1421">
      <c r="A1421" t="inlineStr">
        <is>
          <t>REQ01420</t>
        </is>
      </c>
      <c r="B1421" t="inlineStr">
        <is>
          <t>54930060NBG36V27I942</t>
        </is>
      </c>
      <c r="C1421" t="inlineStr">
        <is>
          <t>new_account</t>
        </is>
      </c>
      <c r="D1421" s="2" t="n">
        <v>46317.64027777778</v>
      </c>
      <c r="E1421" s="2" t="n">
        <v>46321.55694444444</v>
      </c>
      <c r="F1421" t="inlineStr">
        <is>
          <t>M3</t>
        </is>
      </c>
      <c r="G1421" t="inlineStr">
        <is>
          <t>C3</t>
        </is>
      </c>
      <c r="H1421" s="2" t="n">
        <v>46317.68125</v>
      </c>
      <c r="I1421" s="2" t="n">
        <v>46318.41736111111</v>
      </c>
      <c r="J1421" t="inlineStr">
        <is>
          <t>Completed</t>
        </is>
      </c>
      <c r="K1421" t="n">
        <v>3.66</v>
      </c>
      <c r="L1421" t="n">
        <v>16</v>
      </c>
      <c r="M1421" t="b">
        <v>0</v>
      </c>
      <c r="N1421" t="n">
        <v>0</v>
      </c>
      <c r="O1421" t="b">
        <v>1</v>
      </c>
      <c r="P1421" t="b">
        <v>0</v>
      </c>
      <c r="Q1421" t="b">
        <v>1</v>
      </c>
    </row>
    <row r="1422">
      <c r="A1422" t="inlineStr">
        <is>
          <t>REQ01421</t>
        </is>
      </c>
      <c r="B1422" t="inlineStr">
        <is>
          <t>549300AEDIMD45UWTM18</t>
        </is>
      </c>
      <c r="C1422" t="inlineStr">
        <is>
          <t>document_refresh</t>
        </is>
      </c>
      <c r="D1422" s="2" t="n">
        <v>46317.64791666667</v>
      </c>
      <c r="E1422" s="2" t="n">
        <v>46321.39791666667</v>
      </c>
      <c r="F1422" t="inlineStr">
        <is>
          <t>M2</t>
        </is>
      </c>
      <c r="G1422" t="inlineStr">
        <is>
          <t>C1</t>
        </is>
      </c>
      <c r="H1422" s="2" t="n">
        <v>46317.65902777778</v>
      </c>
      <c r="I1422" s="2" t="n">
        <v>46318.43125</v>
      </c>
      <c r="J1422" t="inlineStr">
        <is>
          <t>Completed</t>
        </is>
      </c>
      <c r="K1422" t="n">
        <v>3.8</v>
      </c>
      <c r="L1422" t="n">
        <v>12</v>
      </c>
      <c r="M1422" t="b">
        <v>0</v>
      </c>
      <c r="N1422" t="n">
        <v>0</v>
      </c>
      <c r="O1422" t="b">
        <v>1</v>
      </c>
      <c r="P1422" t="b">
        <v>0</v>
      </c>
      <c r="Q1422" t="b">
        <v>1</v>
      </c>
    </row>
    <row r="1423">
      <c r="A1423" t="inlineStr">
        <is>
          <t>REQ01422</t>
        </is>
      </c>
      <c r="B1423" t="inlineStr">
        <is>
          <t>213800RYERXB6GDYSG13</t>
        </is>
      </c>
      <c r="C1423" t="inlineStr">
        <is>
          <t>signatory_change</t>
        </is>
      </c>
      <c r="D1423" s="2" t="n">
        <v>46317.64861111111</v>
      </c>
      <c r="E1423" s="2" t="n">
        <v>46318.60694444444</v>
      </c>
      <c r="F1423" t="inlineStr">
        <is>
          <t>M4</t>
        </is>
      </c>
      <c r="G1423" t="inlineStr">
        <is>
          <t>C3</t>
        </is>
      </c>
      <c r="H1423" s="2" t="n">
        <v>46317.67638888889</v>
      </c>
      <c r="I1423" s="2" t="n">
        <v>46318.55555555555</v>
      </c>
      <c r="J1423" t="inlineStr">
        <is>
          <t>Completed</t>
        </is>
      </c>
      <c r="K1423" t="n">
        <v>6.77</v>
      </c>
      <c r="L1423" t="n">
        <v>8</v>
      </c>
      <c r="M1423" t="b">
        <v>0</v>
      </c>
      <c r="N1423" t="n">
        <v>1</v>
      </c>
      <c r="O1423" t="b">
        <v>0</v>
      </c>
      <c r="P1423" t="b">
        <v>1</v>
      </c>
      <c r="Q1423" t="b">
        <v>1</v>
      </c>
    </row>
    <row r="1424">
      <c r="A1424" t="inlineStr">
        <is>
          <t>REQ01423</t>
        </is>
      </c>
      <c r="B1424" t="inlineStr">
        <is>
          <t>54930080JDSM83HBD213</t>
        </is>
      </c>
      <c r="C1424" t="inlineStr">
        <is>
          <t>data_amendment</t>
        </is>
      </c>
      <c r="D1424" s="2" t="n">
        <v>46317.64861111111</v>
      </c>
      <c r="E1424" s="2" t="n">
        <v>46318.60694444444</v>
      </c>
      <c r="F1424" t="inlineStr">
        <is>
          <t>M1</t>
        </is>
      </c>
      <c r="G1424" t="inlineStr">
        <is>
          <t>C1</t>
        </is>
      </c>
      <c r="H1424" s="2" t="n">
        <v>46317.66805555556</v>
      </c>
      <c r="I1424" s="2" t="n">
        <v>46318.42152777778</v>
      </c>
      <c r="J1424" t="inlineStr">
        <is>
          <t>Completed</t>
        </is>
      </c>
      <c r="K1424" t="n">
        <v>3.55</v>
      </c>
      <c r="L1424" t="n">
        <v>8</v>
      </c>
      <c r="M1424" t="b">
        <v>0</v>
      </c>
      <c r="N1424" t="n">
        <v>0</v>
      </c>
      <c r="O1424" t="b">
        <v>1</v>
      </c>
      <c r="P1424" t="b">
        <v>0</v>
      </c>
      <c r="Q1424" t="b">
        <v>1</v>
      </c>
    </row>
    <row r="1425">
      <c r="A1425" t="inlineStr">
        <is>
          <t>REQ01424</t>
        </is>
      </c>
      <c r="B1425" t="inlineStr">
        <is>
          <t>549300WXITVJ8BK6KP40</t>
        </is>
      </c>
      <c r="C1425" t="inlineStr">
        <is>
          <t>signatory_change</t>
        </is>
      </c>
      <c r="D1425" s="2" t="n">
        <v>46317.65138888889</v>
      </c>
      <c r="E1425" s="2" t="n">
        <v>46318.60972222222</v>
      </c>
      <c r="F1425" t="inlineStr">
        <is>
          <t>M2</t>
        </is>
      </c>
      <c r="G1425" t="inlineStr">
        <is>
          <t>C3</t>
        </is>
      </c>
      <c r="H1425" s="2" t="n">
        <v>46317.675</v>
      </c>
      <c r="I1425" s="2" t="n">
        <v>46317.69236111111</v>
      </c>
      <c r="J1425" t="inlineStr">
        <is>
          <t>Completed</t>
        </is>
      </c>
      <c r="K1425" t="n">
        <v>0.99</v>
      </c>
      <c r="L1425" t="n">
        <v>8</v>
      </c>
      <c r="M1425" t="b">
        <v>0</v>
      </c>
      <c r="N1425" t="n">
        <v>1</v>
      </c>
      <c r="O1425" t="b">
        <v>0</v>
      </c>
      <c r="P1425" t="b">
        <v>1</v>
      </c>
      <c r="Q1425" t="b">
        <v>0</v>
      </c>
    </row>
    <row r="1426">
      <c r="A1426" t="inlineStr">
        <is>
          <t>REQ01425</t>
        </is>
      </c>
      <c r="B1426" t="inlineStr">
        <is>
          <t>391200H6V7IAU1GI1H44</t>
        </is>
      </c>
      <c r="C1426" t="inlineStr">
        <is>
          <t>signatory_change</t>
        </is>
      </c>
      <c r="D1426" s="2" t="n">
        <v>46317.65277777778</v>
      </c>
      <c r="E1426" s="2" t="n">
        <v>46318.61111111111</v>
      </c>
      <c r="F1426" t="inlineStr">
        <is>
          <t>M5</t>
        </is>
      </c>
      <c r="G1426" t="inlineStr">
        <is>
          <t>C1</t>
        </is>
      </c>
      <c r="H1426" s="2" t="n">
        <v>46317.675</v>
      </c>
      <c r="I1426" s="2" t="n">
        <v>46317.68472222222</v>
      </c>
      <c r="J1426" t="inlineStr">
        <is>
          <t>Completed</t>
        </is>
      </c>
      <c r="K1426" t="n">
        <v>0.77</v>
      </c>
      <c r="L1426" t="n">
        <v>8</v>
      </c>
      <c r="M1426" t="b">
        <v>0</v>
      </c>
      <c r="N1426" t="n">
        <v>0</v>
      </c>
      <c r="O1426" t="b">
        <v>1</v>
      </c>
      <c r="P1426" t="b">
        <v>0</v>
      </c>
      <c r="Q1426" t="b">
        <v>0</v>
      </c>
    </row>
    <row r="1427">
      <c r="A1427" t="inlineStr">
        <is>
          <t>REQ01426</t>
        </is>
      </c>
      <c r="B1427" t="inlineStr">
        <is>
          <t>549300KY094DGNJWL972</t>
        </is>
      </c>
      <c r="C1427" t="inlineStr">
        <is>
          <t>signatory_change</t>
        </is>
      </c>
      <c r="D1427" s="2" t="n">
        <v>46317.65347222222</v>
      </c>
      <c r="E1427" s="2" t="n">
        <v>46318.61180555556</v>
      </c>
      <c r="F1427" t="inlineStr">
        <is>
          <t>M6</t>
        </is>
      </c>
      <c r="G1427" t="inlineStr">
        <is>
          <t>C2</t>
        </is>
      </c>
      <c r="H1427" s="2" t="n">
        <v>46317.68680555555</v>
      </c>
      <c r="I1427" s="2" t="n">
        <v>46318.42777777778</v>
      </c>
      <c r="J1427" t="inlineStr">
        <is>
          <t>Completed</t>
        </is>
      </c>
      <c r="K1427" t="n">
        <v>3.58</v>
      </c>
      <c r="L1427" t="n">
        <v>8</v>
      </c>
      <c r="M1427" t="b">
        <v>0</v>
      </c>
      <c r="N1427" t="n">
        <v>1</v>
      </c>
      <c r="O1427" t="b">
        <v>0</v>
      </c>
      <c r="P1427" t="b">
        <v>1</v>
      </c>
      <c r="Q1427" t="b">
        <v>1</v>
      </c>
    </row>
    <row r="1428">
      <c r="A1428" t="inlineStr">
        <is>
          <t>REQ01427</t>
        </is>
      </c>
      <c r="B1428" t="inlineStr">
        <is>
          <t>724500QN0L5WWI1U9S05</t>
        </is>
      </c>
      <c r="C1428" t="inlineStr">
        <is>
          <t>new_account</t>
        </is>
      </c>
      <c r="D1428" s="2" t="n">
        <v>46317.65416666667</v>
      </c>
      <c r="E1428" s="2" t="n">
        <v>46321.57083333333</v>
      </c>
      <c r="F1428" t="inlineStr">
        <is>
          <t>M1</t>
        </is>
      </c>
      <c r="G1428" t="inlineStr">
        <is>
          <t>C3</t>
        </is>
      </c>
      <c r="H1428" s="2" t="n">
        <v>46317.70555555556</v>
      </c>
      <c r="I1428" s="2" t="n">
        <v>46317.71527777778</v>
      </c>
      <c r="J1428" t="inlineStr">
        <is>
          <t>Completed</t>
        </is>
      </c>
      <c r="K1428" t="n">
        <v>1.47</v>
      </c>
      <c r="L1428" t="n">
        <v>16</v>
      </c>
      <c r="M1428" t="b">
        <v>0</v>
      </c>
      <c r="N1428" t="n">
        <v>0</v>
      </c>
      <c r="O1428" t="b">
        <v>1</v>
      </c>
      <c r="P1428" t="b">
        <v>0</v>
      </c>
      <c r="Q1428" t="b">
        <v>0</v>
      </c>
    </row>
    <row r="1429">
      <c r="A1429" t="inlineStr">
        <is>
          <t>REQ01428</t>
        </is>
      </c>
      <c r="B1429" t="inlineStr">
        <is>
          <t>969500HZO7N2WR14KC93</t>
        </is>
      </c>
      <c r="C1429" t="inlineStr">
        <is>
          <t>data_amendment</t>
        </is>
      </c>
      <c r="D1429" s="2" t="n">
        <v>46317.65902777778</v>
      </c>
      <c r="E1429" s="2" t="n">
        <v>46318.61736111111</v>
      </c>
      <c r="F1429" t="inlineStr">
        <is>
          <t>M2</t>
        </is>
      </c>
      <c r="G1429" t="inlineStr">
        <is>
          <t>C1</t>
        </is>
      </c>
      <c r="H1429" s="2" t="n">
        <v>46317.68472222222</v>
      </c>
      <c r="I1429" s="2" t="n">
        <v>46318.51180555556</v>
      </c>
      <c r="J1429" t="inlineStr">
        <is>
          <t>Completed</t>
        </is>
      </c>
      <c r="K1429" t="n">
        <v>5.46</v>
      </c>
      <c r="L1429" t="n">
        <v>8</v>
      </c>
      <c r="M1429" t="b">
        <v>0</v>
      </c>
      <c r="N1429" t="n">
        <v>0</v>
      </c>
      <c r="O1429" t="b">
        <v>1</v>
      </c>
      <c r="P1429" t="b">
        <v>0</v>
      </c>
      <c r="Q1429" t="b">
        <v>1</v>
      </c>
    </row>
    <row r="1430">
      <c r="A1430" t="inlineStr">
        <is>
          <t>REQ01429</t>
        </is>
      </c>
      <c r="B1430" t="inlineStr">
        <is>
          <t>549300S4TXHLSEM7JZ65</t>
        </is>
      </c>
      <c r="C1430" t="inlineStr">
        <is>
          <t>document_refresh</t>
        </is>
      </c>
      <c r="D1430" s="2" t="n">
        <v>46317.65902777778</v>
      </c>
      <c r="E1430" s="2" t="n">
        <v>46321.40902777778</v>
      </c>
      <c r="F1430" t="inlineStr">
        <is>
          <t>M5</t>
        </is>
      </c>
      <c r="G1430" t="inlineStr">
        <is>
          <t>C3</t>
        </is>
      </c>
      <c r="H1430" s="2" t="n">
        <v>46317.69097222222</v>
      </c>
      <c r="I1430" s="2" t="n">
        <v>46318.40416666667</v>
      </c>
      <c r="J1430" t="inlineStr">
        <is>
          <t>Completed</t>
        </is>
      </c>
      <c r="K1430" t="n">
        <v>2.88</v>
      </c>
      <c r="L1430" t="n">
        <v>12</v>
      </c>
      <c r="M1430" t="b">
        <v>0</v>
      </c>
      <c r="N1430" t="n">
        <v>0</v>
      </c>
      <c r="O1430" t="b">
        <v>1</v>
      </c>
      <c r="P1430" t="b">
        <v>0</v>
      </c>
      <c r="Q1430" t="b">
        <v>1</v>
      </c>
    </row>
    <row r="1431">
      <c r="A1431" t="inlineStr">
        <is>
          <t>REQ01430</t>
        </is>
      </c>
      <c r="B1431" t="inlineStr">
        <is>
          <t>5299000Z8I499RSMID74</t>
        </is>
      </c>
      <c r="C1431" t="inlineStr">
        <is>
          <t>data_amendment</t>
        </is>
      </c>
      <c r="D1431" s="2" t="n">
        <v>46317.65972222222</v>
      </c>
      <c r="E1431" s="2" t="n">
        <v>46318.61805555555</v>
      </c>
      <c r="F1431" t="inlineStr">
        <is>
          <t>M4</t>
        </is>
      </c>
      <c r="G1431" t="inlineStr">
        <is>
          <t>C2</t>
        </is>
      </c>
      <c r="H1431" s="2" t="n">
        <v>46317.68402777778</v>
      </c>
      <c r="I1431" s="2" t="n">
        <v>46318.50138888889</v>
      </c>
      <c r="J1431" t="inlineStr">
        <is>
          <t>Completed</t>
        </is>
      </c>
      <c r="K1431" t="n">
        <v>5.19</v>
      </c>
      <c r="L1431" t="n">
        <v>8</v>
      </c>
      <c r="M1431" t="b">
        <v>0</v>
      </c>
      <c r="N1431" t="n">
        <v>1</v>
      </c>
      <c r="O1431" t="b">
        <v>0</v>
      </c>
      <c r="P1431" t="b">
        <v>1</v>
      </c>
      <c r="Q1431" t="b">
        <v>1</v>
      </c>
    </row>
    <row r="1432">
      <c r="A1432" t="inlineStr">
        <is>
          <t>REQ01431</t>
        </is>
      </c>
      <c r="B1432" t="inlineStr">
        <is>
          <t>254900CBKJF2TFWOZC45</t>
        </is>
      </c>
      <c r="C1432" t="inlineStr">
        <is>
          <t>data_amendment</t>
        </is>
      </c>
      <c r="D1432" s="2" t="n">
        <v>46317.66111111111</v>
      </c>
      <c r="E1432" s="2" t="n">
        <v>46318.61944444444</v>
      </c>
      <c r="F1432" t="inlineStr">
        <is>
          <t>M3</t>
        </is>
      </c>
      <c r="G1432" t="inlineStr">
        <is>
          <t>C3</t>
        </is>
      </c>
      <c r="H1432" s="2" t="n">
        <v>46317.69027777778</v>
      </c>
      <c r="I1432" s="2" t="n">
        <v>46317.69583333333</v>
      </c>
      <c r="J1432" t="inlineStr">
        <is>
          <t>Completed</t>
        </is>
      </c>
      <c r="K1432" t="n">
        <v>0.83</v>
      </c>
      <c r="L1432" t="n">
        <v>8</v>
      </c>
      <c r="M1432" t="b">
        <v>0</v>
      </c>
      <c r="N1432" t="n">
        <v>0</v>
      </c>
      <c r="O1432" t="b">
        <v>1</v>
      </c>
      <c r="P1432" t="b">
        <v>0</v>
      </c>
      <c r="Q1432" t="b">
        <v>0</v>
      </c>
    </row>
    <row r="1433">
      <c r="A1433" t="inlineStr">
        <is>
          <t>REQ01432</t>
        </is>
      </c>
      <c r="B1433" t="inlineStr">
        <is>
          <t>21380081DQ2KMJ2GXD98</t>
        </is>
      </c>
      <c r="C1433" t="inlineStr">
        <is>
          <t>data_amendment</t>
        </is>
      </c>
      <c r="D1433" s="2" t="n">
        <v>46317.66180555556</v>
      </c>
      <c r="E1433" s="2" t="n">
        <v>46318.62013888889</v>
      </c>
      <c r="F1433" t="inlineStr">
        <is>
          <t>M4</t>
        </is>
      </c>
      <c r="G1433" t="inlineStr">
        <is>
          <t>C2</t>
        </is>
      </c>
      <c r="H1433" s="2" t="n">
        <v>46317.69305555556</v>
      </c>
      <c r="I1433" s="2" t="n">
        <v>46318.48055555556</v>
      </c>
      <c r="J1433" t="inlineStr">
        <is>
          <t>Completed</t>
        </is>
      </c>
      <c r="K1433" t="n">
        <v>4.65</v>
      </c>
      <c r="L1433" t="n">
        <v>8</v>
      </c>
      <c r="M1433" t="b">
        <v>0</v>
      </c>
      <c r="N1433" t="n">
        <v>0</v>
      </c>
      <c r="O1433" t="b">
        <v>1</v>
      </c>
      <c r="P1433" t="b">
        <v>0</v>
      </c>
      <c r="Q1433" t="b">
        <v>1</v>
      </c>
    </row>
    <row r="1434">
      <c r="A1434" t="inlineStr">
        <is>
          <t>REQ01433</t>
        </is>
      </c>
      <c r="B1434" t="inlineStr">
        <is>
          <t>254900KPARW4DBGA4C77</t>
        </is>
      </c>
      <c r="C1434" t="inlineStr">
        <is>
          <t>document_refresh</t>
        </is>
      </c>
      <c r="D1434" s="2" t="n">
        <v>46317.66180555556</v>
      </c>
      <c r="E1434" s="2" t="n">
        <v>46321.41180555556</v>
      </c>
      <c r="F1434" t="inlineStr">
        <is>
          <t>M2</t>
        </is>
      </c>
      <c r="G1434" t="inlineStr">
        <is>
          <t>C3</t>
        </is>
      </c>
      <c r="H1434" s="2" t="n">
        <v>46317.7</v>
      </c>
      <c r="I1434" s="2" t="n">
        <v>46317.70486111111</v>
      </c>
      <c r="J1434" t="inlineStr">
        <is>
          <t>Completed</t>
        </is>
      </c>
      <c r="K1434" t="n">
        <v>1.04</v>
      </c>
      <c r="L1434" t="n">
        <v>12</v>
      </c>
      <c r="M1434" t="b">
        <v>0</v>
      </c>
      <c r="N1434" t="n">
        <v>0</v>
      </c>
      <c r="O1434" t="b">
        <v>1</v>
      </c>
      <c r="P1434" t="b">
        <v>0</v>
      </c>
      <c r="Q1434" t="b">
        <v>0</v>
      </c>
    </row>
    <row r="1435">
      <c r="A1435" t="inlineStr">
        <is>
          <t>REQ01434</t>
        </is>
      </c>
      <c r="B1435" t="inlineStr">
        <is>
          <t>391200GYE58B0QO6YO23</t>
        </is>
      </c>
      <c r="C1435" t="inlineStr">
        <is>
          <t>signatory_change</t>
        </is>
      </c>
      <c r="D1435" s="2" t="n">
        <v>46317.66527777778</v>
      </c>
      <c r="E1435" s="2" t="n">
        <v>46318.62361111111</v>
      </c>
      <c r="F1435" t="inlineStr">
        <is>
          <t>M6</t>
        </is>
      </c>
      <c r="G1435" t="inlineStr">
        <is>
          <t>C2</t>
        </is>
      </c>
      <c r="H1435" s="2" t="n">
        <v>46317.70208333333</v>
      </c>
      <c r="I1435" s="2" t="n">
        <v>46318.44375</v>
      </c>
      <c r="J1435" t="inlineStr">
        <is>
          <t>Completed</t>
        </is>
      </c>
      <c r="K1435" t="n">
        <v>3.69</v>
      </c>
      <c r="L1435" t="n">
        <v>8</v>
      </c>
      <c r="M1435" t="b">
        <v>0</v>
      </c>
      <c r="N1435" t="n">
        <v>0</v>
      </c>
      <c r="O1435" t="b">
        <v>1</v>
      </c>
      <c r="P1435" t="b">
        <v>0</v>
      </c>
      <c r="Q1435" t="b">
        <v>1</v>
      </c>
    </row>
    <row r="1436">
      <c r="A1436" t="inlineStr">
        <is>
          <t>REQ01435</t>
        </is>
      </c>
      <c r="B1436" t="inlineStr">
        <is>
          <t>6488006M7X0EK9C80B31</t>
        </is>
      </c>
      <c r="C1436" t="inlineStr">
        <is>
          <t>new_account</t>
        </is>
      </c>
      <c r="D1436" s="2" t="n">
        <v>46317.66875</v>
      </c>
      <c r="E1436" s="2" t="n">
        <v>46321.58541666667</v>
      </c>
      <c r="F1436" t="inlineStr">
        <is>
          <t>M3</t>
        </is>
      </c>
      <c r="G1436" t="inlineStr">
        <is>
          <t>C2</t>
        </is>
      </c>
      <c r="H1436" s="2" t="n">
        <v>46317.72569444445</v>
      </c>
      <c r="I1436" s="2" t="n">
        <v>46317.73333333333</v>
      </c>
      <c r="J1436" t="inlineStr">
        <is>
          <t>Completed</t>
        </is>
      </c>
      <c r="K1436" t="n">
        <v>1.54</v>
      </c>
      <c r="L1436" t="n">
        <v>16</v>
      </c>
      <c r="M1436" t="b">
        <v>0</v>
      </c>
      <c r="N1436" t="n">
        <v>0</v>
      </c>
      <c r="O1436" t="b">
        <v>1</v>
      </c>
      <c r="P1436" t="b">
        <v>0</v>
      </c>
      <c r="Q1436" t="b">
        <v>0</v>
      </c>
    </row>
    <row r="1437">
      <c r="A1437" t="inlineStr">
        <is>
          <t>REQ01436</t>
        </is>
      </c>
      <c r="B1437" t="inlineStr">
        <is>
          <t>549300FL35WFJDU51439</t>
        </is>
      </c>
      <c r="C1437" t="inlineStr">
        <is>
          <t>data_amendment</t>
        </is>
      </c>
      <c r="D1437" s="2" t="n">
        <v>46317.66944444444</v>
      </c>
      <c r="E1437" s="2" t="n">
        <v>46318.62777777778</v>
      </c>
      <c r="F1437" t="inlineStr">
        <is>
          <t>M5</t>
        </is>
      </c>
      <c r="G1437" t="inlineStr">
        <is>
          <t>C2</t>
        </is>
      </c>
      <c r="H1437" s="2" t="n">
        <v>46317.70138888889</v>
      </c>
      <c r="I1437" s="2" t="n">
        <v>46317.70486111111</v>
      </c>
      <c r="J1437" t="inlineStr">
        <is>
          <t>Completed</t>
        </is>
      </c>
      <c r="K1437" t="n">
        <v>0.85</v>
      </c>
      <c r="L1437" t="n">
        <v>8</v>
      </c>
      <c r="M1437" t="b">
        <v>0</v>
      </c>
      <c r="N1437" t="n">
        <v>0</v>
      </c>
      <c r="O1437" t="b">
        <v>1</v>
      </c>
      <c r="P1437" t="b">
        <v>0</v>
      </c>
      <c r="Q1437" t="b">
        <v>0</v>
      </c>
    </row>
    <row r="1438">
      <c r="A1438" t="inlineStr">
        <is>
          <t>REQ01437</t>
        </is>
      </c>
      <c r="B1438" t="inlineStr">
        <is>
          <t>894500HYOTW94KDWNF36</t>
        </is>
      </c>
      <c r="C1438" t="inlineStr">
        <is>
          <t>data_amendment</t>
        </is>
      </c>
      <c r="D1438" s="2" t="n">
        <v>46317.66944444444</v>
      </c>
      <c r="E1438" s="2" t="n">
        <v>46318.62777777778</v>
      </c>
      <c r="F1438" t="inlineStr">
        <is>
          <t>M4</t>
        </is>
      </c>
      <c r="G1438" t="inlineStr">
        <is>
          <t>C1</t>
        </is>
      </c>
      <c r="H1438" s="2" t="n">
        <v>46317.70208333333</v>
      </c>
      <c r="I1438" s="2" t="n">
        <v>46317.70625</v>
      </c>
      <c r="J1438" t="inlineStr">
        <is>
          <t>Completed</t>
        </is>
      </c>
      <c r="K1438" t="n">
        <v>0.88</v>
      </c>
      <c r="L1438" t="n">
        <v>8</v>
      </c>
      <c r="M1438" t="b">
        <v>0</v>
      </c>
      <c r="N1438" t="n">
        <v>0</v>
      </c>
      <c r="O1438" t="b">
        <v>1</v>
      </c>
      <c r="P1438" t="b">
        <v>0</v>
      </c>
      <c r="Q1438" t="b">
        <v>0</v>
      </c>
    </row>
    <row r="1439">
      <c r="A1439" t="inlineStr">
        <is>
          <t>REQ01438</t>
        </is>
      </c>
      <c r="B1439" t="inlineStr">
        <is>
          <t>549300LJEJWIPLFCUJ39</t>
        </is>
      </c>
      <c r="C1439" t="inlineStr">
        <is>
          <t>new_account</t>
        </is>
      </c>
      <c r="D1439" s="2" t="n">
        <v>46317.67291666667</v>
      </c>
      <c r="E1439" s="2" t="n">
        <v>46321.58958333333</v>
      </c>
      <c r="F1439" t="inlineStr">
        <is>
          <t>M2</t>
        </is>
      </c>
      <c r="G1439" t="inlineStr">
        <is>
          <t>C3</t>
        </is>
      </c>
      <c r="H1439" s="2" t="n">
        <v>46317.73888888889</v>
      </c>
      <c r="I1439" s="2" t="n">
        <v>46318.37569444445</v>
      </c>
      <c r="J1439" t="inlineStr">
        <is>
          <t>Completed</t>
        </is>
      </c>
      <c r="K1439" t="n">
        <v>1.87</v>
      </c>
      <c r="L1439" t="n">
        <v>16</v>
      </c>
      <c r="M1439" t="b">
        <v>0</v>
      </c>
      <c r="N1439" t="n">
        <v>0</v>
      </c>
      <c r="O1439" t="b">
        <v>1</v>
      </c>
      <c r="P1439" t="b">
        <v>0</v>
      </c>
      <c r="Q1439" t="b">
        <v>0</v>
      </c>
    </row>
    <row r="1440">
      <c r="A1440" t="inlineStr">
        <is>
          <t>REQ01439</t>
        </is>
      </c>
      <c r="B1440" t="inlineStr">
        <is>
          <t>213800SPDE76R9MHQ478</t>
        </is>
      </c>
      <c r="C1440" t="inlineStr">
        <is>
          <t>data_amendment</t>
        </is>
      </c>
      <c r="D1440" s="2" t="n">
        <v>46317.675</v>
      </c>
      <c r="E1440" s="2" t="n">
        <v>46318.63333333333</v>
      </c>
      <c r="F1440" t="inlineStr">
        <is>
          <t>M5</t>
        </is>
      </c>
      <c r="G1440" t="inlineStr">
        <is>
          <t>C2</t>
        </is>
      </c>
      <c r="H1440" s="2" t="n">
        <v>46317.71180555555</v>
      </c>
      <c r="I1440" s="2" t="n">
        <v>46317.71597222222</v>
      </c>
      <c r="J1440" t="inlineStr">
        <is>
          <t>Completed</t>
        </is>
      </c>
      <c r="K1440" t="n">
        <v>0.99</v>
      </c>
      <c r="L1440" t="n">
        <v>8</v>
      </c>
      <c r="M1440" t="b">
        <v>0</v>
      </c>
      <c r="N1440" t="n">
        <v>0</v>
      </c>
      <c r="O1440" t="b">
        <v>1</v>
      </c>
      <c r="P1440" t="b">
        <v>0</v>
      </c>
      <c r="Q1440" t="b">
        <v>0</v>
      </c>
    </row>
    <row r="1441">
      <c r="A1441" t="inlineStr">
        <is>
          <t>REQ01440</t>
        </is>
      </c>
      <c r="B1441" t="inlineStr">
        <is>
          <t>2138007X6MEZ6DE1EE34</t>
        </is>
      </c>
      <c r="C1441" t="inlineStr">
        <is>
          <t>document_refresh</t>
        </is>
      </c>
      <c r="D1441" s="2" t="n">
        <v>46317.67638888889</v>
      </c>
      <c r="E1441" s="2" t="n">
        <v>46321.42638888889</v>
      </c>
      <c r="F1441" t="inlineStr">
        <is>
          <t>M4</t>
        </is>
      </c>
      <c r="G1441" t="inlineStr">
        <is>
          <t>C3</t>
        </is>
      </c>
      <c r="H1441" s="2" t="n">
        <v>46317.71319444444</v>
      </c>
      <c r="I1441" s="2" t="n">
        <v>46317.72083333333</v>
      </c>
      <c r="J1441" t="inlineStr">
        <is>
          <t>Completed</t>
        </is>
      </c>
      <c r="K1441" t="n">
        <v>1.07</v>
      </c>
      <c r="L1441" t="n">
        <v>12</v>
      </c>
      <c r="M1441" t="b">
        <v>0</v>
      </c>
      <c r="N1441" t="n">
        <v>0</v>
      </c>
      <c r="O1441" t="b">
        <v>1</v>
      </c>
      <c r="P1441" t="b">
        <v>0</v>
      </c>
      <c r="Q1441" t="b">
        <v>0</v>
      </c>
    </row>
    <row r="1442">
      <c r="A1442" t="inlineStr">
        <is>
          <t>REQ01441</t>
        </is>
      </c>
      <c r="B1442" t="inlineStr">
        <is>
          <t>984500005SD6D1CB6646</t>
        </is>
      </c>
      <c r="C1442" t="inlineStr">
        <is>
          <t>data_amendment</t>
        </is>
      </c>
      <c r="D1442" s="2" t="n">
        <v>46317.67708333334</v>
      </c>
      <c r="E1442" s="2" t="n">
        <v>46318.63541666666</v>
      </c>
      <c r="F1442" t="inlineStr">
        <is>
          <t>M6</t>
        </is>
      </c>
      <c r="G1442" t="inlineStr">
        <is>
          <t>C2</t>
        </is>
      </c>
      <c r="H1442" s="2" t="n">
        <v>46317.71388888889</v>
      </c>
      <c r="I1442" s="2" t="n">
        <v>46317.72152777778</v>
      </c>
      <c r="J1442" t="inlineStr">
        <is>
          <t>Completed</t>
        </is>
      </c>
      <c r="K1442" t="n">
        <v>1.06</v>
      </c>
      <c r="L1442" t="n">
        <v>8</v>
      </c>
      <c r="M1442" t="b">
        <v>0</v>
      </c>
      <c r="N1442" t="n">
        <v>0</v>
      </c>
      <c r="O1442" t="b">
        <v>1</v>
      </c>
      <c r="P1442" t="b">
        <v>0</v>
      </c>
      <c r="Q1442" t="b">
        <v>0</v>
      </c>
    </row>
    <row r="1443">
      <c r="A1443" t="inlineStr">
        <is>
          <t>REQ01442</t>
        </is>
      </c>
      <c r="B1443" t="inlineStr">
        <is>
          <t>724500HF9Z8ZVQD7IC74</t>
        </is>
      </c>
      <c r="C1443" t="inlineStr">
        <is>
          <t>signatory_change</t>
        </is>
      </c>
      <c r="D1443" s="2" t="n">
        <v>46317.67847222222</v>
      </c>
      <c r="E1443" s="2" t="n">
        <v>46318.63680555556</v>
      </c>
      <c r="F1443" t="inlineStr">
        <is>
          <t>M1</t>
        </is>
      </c>
      <c r="G1443" t="inlineStr">
        <is>
          <t>C1</t>
        </is>
      </c>
      <c r="H1443" s="2" t="n">
        <v>46317.72847222222</v>
      </c>
      <c r="I1443" s="2" t="n">
        <v>46318.53541666667</v>
      </c>
      <c r="J1443" t="inlineStr">
        <is>
          <t>Completed</t>
        </is>
      </c>
      <c r="K1443" t="n">
        <v>5.57</v>
      </c>
      <c r="L1443" t="n">
        <v>8</v>
      </c>
      <c r="M1443" t="b">
        <v>0</v>
      </c>
      <c r="N1443" t="n">
        <v>1</v>
      </c>
      <c r="O1443" t="b">
        <v>0</v>
      </c>
      <c r="P1443" t="b">
        <v>1</v>
      </c>
      <c r="Q1443" t="b">
        <v>1</v>
      </c>
    </row>
    <row r="1444">
      <c r="A1444" t="inlineStr">
        <is>
          <t>REQ01443</t>
        </is>
      </c>
      <c r="B1444" t="inlineStr">
        <is>
          <t>335800RAC6DFEJE9AV87</t>
        </is>
      </c>
      <c r="C1444" t="inlineStr">
        <is>
          <t>data_amendment</t>
        </is>
      </c>
      <c r="D1444" s="2" t="n">
        <v>46317.67847222222</v>
      </c>
      <c r="E1444" s="2" t="n">
        <v>46318.63680555556</v>
      </c>
      <c r="F1444" t="inlineStr">
        <is>
          <t>M5</t>
        </is>
      </c>
      <c r="G1444" t="inlineStr">
        <is>
          <t>C3</t>
        </is>
      </c>
      <c r="H1444" s="2" t="n">
        <v>46317.725</v>
      </c>
      <c r="I1444" s="2" t="n">
        <v>46317.72847222222</v>
      </c>
      <c r="J1444" t="inlineStr">
        <is>
          <t>Completed</t>
        </is>
      </c>
      <c r="K1444" t="n">
        <v>1.2</v>
      </c>
      <c r="L1444" t="n">
        <v>8</v>
      </c>
      <c r="M1444" t="b">
        <v>0</v>
      </c>
      <c r="N1444" t="n">
        <v>0</v>
      </c>
      <c r="O1444" t="b">
        <v>1</v>
      </c>
      <c r="P1444" t="b">
        <v>0</v>
      </c>
      <c r="Q1444" t="b">
        <v>0</v>
      </c>
    </row>
    <row r="1445">
      <c r="A1445" t="inlineStr">
        <is>
          <t>REQ01444</t>
        </is>
      </c>
      <c r="B1445" t="inlineStr">
        <is>
          <t>969500VOJ9IOTPM2XO66</t>
        </is>
      </c>
      <c r="C1445" t="inlineStr">
        <is>
          <t>new_account</t>
        </is>
      </c>
      <c r="D1445" s="2" t="n">
        <v>46317.68055555555</v>
      </c>
      <c r="E1445" s="2" t="n">
        <v>46321.59722222222</v>
      </c>
      <c r="F1445" t="inlineStr">
        <is>
          <t>M4</t>
        </is>
      </c>
      <c r="G1445" t="inlineStr">
        <is>
          <t>C3</t>
        </is>
      </c>
      <c r="H1445" s="2" t="n">
        <v>46317.73888888889</v>
      </c>
      <c r="I1445" s="2" t="n">
        <v>46318.59027777778</v>
      </c>
      <c r="J1445" t="inlineStr">
        <is>
          <t>Completed</t>
        </is>
      </c>
      <c r="K1445" t="n">
        <v>6.83</v>
      </c>
      <c r="L1445" t="n">
        <v>16</v>
      </c>
      <c r="M1445" t="b">
        <v>0</v>
      </c>
      <c r="N1445" t="n">
        <v>0</v>
      </c>
      <c r="O1445" t="b">
        <v>1</v>
      </c>
      <c r="P1445" t="b">
        <v>0</v>
      </c>
      <c r="Q1445" t="b">
        <v>1</v>
      </c>
    </row>
    <row r="1446">
      <c r="A1446" t="inlineStr">
        <is>
          <t>REQ01445</t>
        </is>
      </c>
      <c r="B1446" t="inlineStr">
        <is>
          <t>529900RKNTLMYNCN0Z76</t>
        </is>
      </c>
      <c r="C1446" t="inlineStr">
        <is>
          <t>document_refresh</t>
        </is>
      </c>
      <c r="D1446" s="2" t="n">
        <v>46317.68402777778</v>
      </c>
      <c r="E1446" s="2" t="n">
        <v>46321.43402777778</v>
      </c>
      <c r="F1446" t="inlineStr">
        <is>
          <t>M6</t>
        </is>
      </c>
      <c r="G1446" t="inlineStr">
        <is>
          <t>C2</t>
        </is>
      </c>
      <c r="H1446" s="2" t="n">
        <v>46317.725</v>
      </c>
      <c r="I1446" s="2" t="n">
        <v>46318.51666666667</v>
      </c>
      <c r="J1446" t="inlineStr">
        <is>
          <t>Completed</t>
        </is>
      </c>
      <c r="K1446" t="n">
        <v>4.99</v>
      </c>
      <c r="L1446" t="n">
        <v>12</v>
      </c>
      <c r="M1446" t="b">
        <v>0</v>
      </c>
      <c r="N1446" t="n">
        <v>0</v>
      </c>
      <c r="O1446" t="b">
        <v>1</v>
      </c>
      <c r="P1446" t="b">
        <v>0</v>
      </c>
      <c r="Q1446" t="b">
        <v>1</v>
      </c>
    </row>
    <row r="1447">
      <c r="A1447" t="inlineStr">
        <is>
          <t>REQ01446</t>
        </is>
      </c>
      <c r="B1447" t="inlineStr">
        <is>
          <t>549300ZWNS4WBW738J86</t>
        </is>
      </c>
      <c r="C1447" t="inlineStr">
        <is>
          <t>data_amendment</t>
        </is>
      </c>
      <c r="D1447" s="2" t="n">
        <v>46317.68819444445</v>
      </c>
      <c r="E1447" s="2" t="n">
        <v>46318.64652777778</v>
      </c>
      <c r="F1447" t="inlineStr">
        <is>
          <t>M5</t>
        </is>
      </c>
      <c r="G1447" t="inlineStr">
        <is>
          <t>C2</t>
        </is>
      </c>
      <c r="H1447" s="2" t="n">
        <v>46317.73680555556</v>
      </c>
      <c r="I1447" s="2" t="n">
        <v>46318.60277777778</v>
      </c>
      <c r="J1447" t="inlineStr">
        <is>
          <t>Completed</t>
        </is>
      </c>
      <c r="K1447" t="n">
        <v>6.94</v>
      </c>
      <c r="L1447" t="n">
        <v>8</v>
      </c>
      <c r="M1447" t="b">
        <v>0</v>
      </c>
      <c r="N1447" t="n">
        <v>1</v>
      </c>
      <c r="O1447" t="b">
        <v>0</v>
      </c>
      <c r="P1447" t="b">
        <v>1</v>
      </c>
      <c r="Q1447" t="b">
        <v>1</v>
      </c>
    </row>
    <row r="1448">
      <c r="A1448" t="inlineStr">
        <is>
          <t>REQ01447</t>
        </is>
      </c>
      <c r="B1448" t="inlineStr">
        <is>
          <t>724500EG0ZT2E2BZZH82</t>
        </is>
      </c>
      <c r="C1448" t="inlineStr">
        <is>
          <t>data_amendment</t>
        </is>
      </c>
      <c r="D1448" s="2" t="n">
        <v>46317.68958333333</v>
      </c>
      <c r="E1448" s="2" t="n">
        <v>46318.64791666667</v>
      </c>
      <c r="F1448" t="inlineStr">
        <is>
          <t>M6</t>
        </is>
      </c>
      <c r="G1448" t="inlineStr">
        <is>
          <t>C2</t>
        </is>
      </c>
      <c r="H1448" s="2" t="n">
        <v>46317.73402777778</v>
      </c>
      <c r="I1448" s="2" t="n">
        <v>46318.53194444445</v>
      </c>
      <c r="J1448" t="inlineStr">
        <is>
          <t>Completed</t>
        </is>
      </c>
      <c r="K1448" t="n">
        <v>5.21</v>
      </c>
      <c r="L1448" t="n">
        <v>8</v>
      </c>
      <c r="M1448" t="b">
        <v>0</v>
      </c>
      <c r="N1448" t="n">
        <v>0</v>
      </c>
      <c r="O1448" t="b">
        <v>1</v>
      </c>
      <c r="P1448" t="b">
        <v>0</v>
      </c>
      <c r="Q1448" t="b">
        <v>1</v>
      </c>
    </row>
    <row r="1449">
      <c r="A1449" t="inlineStr">
        <is>
          <t>REQ01448</t>
        </is>
      </c>
      <c r="B1449" t="inlineStr">
        <is>
          <t>724500W6A4VQC29JDR63</t>
        </is>
      </c>
      <c r="C1449" t="inlineStr">
        <is>
          <t>new_account</t>
        </is>
      </c>
      <c r="D1449" s="2" t="n">
        <v>46317.69722222222</v>
      </c>
      <c r="E1449" s="2" t="n">
        <v>46321.61388888889</v>
      </c>
      <c r="F1449" t="inlineStr">
        <is>
          <t>M3</t>
        </is>
      </c>
      <c r="G1449" t="inlineStr">
        <is>
          <t>C3</t>
        </is>
      </c>
      <c r="H1449" s="2" t="n">
        <v>46318.38055555556</v>
      </c>
      <c r="I1449" s="2" t="n">
        <v>46318.39027777778</v>
      </c>
      <c r="J1449" t="inlineStr">
        <is>
          <t>Completed</t>
        </is>
      </c>
      <c r="K1449" t="n">
        <v>1.64</v>
      </c>
      <c r="L1449" t="n">
        <v>16</v>
      </c>
      <c r="M1449" t="b">
        <v>0</v>
      </c>
      <c r="N1449" t="n">
        <v>0</v>
      </c>
      <c r="O1449" t="b">
        <v>1</v>
      </c>
      <c r="P1449" t="b">
        <v>0</v>
      </c>
      <c r="Q1449" t="b">
        <v>0</v>
      </c>
    </row>
    <row r="1450">
      <c r="A1450" t="inlineStr">
        <is>
          <t>REQ01449</t>
        </is>
      </c>
      <c r="B1450" t="inlineStr">
        <is>
          <t>984500ED6C7EB5093C06</t>
        </is>
      </c>
      <c r="C1450" t="inlineStr">
        <is>
          <t>signatory_change</t>
        </is>
      </c>
      <c r="D1450" s="2" t="n">
        <v>46317.70972222222</v>
      </c>
      <c r="E1450" s="2" t="n">
        <v>46318.66805555556</v>
      </c>
      <c r="F1450" t="inlineStr">
        <is>
          <t>M1</t>
        </is>
      </c>
      <c r="G1450" t="inlineStr">
        <is>
          <t>C2</t>
        </is>
      </c>
      <c r="H1450" s="2" t="n">
        <v>46318.37986111111</v>
      </c>
      <c r="I1450" s="2" t="n">
        <v>46318.38611111111</v>
      </c>
      <c r="J1450" t="inlineStr">
        <is>
          <t>Completed</t>
        </is>
      </c>
      <c r="K1450" t="n">
        <v>1.24</v>
      </c>
      <c r="L1450" t="n">
        <v>8</v>
      </c>
      <c r="M1450" t="b">
        <v>0</v>
      </c>
      <c r="N1450" t="n">
        <v>0</v>
      </c>
      <c r="O1450" t="b">
        <v>1</v>
      </c>
      <c r="P1450" t="b">
        <v>0</v>
      </c>
      <c r="Q1450" t="b">
        <v>0</v>
      </c>
    </row>
    <row r="1451">
      <c r="A1451" t="inlineStr">
        <is>
          <t>REQ01450</t>
        </is>
      </c>
      <c r="B1451" t="inlineStr">
        <is>
          <t>254900ZYS0RDYLMNIU84</t>
        </is>
      </c>
      <c r="C1451" t="inlineStr">
        <is>
          <t>data_amendment</t>
        </is>
      </c>
      <c r="D1451" s="2" t="n">
        <v>46317.71875</v>
      </c>
      <c r="E1451" s="2" t="n">
        <v>46318.67708333334</v>
      </c>
      <c r="F1451" t="inlineStr">
        <is>
          <t>M6</t>
        </is>
      </c>
      <c r="G1451" t="inlineStr">
        <is>
          <t>C3</t>
        </is>
      </c>
      <c r="H1451" s="2" t="n">
        <v>46317.74375</v>
      </c>
      <c r="I1451" s="2" t="n">
        <v>46318.59375</v>
      </c>
      <c r="J1451" t="inlineStr">
        <is>
          <t>Completed</t>
        </is>
      </c>
      <c r="K1451" t="n">
        <v>6.01</v>
      </c>
      <c r="L1451" t="n">
        <v>8</v>
      </c>
      <c r="M1451" t="b">
        <v>0</v>
      </c>
      <c r="N1451" t="n">
        <v>0</v>
      </c>
      <c r="O1451" t="b">
        <v>1</v>
      </c>
      <c r="P1451" t="b">
        <v>0</v>
      </c>
      <c r="Q1451" t="b">
        <v>1</v>
      </c>
    </row>
    <row r="1452">
      <c r="A1452" t="inlineStr">
        <is>
          <t>REQ01451</t>
        </is>
      </c>
      <c r="B1452" t="inlineStr">
        <is>
          <t>984500C787500BFE8D53</t>
        </is>
      </c>
      <c r="C1452" t="inlineStr">
        <is>
          <t>data_amendment</t>
        </is>
      </c>
      <c r="D1452" s="2" t="n">
        <v>46317.73611111111</v>
      </c>
      <c r="E1452" s="2" t="n">
        <v>46318.69444444445</v>
      </c>
      <c r="F1452" t="inlineStr">
        <is>
          <t>M5</t>
        </is>
      </c>
      <c r="G1452" t="inlineStr">
        <is>
          <t>C2</t>
        </is>
      </c>
      <c r="H1452" s="2" t="n">
        <v>46317.74791666667</v>
      </c>
      <c r="I1452" s="2" t="n">
        <v>46318.49027777778</v>
      </c>
      <c r="J1452" t="inlineStr">
        <is>
          <t>Completed</t>
        </is>
      </c>
      <c r="K1452" t="n">
        <v>3.11</v>
      </c>
      <c r="L1452" t="n">
        <v>8</v>
      </c>
      <c r="M1452" t="b">
        <v>0</v>
      </c>
      <c r="N1452" t="n">
        <v>0</v>
      </c>
      <c r="O1452" t="b">
        <v>1</v>
      </c>
      <c r="P1452" t="b">
        <v>0</v>
      </c>
      <c r="Q1452" t="b">
        <v>1</v>
      </c>
    </row>
    <row r="1453">
      <c r="A1453" t="inlineStr">
        <is>
          <t>REQ01452</t>
        </is>
      </c>
      <c r="B1453" t="inlineStr">
        <is>
          <t>969500QU7802NFICSS55</t>
        </is>
      </c>
      <c r="C1453" t="inlineStr">
        <is>
          <t>signatory_change</t>
        </is>
      </c>
      <c r="D1453" s="2" t="n">
        <v>46317.7375</v>
      </c>
      <c r="E1453" s="2" t="n">
        <v>46318.69583333333</v>
      </c>
      <c r="F1453" t="inlineStr">
        <is>
          <t>M2</t>
        </is>
      </c>
      <c r="G1453" t="inlineStr">
        <is>
          <t>C2</t>
        </is>
      </c>
      <c r="H1453" s="2" t="n">
        <v>46318.38819444444</v>
      </c>
      <c r="I1453" s="2" t="n">
        <v>46318.51041666666</v>
      </c>
      <c r="J1453" t="inlineStr">
        <is>
          <t>Completed</t>
        </is>
      </c>
      <c r="K1453" t="n">
        <v>3.54</v>
      </c>
      <c r="L1453" t="n">
        <v>8</v>
      </c>
      <c r="M1453" t="b">
        <v>0</v>
      </c>
      <c r="N1453" t="n">
        <v>0</v>
      </c>
      <c r="O1453" t="b">
        <v>1</v>
      </c>
      <c r="P1453" t="b">
        <v>0</v>
      </c>
      <c r="Q1453" t="b">
        <v>1</v>
      </c>
    </row>
    <row r="1454">
      <c r="A1454" t="inlineStr">
        <is>
          <t>REQ01453</t>
        </is>
      </c>
      <c r="B1454" t="inlineStr">
        <is>
          <t>549300SQAD8MJ0O1G566</t>
        </is>
      </c>
      <c r="C1454" t="inlineStr">
        <is>
          <t>new_account</t>
        </is>
      </c>
      <c r="D1454" s="2" t="n">
        <v>46317.74375</v>
      </c>
      <c r="E1454" s="2" t="n">
        <v>46321.66041666667</v>
      </c>
      <c r="F1454" t="inlineStr">
        <is>
          <t>M4</t>
        </is>
      </c>
      <c r="G1454" t="inlineStr">
        <is>
          <t>C1</t>
        </is>
      </c>
      <c r="H1454" s="2" t="n">
        <v>46318.40555555555</v>
      </c>
      <c r="I1454" s="2" t="n">
        <v>46318.41666666666</v>
      </c>
      <c r="J1454" t="inlineStr">
        <is>
          <t>Completed</t>
        </is>
      </c>
      <c r="K1454" t="n">
        <v>1.16</v>
      </c>
      <c r="L1454" t="n">
        <v>16</v>
      </c>
      <c r="M1454" t="b">
        <v>0</v>
      </c>
      <c r="N1454" t="n">
        <v>0</v>
      </c>
      <c r="O1454" t="b">
        <v>1</v>
      </c>
      <c r="P1454" t="b">
        <v>0</v>
      </c>
      <c r="Q1454" t="b">
        <v>0</v>
      </c>
    </row>
    <row r="1455">
      <c r="A1455" t="inlineStr">
        <is>
          <t>REQ01454</t>
        </is>
      </c>
      <c r="B1455" t="inlineStr">
        <is>
          <t>549300UWAOFM7OXCND23</t>
        </is>
      </c>
      <c r="C1455" t="inlineStr">
        <is>
          <t>data_amendment</t>
        </is>
      </c>
      <c r="D1455" s="2" t="n">
        <v>46317.74652777778</v>
      </c>
      <c r="E1455" s="2" t="n">
        <v>46318.70486111111</v>
      </c>
      <c r="F1455" t="inlineStr">
        <is>
          <t>M6</t>
        </is>
      </c>
      <c r="G1455" t="inlineStr">
        <is>
          <t>C1</t>
        </is>
      </c>
      <c r="H1455" s="2" t="n">
        <v>46318.38472222222</v>
      </c>
      <c r="I1455" s="2" t="n">
        <v>46318.62777777778</v>
      </c>
      <c r="J1455" t="inlineStr">
        <is>
          <t>Completed</t>
        </is>
      </c>
      <c r="K1455" t="n">
        <v>6.16</v>
      </c>
      <c r="L1455" t="n">
        <v>8</v>
      </c>
      <c r="M1455" t="b">
        <v>0</v>
      </c>
      <c r="N1455" t="n">
        <v>0</v>
      </c>
      <c r="O1455" t="b">
        <v>1</v>
      </c>
      <c r="P1455" t="b">
        <v>0</v>
      </c>
      <c r="Q1455" t="b">
        <v>1</v>
      </c>
    </row>
    <row r="1456">
      <c r="A1456" t="inlineStr">
        <is>
          <t>REQ01455</t>
        </is>
      </c>
      <c r="B1456" t="inlineStr">
        <is>
          <t>5493002KILNFKEWNDI37</t>
        </is>
      </c>
      <c r="C1456" t="inlineStr">
        <is>
          <t>new_account</t>
        </is>
      </c>
      <c r="D1456" s="2" t="n">
        <v>46318.38055555556</v>
      </c>
      <c r="E1456" s="2" t="n">
        <v>46321.67222222222</v>
      </c>
      <c r="F1456" t="inlineStr">
        <is>
          <t>M5</t>
        </is>
      </c>
      <c r="G1456" t="inlineStr">
        <is>
          <t>C3</t>
        </is>
      </c>
      <c r="H1456" s="2" t="n">
        <v>46318.40972222222</v>
      </c>
      <c r="I1456" s="2" t="n">
        <v>46318.52708333333</v>
      </c>
      <c r="J1456" t="inlineStr">
        <is>
          <t>Completed</t>
        </is>
      </c>
      <c r="K1456" t="n">
        <v>3.52</v>
      </c>
      <c r="L1456" t="n">
        <v>16</v>
      </c>
      <c r="M1456" t="b">
        <v>0</v>
      </c>
      <c r="N1456" t="n">
        <v>0</v>
      </c>
      <c r="O1456" t="b">
        <v>1</v>
      </c>
      <c r="P1456" t="b">
        <v>0</v>
      </c>
      <c r="Q1456" t="b">
        <v>1</v>
      </c>
    </row>
    <row r="1457">
      <c r="A1457" t="inlineStr">
        <is>
          <t>REQ01456</t>
        </is>
      </c>
      <c r="B1457" t="inlineStr">
        <is>
          <t>254900LZWHV8N633RC92</t>
        </is>
      </c>
      <c r="C1457" t="inlineStr">
        <is>
          <t>signatory_change</t>
        </is>
      </c>
      <c r="D1457" s="2" t="n">
        <v>46318.38055555556</v>
      </c>
      <c r="E1457" s="2" t="n">
        <v>46318.71388888889</v>
      </c>
      <c r="F1457" t="inlineStr">
        <is>
          <t>M1</t>
        </is>
      </c>
      <c r="G1457" t="inlineStr">
        <is>
          <t>C1</t>
        </is>
      </c>
      <c r="H1457" s="2" t="n">
        <v>46318.40138888889</v>
      </c>
      <c r="I1457" s="2" t="n">
        <v>46318.65277777778</v>
      </c>
      <c r="J1457" t="inlineStr">
        <is>
          <t>Completed</t>
        </is>
      </c>
      <c r="K1457" t="n">
        <v>6.54</v>
      </c>
      <c r="L1457" t="n">
        <v>8</v>
      </c>
      <c r="M1457" t="b">
        <v>0</v>
      </c>
      <c r="N1457" t="n">
        <v>0</v>
      </c>
      <c r="O1457" t="b">
        <v>1</v>
      </c>
      <c r="P1457" t="b">
        <v>0</v>
      </c>
      <c r="Q1457" t="b">
        <v>1</v>
      </c>
    </row>
    <row r="1458">
      <c r="A1458" t="inlineStr">
        <is>
          <t>REQ01457</t>
        </is>
      </c>
      <c r="B1458" t="inlineStr">
        <is>
          <t>391200VK1KZYYF2TP342</t>
        </is>
      </c>
      <c r="C1458" t="inlineStr">
        <is>
          <t>data_amendment</t>
        </is>
      </c>
      <c r="D1458" s="2" t="n">
        <v>46318.38958333333</v>
      </c>
      <c r="E1458" s="2" t="n">
        <v>46318.72291666667</v>
      </c>
      <c r="F1458" t="inlineStr">
        <is>
          <t>M3</t>
        </is>
      </c>
      <c r="G1458" t="inlineStr">
        <is>
          <t>C1</t>
        </is>
      </c>
      <c r="H1458" s="2" t="n">
        <v>46318.39861111111</v>
      </c>
      <c r="I1458" s="2" t="n">
        <v>46318.40277777778</v>
      </c>
      <c r="J1458" t="inlineStr">
        <is>
          <t>Completed</t>
        </is>
      </c>
      <c r="K1458" t="n">
        <v>0.32</v>
      </c>
      <c r="L1458" t="n">
        <v>8</v>
      </c>
      <c r="M1458" t="b">
        <v>0</v>
      </c>
      <c r="N1458" t="n">
        <v>0</v>
      </c>
      <c r="O1458" t="b">
        <v>1</v>
      </c>
      <c r="P1458" t="b">
        <v>0</v>
      </c>
      <c r="Q1458" t="b">
        <v>0</v>
      </c>
    </row>
    <row r="1459">
      <c r="A1459" t="inlineStr">
        <is>
          <t>REQ01458</t>
        </is>
      </c>
      <c r="B1459" t="inlineStr">
        <is>
          <t>64883JZXL0X90N82A210</t>
        </is>
      </c>
      <c r="C1459" t="inlineStr">
        <is>
          <t>signatory_change</t>
        </is>
      </c>
      <c r="D1459" s="2" t="n">
        <v>46318.39027777778</v>
      </c>
      <c r="E1459" s="2" t="n">
        <v>46318.72361111111</v>
      </c>
      <c r="F1459" t="inlineStr">
        <is>
          <t>M6</t>
        </is>
      </c>
      <c r="G1459" t="inlineStr">
        <is>
          <t>C2</t>
        </is>
      </c>
      <c r="H1459" s="2" t="n">
        <v>46318.41527777778</v>
      </c>
      <c r="I1459" s="2" t="n">
        <v>46318.42222222222</v>
      </c>
      <c r="J1459" t="inlineStr">
        <is>
          <t>Completed</t>
        </is>
      </c>
      <c r="K1459" t="n">
        <v>0.77</v>
      </c>
      <c r="L1459" t="n">
        <v>8</v>
      </c>
      <c r="M1459" t="b">
        <v>0</v>
      </c>
      <c r="N1459" t="n">
        <v>0</v>
      </c>
      <c r="O1459" t="b">
        <v>1</v>
      </c>
      <c r="P1459" t="b">
        <v>0</v>
      </c>
      <c r="Q1459" t="b">
        <v>0</v>
      </c>
    </row>
    <row r="1460">
      <c r="A1460" t="inlineStr">
        <is>
          <t>REQ01459</t>
        </is>
      </c>
      <c r="B1460" t="inlineStr">
        <is>
          <t>529900FEKHE4FB9BKV59</t>
        </is>
      </c>
      <c r="C1460" t="inlineStr">
        <is>
          <t>signatory_change</t>
        </is>
      </c>
      <c r="D1460" s="2" t="n">
        <v>46318.39444444444</v>
      </c>
      <c r="E1460" s="2" t="n">
        <v>46318.72777777778</v>
      </c>
      <c r="F1460" t="inlineStr">
        <is>
          <t>M2</t>
        </is>
      </c>
      <c r="G1460" t="inlineStr">
        <is>
          <t>C3</t>
        </is>
      </c>
      <c r="H1460" s="2" t="n">
        <v>46318.42083333333</v>
      </c>
      <c r="I1460" s="2" t="n">
        <v>46318.65</v>
      </c>
      <c r="J1460" t="inlineStr">
        <is>
          <t>Completed</t>
        </is>
      </c>
      <c r="K1460" t="n">
        <v>6.13</v>
      </c>
      <c r="L1460" t="n">
        <v>8</v>
      </c>
      <c r="M1460" t="b">
        <v>0</v>
      </c>
      <c r="N1460" t="n">
        <v>0</v>
      </c>
      <c r="O1460" t="b">
        <v>1</v>
      </c>
      <c r="P1460" t="b">
        <v>0</v>
      </c>
      <c r="Q1460" t="b">
        <v>1</v>
      </c>
    </row>
    <row r="1461">
      <c r="A1461" t="inlineStr">
        <is>
          <t>REQ01460</t>
        </is>
      </c>
      <c r="B1461" t="inlineStr">
        <is>
          <t>2138007I65X8VIQBE804</t>
        </is>
      </c>
      <c r="C1461" t="inlineStr">
        <is>
          <t>new_account</t>
        </is>
      </c>
      <c r="D1461" s="2" t="n">
        <v>46318.39861111111</v>
      </c>
      <c r="E1461" s="2" t="n">
        <v>46321.69027777778</v>
      </c>
      <c r="F1461" t="inlineStr">
        <is>
          <t>M3</t>
        </is>
      </c>
      <c r="G1461" t="inlineStr">
        <is>
          <t>C3</t>
        </is>
      </c>
      <c r="H1461" s="2" t="n">
        <v>46318.43680555555</v>
      </c>
      <c r="I1461" s="2" t="n">
        <v>46318.54861111111</v>
      </c>
      <c r="J1461" t="inlineStr">
        <is>
          <t>Completed</t>
        </is>
      </c>
      <c r="K1461" t="n">
        <v>3.6</v>
      </c>
      <c r="L1461" t="n">
        <v>16</v>
      </c>
      <c r="M1461" t="b">
        <v>0</v>
      </c>
      <c r="N1461" t="n">
        <v>0</v>
      </c>
      <c r="O1461" t="b">
        <v>1</v>
      </c>
      <c r="P1461" t="b">
        <v>0</v>
      </c>
      <c r="Q1461" t="b">
        <v>1</v>
      </c>
    </row>
    <row r="1462">
      <c r="A1462" t="inlineStr">
        <is>
          <t>REQ01461</t>
        </is>
      </c>
      <c r="B1462" t="inlineStr">
        <is>
          <t>335800W9JE8Z77OR1P93</t>
        </is>
      </c>
      <c r="C1462" t="inlineStr">
        <is>
          <t>data_amendment</t>
        </is>
      </c>
      <c r="D1462" s="2" t="n">
        <v>46318.40486111111</v>
      </c>
      <c r="E1462" s="2" t="n">
        <v>46318.73819444444</v>
      </c>
      <c r="F1462" t="inlineStr">
        <is>
          <t>M1</t>
        </is>
      </c>
      <c r="G1462" t="inlineStr">
        <is>
          <t>C2</t>
        </is>
      </c>
      <c r="H1462" s="2" t="n">
        <v>46318.41319444445</v>
      </c>
      <c r="I1462" s="2" t="n">
        <v>46318.41666666666</v>
      </c>
      <c r="J1462" t="inlineStr">
        <is>
          <t>Completed</t>
        </is>
      </c>
      <c r="K1462" t="n">
        <v>0.28</v>
      </c>
      <c r="L1462" t="n">
        <v>8</v>
      </c>
      <c r="M1462" t="b">
        <v>0</v>
      </c>
      <c r="N1462" t="n">
        <v>0</v>
      </c>
      <c r="O1462" t="b">
        <v>1</v>
      </c>
      <c r="P1462" t="b">
        <v>0</v>
      </c>
      <c r="Q1462" t="b">
        <v>0</v>
      </c>
    </row>
    <row r="1463">
      <c r="A1463" t="inlineStr">
        <is>
          <t>REQ01462</t>
        </is>
      </c>
      <c r="B1463" t="inlineStr">
        <is>
          <t>724500RWKXKVJPC9JT64</t>
        </is>
      </c>
      <c r="C1463" t="inlineStr">
        <is>
          <t>data_amendment</t>
        </is>
      </c>
      <c r="D1463" s="2" t="n">
        <v>46318.41180555556</v>
      </c>
      <c r="E1463" s="2" t="n">
        <v>46318.74513888889</v>
      </c>
      <c r="F1463" t="inlineStr">
        <is>
          <t>M4</t>
        </is>
      </c>
      <c r="G1463" t="inlineStr">
        <is>
          <t>C3</t>
        </is>
      </c>
      <c r="H1463" s="2" t="n">
        <v>46318.41944444444</v>
      </c>
      <c r="I1463" s="2" t="n">
        <v>46318.42361111111</v>
      </c>
      <c r="J1463" t="inlineStr">
        <is>
          <t>Completed</t>
        </is>
      </c>
      <c r="K1463" t="n">
        <v>0.29</v>
      </c>
      <c r="L1463" t="n">
        <v>8</v>
      </c>
      <c r="M1463" t="b">
        <v>0</v>
      </c>
      <c r="N1463" t="n">
        <v>0</v>
      </c>
      <c r="O1463" t="b">
        <v>1</v>
      </c>
      <c r="P1463" t="b">
        <v>0</v>
      </c>
      <c r="Q1463" t="b">
        <v>0</v>
      </c>
    </row>
    <row r="1464">
      <c r="A1464" t="inlineStr">
        <is>
          <t>REQ01463</t>
        </is>
      </c>
      <c r="B1464" t="inlineStr">
        <is>
          <t>254900PQTNBAWE5T9H83</t>
        </is>
      </c>
      <c r="C1464" t="inlineStr">
        <is>
          <t>new_account</t>
        </is>
      </c>
      <c r="D1464" s="2" t="n">
        <v>46318.41388888889</v>
      </c>
      <c r="E1464" s="2" t="n">
        <v>46321.70555555556</v>
      </c>
      <c r="F1464" t="inlineStr">
        <is>
          <t>M5</t>
        </is>
      </c>
      <c r="G1464" t="inlineStr">
        <is>
          <t>C3</t>
        </is>
      </c>
      <c r="H1464" s="2" t="n">
        <v>46318.44444444445</v>
      </c>
      <c r="I1464" s="2" t="n">
        <v>46318.45208333333</v>
      </c>
      <c r="J1464" t="inlineStr">
        <is>
          <t>Completed</t>
        </is>
      </c>
      <c r="K1464" t="n">
        <v>0.91</v>
      </c>
      <c r="L1464" t="n">
        <v>16</v>
      </c>
      <c r="M1464" t="b">
        <v>0</v>
      </c>
      <c r="N1464" t="n">
        <v>0</v>
      </c>
      <c r="O1464" t="b">
        <v>1</v>
      </c>
      <c r="P1464" t="b">
        <v>0</v>
      </c>
      <c r="Q1464" t="b">
        <v>0</v>
      </c>
    </row>
    <row r="1465">
      <c r="A1465" t="inlineStr">
        <is>
          <t>REQ01464</t>
        </is>
      </c>
      <c r="B1465" t="inlineStr">
        <is>
          <t>529900A7OX5E0FPSXB57</t>
        </is>
      </c>
      <c r="C1465" t="inlineStr">
        <is>
          <t>document_refresh</t>
        </is>
      </c>
      <c r="D1465" s="2" t="n">
        <v>46318.41875</v>
      </c>
      <c r="E1465" s="2" t="n">
        <v>46321.54375</v>
      </c>
      <c r="F1465" t="inlineStr">
        <is>
          <t>M1</t>
        </is>
      </c>
      <c r="G1465" t="inlineStr">
        <is>
          <t>C2</t>
        </is>
      </c>
      <c r="H1465" s="2" t="n">
        <v>46318.42916666667</v>
      </c>
      <c r="I1465" s="2" t="n">
        <v>46318.56666666667</v>
      </c>
      <c r="J1465" t="inlineStr">
        <is>
          <t>Completed</t>
        </is>
      </c>
      <c r="K1465" t="n">
        <v>3.54</v>
      </c>
      <c r="L1465" t="n">
        <v>12</v>
      </c>
      <c r="M1465" t="b">
        <v>0</v>
      </c>
      <c r="N1465" t="n">
        <v>0</v>
      </c>
      <c r="O1465" t="b">
        <v>1</v>
      </c>
      <c r="P1465" t="b">
        <v>0</v>
      </c>
      <c r="Q1465" t="b">
        <v>1</v>
      </c>
    </row>
    <row r="1466">
      <c r="A1466" t="inlineStr">
        <is>
          <t>REQ01465</t>
        </is>
      </c>
      <c r="B1466" t="inlineStr">
        <is>
          <t>549300K5U23PECA6KY28</t>
        </is>
      </c>
      <c r="C1466" t="inlineStr">
        <is>
          <t>document_refresh</t>
        </is>
      </c>
      <c r="D1466" s="2" t="n">
        <v>46318.41944444444</v>
      </c>
      <c r="E1466" s="2" t="n">
        <v>46321.54444444444</v>
      </c>
      <c r="F1466" t="inlineStr">
        <is>
          <t>M6</t>
        </is>
      </c>
      <c r="G1466" t="inlineStr">
        <is>
          <t>C2</t>
        </is>
      </c>
      <c r="H1466" s="2" t="n">
        <v>46318.43680555555</v>
      </c>
      <c r="I1466" s="2" t="n">
        <v>46318.60972222222</v>
      </c>
      <c r="J1466" t="inlineStr">
        <is>
          <t>Completed</t>
        </is>
      </c>
      <c r="K1466" t="n">
        <v>4.57</v>
      </c>
      <c r="L1466" t="n">
        <v>12</v>
      </c>
      <c r="M1466" t="b">
        <v>0</v>
      </c>
      <c r="N1466" t="n">
        <v>0</v>
      </c>
      <c r="O1466" t="b">
        <v>1</v>
      </c>
      <c r="P1466" t="b">
        <v>0</v>
      </c>
      <c r="Q1466" t="b">
        <v>1</v>
      </c>
    </row>
    <row r="1467">
      <c r="A1467" t="inlineStr">
        <is>
          <t>REQ01466</t>
        </is>
      </c>
      <c r="B1467" t="inlineStr">
        <is>
          <t>529900JN2UD6P4MTPV26</t>
        </is>
      </c>
      <c r="C1467" t="inlineStr">
        <is>
          <t>document_refresh</t>
        </is>
      </c>
      <c r="D1467" s="2" t="n">
        <v>46318.42152777778</v>
      </c>
      <c r="E1467" s="2" t="n">
        <v>46321.54652777778</v>
      </c>
      <c r="F1467" t="inlineStr">
        <is>
          <t>M4</t>
        </is>
      </c>
      <c r="G1467" t="inlineStr">
        <is>
          <t>C1</t>
        </is>
      </c>
      <c r="H1467" s="2" t="n">
        <v>46318.43333333333</v>
      </c>
      <c r="I1467" s="2" t="n">
        <v>46318.43819444445</v>
      </c>
      <c r="J1467" t="inlineStr">
        <is>
          <t>Completed</t>
        </is>
      </c>
      <c r="K1467" t="n">
        <v>0.4</v>
      </c>
      <c r="L1467" t="n">
        <v>12</v>
      </c>
      <c r="M1467" t="b">
        <v>0</v>
      </c>
      <c r="N1467" t="n">
        <v>0</v>
      </c>
      <c r="O1467" t="b">
        <v>1</v>
      </c>
      <c r="P1467" t="b">
        <v>0</v>
      </c>
      <c r="Q1467" t="b">
        <v>0</v>
      </c>
    </row>
    <row r="1468">
      <c r="A1468" t="inlineStr">
        <is>
          <t>REQ01467</t>
        </is>
      </c>
      <c r="B1468" t="inlineStr">
        <is>
          <t>5493009VMRO2PGIAKZ62</t>
        </is>
      </c>
      <c r="C1468" t="inlineStr">
        <is>
          <t>data_amendment</t>
        </is>
      </c>
      <c r="D1468" s="2" t="n">
        <v>46318.42152777778</v>
      </c>
      <c r="E1468" s="2" t="n">
        <v>46321.37986111111</v>
      </c>
      <c r="F1468" t="inlineStr">
        <is>
          <t>M2</t>
        </is>
      </c>
      <c r="G1468" t="inlineStr">
        <is>
          <t>C3</t>
        </is>
      </c>
      <c r="H1468" s="2" t="n">
        <v>46318.43194444444</v>
      </c>
      <c r="I1468" s="2" t="n">
        <v>46318.4375</v>
      </c>
      <c r="J1468" t="inlineStr">
        <is>
          <t>Completed</t>
        </is>
      </c>
      <c r="K1468" t="n">
        <v>0.38</v>
      </c>
      <c r="L1468" t="n">
        <v>8</v>
      </c>
      <c r="M1468" t="b">
        <v>0</v>
      </c>
      <c r="N1468" t="n">
        <v>0</v>
      </c>
      <c r="O1468" t="b">
        <v>1</v>
      </c>
      <c r="P1468" t="b">
        <v>0</v>
      </c>
      <c r="Q1468" t="b">
        <v>0</v>
      </c>
    </row>
    <row r="1469">
      <c r="A1469" t="inlineStr">
        <is>
          <t>REQ01468</t>
        </is>
      </c>
      <c r="B1469" t="inlineStr">
        <is>
          <t>213800MHGQRMRRHP1V24</t>
        </is>
      </c>
      <c r="C1469" t="inlineStr">
        <is>
          <t>new_account</t>
        </is>
      </c>
      <c r="D1469" s="2" t="n">
        <v>46318.42291666667</v>
      </c>
      <c r="E1469" s="2" t="n">
        <v>46321.71458333333</v>
      </c>
      <c r="F1469" t="inlineStr">
        <is>
          <t>M1</t>
        </is>
      </c>
      <c r="G1469" t="inlineStr">
        <is>
          <t>C2</t>
        </is>
      </c>
      <c r="H1469" s="2" t="n">
        <v>46318.46597222222</v>
      </c>
      <c r="I1469" s="2" t="n">
        <v>46318.47777777778</v>
      </c>
      <c r="J1469" t="inlineStr">
        <is>
          <t>Completed</t>
        </is>
      </c>
      <c r="K1469" t="n">
        <v>1.31</v>
      </c>
      <c r="L1469" t="n">
        <v>16</v>
      </c>
      <c r="M1469" t="b">
        <v>0</v>
      </c>
      <c r="N1469" t="n">
        <v>0</v>
      </c>
      <c r="O1469" t="b">
        <v>1</v>
      </c>
      <c r="P1469" t="b">
        <v>0</v>
      </c>
      <c r="Q1469" t="b">
        <v>0</v>
      </c>
    </row>
    <row r="1470">
      <c r="A1470" t="inlineStr">
        <is>
          <t>REQ01469</t>
        </is>
      </c>
      <c r="B1470" t="inlineStr">
        <is>
          <t>72450052ISH700R68P70</t>
        </is>
      </c>
      <c r="C1470" t="inlineStr">
        <is>
          <t>new_account</t>
        </is>
      </c>
      <c r="D1470" s="2" t="n">
        <v>46318.42430555556</v>
      </c>
      <c r="E1470" s="2" t="n">
        <v>46321.71597222222</v>
      </c>
      <c r="F1470" t="inlineStr">
        <is>
          <t>M2</t>
        </is>
      </c>
      <c r="G1470" t="inlineStr">
        <is>
          <t>C1</t>
        </is>
      </c>
      <c r="H1470" s="2" t="n">
        <v>46318.47013888889</v>
      </c>
      <c r="I1470" s="2" t="n">
        <v>46318.48611111111</v>
      </c>
      <c r="J1470" t="inlineStr">
        <is>
          <t>Completed</t>
        </is>
      </c>
      <c r="K1470" t="n">
        <v>1.49</v>
      </c>
      <c r="L1470" t="n">
        <v>16</v>
      </c>
      <c r="M1470" t="b">
        <v>0</v>
      </c>
      <c r="N1470" t="n">
        <v>0</v>
      </c>
      <c r="O1470" t="b">
        <v>1</v>
      </c>
      <c r="P1470" t="b">
        <v>0</v>
      </c>
      <c r="Q1470" t="b">
        <v>0</v>
      </c>
    </row>
    <row r="1471">
      <c r="A1471" t="inlineStr">
        <is>
          <t>REQ01470</t>
        </is>
      </c>
      <c r="B1471" t="inlineStr">
        <is>
          <t>3912001VGFLBTXJGU845</t>
        </is>
      </c>
      <c r="C1471" t="inlineStr">
        <is>
          <t>new_account</t>
        </is>
      </c>
      <c r="D1471" s="2" t="n">
        <v>46318.42916666667</v>
      </c>
      <c r="E1471" s="2" t="n">
        <v>46321.72083333333</v>
      </c>
      <c r="F1471" t="inlineStr">
        <is>
          <t>M4</t>
        </is>
      </c>
      <c r="G1471" t="inlineStr">
        <is>
          <t>C3</t>
        </is>
      </c>
      <c r="H1471" s="2" t="n">
        <v>46318.46041666667</v>
      </c>
      <c r="I1471" s="2" t="n">
        <v>46318.47152777778</v>
      </c>
      <c r="J1471" t="inlineStr">
        <is>
          <t>Completed</t>
        </is>
      </c>
      <c r="K1471" t="n">
        <v>1.01</v>
      </c>
      <c r="L1471" t="n">
        <v>16</v>
      </c>
      <c r="M1471" t="b">
        <v>0</v>
      </c>
      <c r="N1471" t="n">
        <v>0</v>
      </c>
      <c r="O1471" t="b">
        <v>1</v>
      </c>
      <c r="P1471" t="b">
        <v>0</v>
      </c>
      <c r="Q1471" t="b">
        <v>0</v>
      </c>
    </row>
    <row r="1472">
      <c r="A1472" t="inlineStr">
        <is>
          <t>REQ01471</t>
        </is>
      </c>
      <c r="B1472" t="inlineStr">
        <is>
          <t>549300LFO2ETYPK1HG48</t>
        </is>
      </c>
      <c r="C1472" t="inlineStr">
        <is>
          <t>document_refresh</t>
        </is>
      </c>
      <c r="D1472" s="2" t="n">
        <v>46318.43055555555</v>
      </c>
      <c r="E1472" s="2" t="n">
        <v>46321.55555555555</v>
      </c>
      <c r="F1472" t="inlineStr">
        <is>
          <t>M6</t>
        </is>
      </c>
      <c r="G1472" t="inlineStr">
        <is>
          <t>C2</t>
        </is>
      </c>
      <c r="H1472" s="2" t="n">
        <v>46318.45208333333</v>
      </c>
      <c r="I1472" s="2" t="n">
        <v>46318.6375</v>
      </c>
      <c r="J1472" t="inlineStr">
        <is>
          <t>Completed</t>
        </is>
      </c>
      <c r="K1472" t="n">
        <v>4.97</v>
      </c>
      <c r="L1472" t="n">
        <v>12</v>
      </c>
      <c r="M1472" t="b">
        <v>0</v>
      </c>
      <c r="N1472" t="n">
        <v>0</v>
      </c>
      <c r="O1472" t="b">
        <v>1</v>
      </c>
      <c r="P1472" t="b">
        <v>0</v>
      </c>
      <c r="Q1472" t="b">
        <v>1</v>
      </c>
    </row>
    <row r="1473">
      <c r="A1473" t="inlineStr">
        <is>
          <t>REQ01472</t>
        </is>
      </c>
      <c r="B1473" t="inlineStr">
        <is>
          <t>724500418L5PCYDF3C88</t>
        </is>
      </c>
      <c r="C1473" t="inlineStr">
        <is>
          <t>new_account</t>
        </is>
      </c>
      <c r="D1473" s="2" t="n">
        <v>46318.43194444444</v>
      </c>
      <c r="E1473" s="2" t="n">
        <v>46321.72361111111</v>
      </c>
      <c r="F1473" t="inlineStr">
        <is>
          <t>M3</t>
        </is>
      </c>
      <c r="G1473" t="inlineStr">
        <is>
          <t>C1</t>
        </is>
      </c>
      <c r="H1473" s="2" t="n">
        <v>46318.46597222222</v>
      </c>
      <c r="I1473" s="2" t="n">
        <v>46318.475</v>
      </c>
      <c r="J1473" t="inlineStr">
        <is>
          <t>Completed</t>
        </is>
      </c>
      <c r="K1473" t="n">
        <v>1.04</v>
      </c>
      <c r="L1473" t="n">
        <v>16</v>
      </c>
      <c r="M1473" t="b">
        <v>0</v>
      </c>
      <c r="N1473" t="n">
        <v>0</v>
      </c>
      <c r="O1473" t="b">
        <v>1</v>
      </c>
      <c r="P1473" t="b">
        <v>0</v>
      </c>
      <c r="Q1473" t="b">
        <v>0</v>
      </c>
    </row>
    <row r="1474">
      <c r="A1474" t="inlineStr">
        <is>
          <t>REQ01473</t>
        </is>
      </c>
      <c r="B1474" t="inlineStr">
        <is>
          <t>5493008OJDECTVELSY16</t>
        </is>
      </c>
      <c r="C1474" t="inlineStr">
        <is>
          <t>new_account</t>
        </is>
      </c>
      <c r="D1474" s="2" t="n">
        <v>46318.44652777778</v>
      </c>
      <c r="E1474" s="2" t="n">
        <v>46321.73819444444</v>
      </c>
      <c r="F1474" t="inlineStr">
        <is>
          <t>M5</t>
        </is>
      </c>
      <c r="G1474" t="inlineStr">
        <is>
          <t>C3</t>
        </is>
      </c>
      <c r="H1474" s="2" t="n">
        <v>46318.47986111111</v>
      </c>
      <c r="I1474" s="2" t="n">
        <v>46318.48819444444</v>
      </c>
      <c r="J1474" t="inlineStr">
        <is>
          <t>Completed</t>
        </is>
      </c>
      <c r="K1474" t="n">
        <v>0.99</v>
      </c>
      <c r="L1474" t="n">
        <v>16</v>
      </c>
      <c r="M1474" t="b">
        <v>0</v>
      </c>
      <c r="N1474" t="n">
        <v>0</v>
      </c>
      <c r="O1474" t="b">
        <v>1</v>
      </c>
      <c r="P1474" t="b">
        <v>0</v>
      </c>
      <c r="Q1474" t="b">
        <v>0</v>
      </c>
    </row>
    <row r="1475">
      <c r="A1475" t="inlineStr">
        <is>
          <t>REQ01474</t>
        </is>
      </c>
      <c r="B1475" t="inlineStr">
        <is>
          <t>2549009U0U8ZC2J2B666</t>
        </is>
      </c>
      <c r="C1475" t="inlineStr">
        <is>
          <t>document_refresh</t>
        </is>
      </c>
      <c r="D1475" s="2" t="n">
        <v>46318.44652777778</v>
      </c>
      <c r="E1475" s="2" t="n">
        <v>46321.57152777778</v>
      </c>
      <c r="F1475" t="inlineStr">
        <is>
          <t>M6</t>
        </is>
      </c>
      <c r="G1475" t="inlineStr">
        <is>
          <t>C1</t>
        </is>
      </c>
      <c r="H1475" s="2" t="n">
        <v>46318.46875</v>
      </c>
      <c r="I1475" s="2" t="n">
        <v>46318.60694444444</v>
      </c>
      <c r="J1475" t="inlineStr">
        <is>
          <t>Completed</t>
        </is>
      </c>
      <c r="K1475" t="n">
        <v>3.86</v>
      </c>
      <c r="L1475" t="n">
        <v>12</v>
      </c>
      <c r="M1475" t="b">
        <v>0</v>
      </c>
      <c r="N1475" t="n">
        <v>1</v>
      </c>
      <c r="O1475" t="b">
        <v>0</v>
      </c>
      <c r="P1475" t="b">
        <v>1</v>
      </c>
      <c r="Q1475" t="b">
        <v>1</v>
      </c>
    </row>
    <row r="1476">
      <c r="A1476" t="inlineStr">
        <is>
          <t>REQ01475</t>
        </is>
      </c>
      <c r="B1476" t="inlineStr">
        <is>
          <t>9845006CCWFB8B748743</t>
        </is>
      </c>
      <c r="C1476" t="inlineStr">
        <is>
          <t>signatory_change</t>
        </is>
      </c>
      <c r="D1476" s="2" t="n">
        <v>46318.45694444444</v>
      </c>
      <c r="E1476" s="2" t="n">
        <v>46321.41527777778</v>
      </c>
      <c r="F1476" t="inlineStr">
        <is>
          <t>M4</t>
        </is>
      </c>
      <c r="G1476" t="inlineStr">
        <is>
          <t>C1</t>
        </is>
      </c>
      <c r="H1476" s="2" t="n">
        <v>46318.4875</v>
      </c>
      <c r="I1476" s="2" t="n">
        <v>46318.49444444444</v>
      </c>
      <c r="J1476" t="inlineStr">
        <is>
          <t>Completed</t>
        </is>
      </c>
      <c r="K1476" t="n">
        <v>0.89</v>
      </c>
      <c r="L1476" t="n">
        <v>8</v>
      </c>
      <c r="M1476" t="b">
        <v>0</v>
      </c>
      <c r="N1476" t="n">
        <v>0</v>
      </c>
      <c r="O1476" t="b">
        <v>1</v>
      </c>
      <c r="P1476" t="b">
        <v>0</v>
      </c>
      <c r="Q1476" t="b">
        <v>0</v>
      </c>
    </row>
    <row r="1477">
      <c r="A1477" t="inlineStr">
        <is>
          <t>REQ01476</t>
        </is>
      </c>
      <c r="B1477" t="inlineStr">
        <is>
          <t>335800ABWDRAHI3OGH53</t>
        </is>
      </c>
      <c r="C1477" t="inlineStr">
        <is>
          <t>signatory_change</t>
        </is>
      </c>
      <c r="D1477" s="2" t="n">
        <v>46318.4625</v>
      </c>
      <c r="E1477" s="2" t="n">
        <v>46321.42083333333</v>
      </c>
      <c r="F1477" t="inlineStr">
        <is>
          <t>M3</t>
        </is>
      </c>
      <c r="G1477" t="inlineStr">
        <is>
          <t>C3</t>
        </is>
      </c>
      <c r="H1477" s="2" t="n">
        <v>46318.49097222222</v>
      </c>
      <c r="I1477" s="2" t="n">
        <v>46318.73333333333</v>
      </c>
      <c r="J1477" t="inlineStr">
        <is>
          <t>Completed</t>
        </is>
      </c>
      <c r="K1477" t="n">
        <v>6.5</v>
      </c>
      <c r="L1477" t="n">
        <v>8</v>
      </c>
      <c r="M1477" t="b">
        <v>0</v>
      </c>
      <c r="N1477" t="n">
        <v>0</v>
      </c>
      <c r="O1477" t="b">
        <v>1</v>
      </c>
      <c r="P1477" t="b">
        <v>0</v>
      </c>
      <c r="Q1477" t="b">
        <v>1</v>
      </c>
    </row>
    <row r="1478">
      <c r="A1478" t="inlineStr">
        <is>
          <t>REQ01477</t>
        </is>
      </c>
      <c r="B1478" t="inlineStr">
        <is>
          <t>549300KHBU53S6I8TO43</t>
        </is>
      </c>
      <c r="C1478" t="inlineStr">
        <is>
          <t>data_amendment</t>
        </is>
      </c>
      <c r="D1478" s="2" t="n">
        <v>46318.4625</v>
      </c>
      <c r="E1478" s="2" t="n">
        <v>46321.42083333333</v>
      </c>
      <c r="F1478" t="inlineStr">
        <is>
          <t>M1</t>
        </is>
      </c>
      <c r="G1478" t="inlineStr">
        <is>
          <t>C2</t>
        </is>
      </c>
      <c r="H1478" s="2" t="n">
        <v>46318.47361111111</v>
      </c>
      <c r="I1478" s="2" t="n">
        <v>46318.67152777778</v>
      </c>
      <c r="J1478" t="inlineStr">
        <is>
          <t>Completed</t>
        </is>
      </c>
      <c r="K1478" t="n">
        <v>5.02</v>
      </c>
      <c r="L1478" t="n">
        <v>8</v>
      </c>
      <c r="M1478" t="b">
        <v>0</v>
      </c>
      <c r="N1478" t="n">
        <v>0</v>
      </c>
      <c r="O1478" t="b">
        <v>1</v>
      </c>
      <c r="P1478" t="b">
        <v>0</v>
      </c>
      <c r="Q1478" t="b">
        <v>1</v>
      </c>
    </row>
    <row r="1479">
      <c r="A1479" t="inlineStr">
        <is>
          <t>REQ01478</t>
        </is>
      </c>
      <c r="B1479" t="inlineStr">
        <is>
          <t>969500E0VI32ZLKGJ033</t>
        </is>
      </c>
      <c r="C1479" t="inlineStr">
        <is>
          <t>signatory_change</t>
        </is>
      </c>
      <c r="D1479" s="2" t="n">
        <v>46318.46458333333</v>
      </c>
      <c r="E1479" s="2" t="n">
        <v>46321.42291666667</v>
      </c>
      <c r="F1479" t="inlineStr">
        <is>
          <t>M6</t>
        </is>
      </c>
      <c r="G1479" t="inlineStr">
        <is>
          <t>C3</t>
        </is>
      </c>
      <c r="H1479" s="2" t="n">
        <v>46318.49513888889</v>
      </c>
      <c r="I1479" s="2" t="n">
        <v>46318.50347222222</v>
      </c>
      <c r="J1479" t="inlineStr">
        <is>
          <t>Completed</t>
        </is>
      </c>
      <c r="K1479" t="n">
        <v>0.9399999999999999</v>
      </c>
      <c r="L1479" t="n">
        <v>8</v>
      </c>
      <c r="M1479" t="b">
        <v>0</v>
      </c>
      <c r="N1479" t="n">
        <v>0</v>
      </c>
      <c r="O1479" t="b">
        <v>1</v>
      </c>
      <c r="P1479" t="b">
        <v>0</v>
      </c>
      <c r="Q1479" t="b">
        <v>0</v>
      </c>
    </row>
    <row r="1480">
      <c r="A1480" t="inlineStr">
        <is>
          <t>REQ01479</t>
        </is>
      </c>
      <c r="B1480" t="inlineStr">
        <is>
          <t>335800R7IFU2FA7UMP52</t>
        </is>
      </c>
      <c r="C1480" t="inlineStr">
        <is>
          <t>data_amendment</t>
        </is>
      </c>
      <c r="D1480" s="2" t="n">
        <v>46318.46805555555</v>
      </c>
      <c r="E1480" s="2" t="n">
        <v>46321.42638888889</v>
      </c>
      <c r="F1480" t="inlineStr">
        <is>
          <t>M2</t>
        </is>
      </c>
      <c r="G1480" t="inlineStr">
        <is>
          <t>C2</t>
        </is>
      </c>
      <c r="H1480" s="2" t="n">
        <v>46318.48125</v>
      </c>
      <c r="I1480" s="2" t="n">
        <v>46318.48611111111</v>
      </c>
      <c r="J1480" t="inlineStr">
        <is>
          <t>Completed</t>
        </is>
      </c>
      <c r="K1480" t="n">
        <v>0.44</v>
      </c>
      <c r="L1480" t="n">
        <v>8</v>
      </c>
      <c r="M1480" t="b">
        <v>0</v>
      </c>
      <c r="N1480" t="n">
        <v>0</v>
      </c>
      <c r="O1480" t="b">
        <v>1</v>
      </c>
      <c r="P1480" t="b">
        <v>0</v>
      </c>
      <c r="Q1480" t="b">
        <v>0</v>
      </c>
    </row>
    <row r="1481">
      <c r="A1481" t="inlineStr">
        <is>
          <t>REQ01480</t>
        </is>
      </c>
      <c r="B1481" t="inlineStr">
        <is>
          <t>894500TRNA877JKOZZ62</t>
        </is>
      </c>
      <c r="C1481" t="inlineStr">
        <is>
          <t>signatory_change</t>
        </is>
      </c>
      <c r="D1481" s="2" t="n">
        <v>46318.47083333333</v>
      </c>
      <c r="E1481" s="2" t="n">
        <v>46321.42916666667</v>
      </c>
      <c r="F1481" t="inlineStr">
        <is>
          <t>M1</t>
        </is>
      </c>
      <c r="G1481" t="inlineStr">
        <is>
          <t>C1</t>
        </is>
      </c>
      <c r="H1481" s="2" t="n">
        <v>46318.49652777778</v>
      </c>
      <c r="I1481" s="2" t="n">
        <v>46318.50486111111</v>
      </c>
      <c r="J1481" t="inlineStr">
        <is>
          <t>Completed</t>
        </is>
      </c>
      <c r="K1481" t="n">
        <v>0.82</v>
      </c>
      <c r="L1481" t="n">
        <v>8</v>
      </c>
      <c r="M1481" t="b">
        <v>0</v>
      </c>
      <c r="N1481" t="n">
        <v>0</v>
      </c>
      <c r="O1481" t="b">
        <v>1</v>
      </c>
      <c r="P1481" t="b">
        <v>0</v>
      </c>
      <c r="Q1481" t="b">
        <v>0</v>
      </c>
    </row>
    <row r="1482">
      <c r="A1482" t="inlineStr">
        <is>
          <t>REQ01481</t>
        </is>
      </c>
      <c r="B1482" t="inlineStr">
        <is>
          <t>213800CF9PHMU6C3DW57</t>
        </is>
      </c>
      <c r="C1482" t="inlineStr">
        <is>
          <t>signatory_change</t>
        </is>
      </c>
      <c r="D1482" s="2" t="n">
        <v>46318.47152777778</v>
      </c>
      <c r="E1482" s="2" t="n">
        <v>46321.42986111111</v>
      </c>
      <c r="F1482" t="inlineStr">
        <is>
          <t>M5</t>
        </is>
      </c>
      <c r="G1482" t="inlineStr">
        <is>
          <t>C2</t>
        </is>
      </c>
      <c r="H1482" s="2" t="n">
        <v>46318.49444444444</v>
      </c>
      <c r="I1482" s="2" t="n">
        <v>46318.61944444444</v>
      </c>
      <c r="J1482" t="inlineStr">
        <is>
          <t>Completed</t>
        </is>
      </c>
      <c r="K1482" t="n">
        <v>3.54</v>
      </c>
      <c r="L1482" t="n">
        <v>8</v>
      </c>
      <c r="M1482" t="b">
        <v>0</v>
      </c>
      <c r="N1482" t="n">
        <v>0</v>
      </c>
      <c r="O1482" t="b">
        <v>1</v>
      </c>
      <c r="P1482" t="b">
        <v>0</v>
      </c>
      <c r="Q1482" t="b">
        <v>1</v>
      </c>
    </row>
    <row r="1483">
      <c r="A1483" t="inlineStr">
        <is>
          <t>REQ01482</t>
        </is>
      </c>
      <c r="B1483" t="inlineStr">
        <is>
          <t>529900BCNV31O32V4L81</t>
        </is>
      </c>
      <c r="C1483" t="inlineStr">
        <is>
          <t>document_refresh</t>
        </is>
      </c>
      <c r="D1483" s="2" t="n">
        <v>46318.48402777778</v>
      </c>
      <c r="E1483" s="2" t="n">
        <v>46321.60902777778</v>
      </c>
      <c r="F1483" t="inlineStr">
        <is>
          <t>M2</t>
        </is>
      </c>
      <c r="G1483" t="inlineStr">
        <is>
          <t>C2</t>
        </is>
      </c>
      <c r="H1483" s="2" t="n">
        <v>46318.50138888889</v>
      </c>
      <c r="I1483" s="2" t="n">
        <v>46318.74722222222</v>
      </c>
      <c r="J1483" t="inlineStr">
        <is>
          <t>Completed</t>
        </is>
      </c>
      <c r="K1483" t="n">
        <v>6.32</v>
      </c>
      <c r="L1483" t="n">
        <v>12</v>
      </c>
      <c r="M1483" t="b">
        <v>0</v>
      </c>
      <c r="N1483" t="n">
        <v>0</v>
      </c>
      <c r="O1483" t="b">
        <v>1</v>
      </c>
      <c r="P1483" t="b">
        <v>0</v>
      </c>
      <c r="Q1483" t="b">
        <v>1</v>
      </c>
    </row>
    <row r="1484">
      <c r="A1484" t="inlineStr">
        <is>
          <t>REQ01483</t>
        </is>
      </c>
      <c r="B1484" t="inlineStr">
        <is>
          <t>969500F2U5KO6P66ZA75</t>
        </is>
      </c>
      <c r="C1484" t="inlineStr">
        <is>
          <t>document_refresh</t>
        </is>
      </c>
      <c r="D1484" s="2" t="n">
        <v>46318.4875</v>
      </c>
      <c r="E1484" s="2" t="n">
        <v>46321.6125</v>
      </c>
      <c r="F1484" t="inlineStr">
        <is>
          <t>M4</t>
        </is>
      </c>
      <c r="G1484" t="inlineStr">
        <is>
          <t>C3</t>
        </is>
      </c>
      <c r="H1484" s="2" t="n">
        <v>46318.50277777778</v>
      </c>
      <c r="I1484" s="2" t="n">
        <v>46318.50972222222</v>
      </c>
      <c r="J1484" t="inlineStr">
        <is>
          <t>Completed</t>
        </is>
      </c>
      <c r="K1484" t="n">
        <v>0.53</v>
      </c>
      <c r="L1484" t="n">
        <v>12</v>
      </c>
      <c r="M1484" t="b">
        <v>0</v>
      </c>
      <c r="N1484" t="n">
        <v>0</v>
      </c>
      <c r="O1484" t="b">
        <v>1</v>
      </c>
      <c r="P1484" t="b">
        <v>0</v>
      </c>
      <c r="Q1484" t="b">
        <v>0</v>
      </c>
    </row>
    <row r="1485">
      <c r="A1485" t="inlineStr">
        <is>
          <t>REQ01484</t>
        </is>
      </c>
      <c r="B1485" t="inlineStr">
        <is>
          <t>213800G39YSGQ8763J89</t>
        </is>
      </c>
      <c r="C1485" t="inlineStr">
        <is>
          <t>data_amendment</t>
        </is>
      </c>
      <c r="D1485" s="2" t="n">
        <v>46318.48958333334</v>
      </c>
      <c r="E1485" s="2" t="n">
        <v>46321.44791666666</v>
      </c>
      <c r="F1485" t="inlineStr">
        <is>
          <t>M3</t>
        </is>
      </c>
      <c r="G1485" t="inlineStr">
        <is>
          <t>C3</t>
        </is>
      </c>
      <c r="H1485" s="2" t="n">
        <v>46318.50277777778</v>
      </c>
      <c r="I1485" s="2" t="n">
        <v>46318.66736111111</v>
      </c>
      <c r="J1485" t="inlineStr">
        <is>
          <t>Completed</t>
        </is>
      </c>
      <c r="K1485" t="n">
        <v>4.27</v>
      </c>
      <c r="L1485" t="n">
        <v>8</v>
      </c>
      <c r="M1485" t="b">
        <v>0</v>
      </c>
      <c r="N1485" t="n">
        <v>0</v>
      </c>
      <c r="O1485" t="b">
        <v>1</v>
      </c>
      <c r="P1485" t="b">
        <v>0</v>
      </c>
      <c r="Q1485" t="b">
        <v>1</v>
      </c>
    </row>
    <row r="1486">
      <c r="A1486" t="inlineStr">
        <is>
          <t>REQ01485</t>
        </is>
      </c>
      <c r="B1486" t="inlineStr">
        <is>
          <t>391200DR1QPL7GTEZ145</t>
        </is>
      </c>
      <c r="C1486" t="inlineStr">
        <is>
          <t>document_refresh</t>
        </is>
      </c>
      <c r="D1486" s="2" t="n">
        <v>46318.49166666667</v>
      </c>
      <c r="E1486" s="2" t="n">
        <v>46321.61666666667</v>
      </c>
      <c r="F1486" t="inlineStr">
        <is>
          <t>M5</t>
        </is>
      </c>
      <c r="G1486" t="inlineStr">
        <is>
          <t>C3</t>
        </is>
      </c>
      <c r="H1486" s="2" t="n">
        <v>46318.50902777778</v>
      </c>
      <c r="I1486" s="2" t="n">
        <v>46318.51388888889</v>
      </c>
      <c r="J1486" t="inlineStr">
        <is>
          <t>Completed</t>
        </is>
      </c>
      <c r="K1486" t="n">
        <v>0.54</v>
      </c>
      <c r="L1486" t="n">
        <v>12</v>
      </c>
      <c r="M1486" t="b">
        <v>0</v>
      </c>
      <c r="N1486" t="n">
        <v>0</v>
      </c>
      <c r="O1486" t="b">
        <v>1</v>
      </c>
      <c r="P1486" t="b">
        <v>0</v>
      </c>
      <c r="Q1486" t="b">
        <v>0</v>
      </c>
    </row>
    <row r="1487">
      <c r="A1487" t="inlineStr">
        <is>
          <t>REQ01486</t>
        </is>
      </c>
      <c r="B1487" t="inlineStr">
        <is>
          <t>335800P48LLFQYW8K106</t>
        </is>
      </c>
      <c r="C1487" t="inlineStr">
        <is>
          <t>new_account</t>
        </is>
      </c>
      <c r="D1487" s="2" t="n">
        <v>46318.49722222222</v>
      </c>
      <c r="E1487" s="2" t="n">
        <v>46322.41388888889</v>
      </c>
      <c r="F1487" t="inlineStr">
        <is>
          <t>M6</t>
        </is>
      </c>
      <c r="G1487" t="inlineStr">
        <is>
          <t>C1</t>
        </is>
      </c>
      <c r="H1487" s="2" t="n">
        <v>46318.52986111111</v>
      </c>
      <c r="I1487" s="2" t="n">
        <v>46318.54236111111</v>
      </c>
      <c r="J1487" t="inlineStr">
        <is>
          <t>Completed</t>
        </is>
      </c>
      <c r="K1487" t="n">
        <v>1.08</v>
      </c>
      <c r="L1487" t="n">
        <v>16</v>
      </c>
      <c r="M1487" t="b">
        <v>0</v>
      </c>
      <c r="N1487" t="n">
        <v>0</v>
      </c>
      <c r="O1487" t="b">
        <v>1</v>
      </c>
      <c r="P1487" t="b">
        <v>0</v>
      </c>
      <c r="Q1487" t="b">
        <v>0</v>
      </c>
    </row>
    <row r="1488">
      <c r="A1488" t="inlineStr">
        <is>
          <t>REQ01487</t>
        </is>
      </c>
      <c r="B1488" t="inlineStr">
        <is>
          <t>7245008GZRBY7WFRB890</t>
        </is>
      </c>
      <c r="C1488" t="inlineStr">
        <is>
          <t>data_amendment</t>
        </is>
      </c>
      <c r="D1488" s="2" t="n">
        <v>46318.50347222222</v>
      </c>
      <c r="E1488" s="2" t="n">
        <v>46321.46180555555</v>
      </c>
      <c r="F1488" t="inlineStr">
        <is>
          <t>M1</t>
        </is>
      </c>
      <c r="G1488" t="inlineStr">
        <is>
          <t>C3</t>
        </is>
      </c>
      <c r="H1488" s="2" t="n">
        <v>46318.51666666667</v>
      </c>
      <c r="I1488" s="2" t="n">
        <v>46318.71111111111</v>
      </c>
      <c r="J1488" t="inlineStr">
        <is>
          <t>Completed</t>
        </is>
      </c>
      <c r="K1488" t="n">
        <v>4.99</v>
      </c>
      <c r="L1488" t="n">
        <v>8</v>
      </c>
      <c r="M1488" t="b">
        <v>0</v>
      </c>
      <c r="N1488" t="n">
        <v>0</v>
      </c>
      <c r="O1488" t="b">
        <v>1</v>
      </c>
      <c r="P1488" t="b">
        <v>0</v>
      </c>
      <c r="Q1488" t="b">
        <v>1</v>
      </c>
    </row>
    <row r="1489">
      <c r="A1489" t="inlineStr">
        <is>
          <t>REQ01488</t>
        </is>
      </c>
      <c r="B1489" t="inlineStr">
        <is>
          <t>969500D4KVQTWVVHLZ67</t>
        </is>
      </c>
      <c r="C1489" t="inlineStr">
        <is>
          <t>new_account</t>
        </is>
      </c>
      <c r="D1489" s="2" t="n">
        <v>46318.50486111111</v>
      </c>
      <c r="E1489" s="2" t="n">
        <v>46322.42152777778</v>
      </c>
      <c r="F1489" t="inlineStr">
        <is>
          <t>M2</t>
        </is>
      </c>
      <c r="G1489" t="inlineStr">
        <is>
          <t>C2</t>
        </is>
      </c>
      <c r="H1489" s="2" t="n">
        <v>46318.53055555555</v>
      </c>
      <c r="I1489" s="2" t="n">
        <v>46318.72708333333</v>
      </c>
      <c r="J1489" t="inlineStr">
        <is>
          <t>Completed</t>
        </is>
      </c>
      <c r="K1489" t="n">
        <v>5.33</v>
      </c>
      <c r="L1489" t="n">
        <v>16</v>
      </c>
      <c r="M1489" t="b">
        <v>0</v>
      </c>
      <c r="N1489" t="n">
        <v>0</v>
      </c>
      <c r="O1489" t="b">
        <v>1</v>
      </c>
      <c r="P1489" t="b">
        <v>0</v>
      </c>
      <c r="Q1489" t="b">
        <v>1</v>
      </c>
    </row>
    <row r="1490">
      <c r="A1490" t="inlineStr">
        <is>
          <t>REQ01489</t>
        </is>
      </c>
      <c r="B1490" t="inlineStr">
        <is>
          <t>724500EMD2YBF4FYQU12</t>
        </is>
      </c>
      <c r="C1490" t="inlineStr">
        <is>
          <t>new_account</t>
        </is>
      </c>
      <c r="D1490" s="2" t="n">
        <v>46318.50694444445</v>
      </c>
      <c r="E1490" s="2" t="n">
        <v>46322.42361111111</v>
      </c>
      <c r="F1490" t="inlineStr">
        <is>
          <t>M4</t>
        </is>
      </c>
      <c r="G1490" t="inlineStr">
        <is>
          <t>C2</t>
        </is>
      </c>
      <c r="H1490" s="2" t="n">
        <v>46318.53680555556</v>
      </c>
      <c r="I1490" s="2" t="n">
        <v>46321.38819444444</v>
      </c>
      <c r="J1490" t="inlineStr">
        <is>
          <t>Completed</t>
        </is>
      </c>
      <c r="K1490" t="n">
        <v>6.16</v>
      </c>
      <c r="L1490" t="n">
        <v>16</v>
      </c>
      <c r="M1490" t="b">
        <v>0</v>
      </c>
      <c r="N1490" t="n">
        <v>1</v>
      </c>
      <c r="O1490" t="b">
        <v>0</v>
      </c>
      <c r="P1490" t="b">
        <v>1</v>
      </c>
      <c r="Q1490" t="b">
        <v>1</v>
      </c>
    </row>
    <row r="1491">
      <c r="A1491" t="inlineStr">
        <is>
          <t>REQ01490</t>
        </is>
      </c>
      <c r="B1491" t="inlineStr">
        <is>
          <t>969500VOJ9IOTPM2XO66</t>
        </is>
      </c>
      <c r="C1491" t="inlineStr">
        <is>
          <t>signatory_change</t>
        </is>
      </c>
      <c r="D1491" s="2" t="n">
        <v>46318.51041666666</v>
      </c>
      <c r="E1491" s="2" t="n">
        <v>46321.46875</v>
      </c>
      <c r="F1491" t="inlineStr">
        <is>
          <t>M3</t>
        </is>
      </c>
      <c r="G1491" t="inlineStr">
        <is>
          <t>C3</t>
        </is>
      </c>
      <c r="H1491" s="2" t="n">
        <v>46318.52847222222</v>
      </c>
      <c r="I1491" s="2" t="n">
        <v>46318.71875</v>
      </c>
      <c r="J1491" t="inlineStr">
        <is>
          <t>Completed</t>
        </is>
      </c>
      <c r="K1491" t="n">
        <v>5.01</v>
      </c>
      <c r="L1491" t="n">
        <v>8</v>
      </c>
      <c r="M1491" t="b">
        <v>0</v>
      </c>
      <c r="N1491" t="n">
        <v>0</v>
      </c>
      <c r="O1491" t="b">
        <v>1</v>
      </c>
      <c r="P1491" t="b">
        <v>0</v>
      </c>
      <c r="Q1491" t="b">
        <v>1</v>
      </c>
    </row>
    <row r="1492">
      <c r="A1492" t="inlineStr">
        <is>
          <t>REQ01491</t>
        </is>
      </c>
      <c r="B1492" t="inlineStr">
        <is>
          <t>335800KD6R6N35TPTS21</t>
        </is>
      </c>
      <c r="C1492" t="inlineStr">
        <is>
          <t>signatory_change</t>
        </is>
      </c>
      <c r="D1492" s="2" t="n">
        <v>46318.51458333333</v>
      </c>
      <c r="E1492" s="2" t="n">
        <v>46321.47291666667</v>
      </c>
      <c r="F1492" t="inlineStr">
        <is>
          <t>M5</t>
        </is>
      </c>
      <c r="G1492" t="inlineStr">
        <is>
          <t>C2</t>
        </is>
      </c>
      <c r="H1492" s="2" t="n">
        <v>46318.53333333333</v>
      </c>
      <c r="I1492" s="2" t="n">
        <v>46318.54166666666</v>
      </c>
      <c r="J1492" t="inlineStr">
        <is>
          <t>Completed</t>
        </is>
      </c>
      <c r="K1492" t="n">
        <v>0.65</v>
      </c>
      <c r="L1492" t="n">
        <v>8</v>
      </c>
      <c r="M1492" t="b">
        <v>0</v>
      </c>
      <c r="N1492" t="n">
        <v>0</v>
      </c>
      <c r="O1492" t="b">
        <v>1</v>
      </c>
      <c r="P1492" t="b">
        <v>0</v>
      </c>
      <c r="Q1492" t="b">
        <v>0</v>
      </c>
    </row>
    <row r="1493">
      <c r="A1493" t="inlineStr">
        <is>
          <t>REQ01492</t>
        </is>
      </c>
      <c r="B1493" t="inlineStr">
        <is>
          <t>335800NQE7HUNI1XE907</t>
        </is>
      </c>
      <c r="C1493" t="inlineStr">
        <is>
          <t>document_refresh</t>
        </is>
      </c>
      <c r="D1493" s="2" t="n">
        <v>46318.52916666667</v>
      </c>
      <c r="E1493" s="2" t="n">
        <v>46321.65416666667</v>
      </c>
      <c r="F1493" t="inlineStr">
        <is>
          <t>M1</t>
        </is>
      </c>
      <c r="G1493" t="inlineStr">
        <is>
          <t>C1</t>
        </is>
      </c>
      <c r="H1493" s="2" t="n">
        <v>46318.54583333333</v>
      </c>
      <c r="I1493" s="2" t="n">
        <v>46318.56527777778</v>
      </c>
      <c r="J1493" t="inlineStr">
        <is>
          <t>Completed</t>
        </is>
      </c>
      <c r="K1493" t="n">
        <v>0.87</v>
      </c>
      <c r="L1493" t="n">
        <v>12</v>
      </c>
      <c r="M1493" t="b">
        <v>0</v>
      </c>
      <c r="N1493" t="n">
        <v>1</v>
      </c>
      <c r="O1493" t="b">
        <v>0</v>
      </c>
      <c r="P1493" t="b">
        <v>1</v>
      </c>
      <c r="Q1493" t="b">
        <v>0</v>
      </c>
    </row>
    <row r="1494">
      <c r="A1494" t="inlineStr">
        <is>
          <t>REQ01493</t>
        </is>
      </c>
      <c r="B1494" t="inlineStr">
        <is>
          <t>969500QXUHVIF2K4I881</t>
        </is>
      </c>
      <c r="C1494" t="inlineStr">
        <is>
          <t>new_account</t>
        </is>
      </c>
      <c r="D1494" s="2" t="n">
        <v>46318.53055555555</v>
      </c>
      <c r="E1494" s="2" t="n">
        <v>46322.44722222222</v>
      </c>
      <c r="F1494" t="inlineStr">
        <is>
          <t>M3</t>
        </is>
      </c>
      <c r="G1494" t="inlineStr">
        <is>
          <t>C3</t>
        </is>
      </c>
      <c r="H1494" s="2" t="n">
        <v>46318.56041666667</v>
      </c>
      <c r="I1494" s="2" t="n">
        <v>46321.44097222222</v>
      </c>
      <c r="J1494" t="inlineStr">
        <is>
          <t>Completed</t>
        </is>
      </c>
      <c r="K1494" t="n">
        <v>6.84</v>
      </c>
      <c r="L1494" t="n">
        <v>16</v>
      </c>
      <c r="M1494" t="b">
        <v>0</v>
      </c>
      <c r="N1494" t="n">
        <v>0</v>
      </c>
      <c r="O1494" t="b">
        <v>1</v>
      </c>
      <c r="P1494" t="b">
        <v>0</v>
      </c>
      <c r="Q1494" t="b">
        <v>1</v>
      </c>
    </row>
    <row r="1495">
      <c r="A1495" t="inlineStr">
        <is>
          <t>REQ01494</t>
        </is>
      </c>
      <c r="B1495" t="inlineStr">
        <is>
          <t>335800Z5ZJ5HFDCBLX75</t>
        </is>
      </c>
      <c r="C1495" t="inlineStr">
        <is>
          <t>data_amendment</t>
        </is>
      </c>
      <c r="D1495" s="2" t="n">
        <v>46318.53263888889</v>
      </c>
      <c r="E1495" s="2" t="n">
        <v>46321.49097222222</v>
      </c>
      <c r="F1495" t="inlineStr">
        <is>
          <t>M6</t>
        </is>
      </c>
      <c r="G1495" t="inlineStr">
        <is>
          <t>C2</t>
        </is>
      </c>
      <c r="H1495" s="2" t="n">
        <v>46318.54166666666</v>
      </c>
      <c r="I1495" s="2" t="n">
        <v>46318.69652777778</v>
      </c>
      <c r="J1495" t="inlineStr">
        <is>
          <t>Completed</t>
        </is>
      </c>
      <c r="K1495" t="n">
        <v>3.93</v>
      </c>
      <c r="L1495" t="n">
        <v>8</v>
      </c>
      <c r="M1495" t="b">
        <v>0</v>
      </c>
      <c r="N1495" t="n">
        <v>0</v>
      </c>
      <c r="O1495" t="b">
        <v>1</v>
      </c>
      <c r="P1495" t="b">
        <v>0</v>
      </c>
      <c r="Q1495" t="b">
        <v>1</v>
      </c>
    </row>
    <row r="1496">
      <c r="A1496" t="inlineStr">
        <is>
          <t>REQ01495</t>
        </is>
      </c>
      <c r="B1496" t="inlineStr">
        <is>
          <t>335800LEK4S2YFYHRL49</t>
        </is>
      </c>
      <c r="C1496" t="inlineStr">
        <is>
          <t>data_amendment</t>
        </is>
      </c>
      <c r="D1496" s="2" t="n">
        <v>46318.53333333333</v>
      </c>
      <c r="E1496" s="2" t="n">
        <v>46321.49166666667</v>
      </c>
      <c r="F1496" t="inlineStr">
        <is>
          <t>M2</t>
        </is>
      </c>
      <c r="G1496" t="inlineStr">
        <is>
          <t>C2</t>
        </is>
      </c>
      <c r="H1496" s="2" t="n">
        <v>46318.54236111111</v>
      </c>
      <c r="I1496" s="2" t="n">
        <v>46318.54513888889</v>
      </c>
      <c r="J1496" t="inlineStr">
        <is>
          <t>Completed</t>
        </is>
      </c>
      <c r="K1496" t="n">
        <v>0.29</v>
      </c>
      <c r="L1496" t="n">
        <v>8</v>
      </c>
      <c r="M1496" t="b">
        <v>0</v>
      </c>
      <c r="N1496" t="n">
        <v>0</v>
      </c>
      <c r="O1496" t="b">
        <v>1</v>
      </c>
      <c r="P1496" t="b">
        <v>0</v>
      </c>
      <c r="Q1496" t="b">
        <v>0</v>
      </c>
    </row>
    <row r="1497">
      <c r="A1497" t="inlineStr">
        <is>
          <t>REQ01496</t>
        </is>
      </c>
      <c r="B1497" t="inlineStr">
        <is>
          <t>335800K8BC54T42HAH19</t>
        </is>
      </c>
      <c r="C1497" t="inlineStr">
        <is>
          <t>new_account</t>
        </is>
      </c>
      <c r="D1497" s="2" t="n">
        <v>46318.53472222222</v>
      </c>
      <c r="E1497" s="2" t="n">
        <v>46322.45138888889</v>
      </c>
      <c r="F1497" t="inlineStr">
        <is>
          <t>M5</t>
        </is>
      </c>
      <c r="G1497" t="inlineStr">
        <is>
          <t>C3</t>
        </is>
      </c>
      <c r="H1497" s="2" t="n">
        <v>46318.56805555556</v>
      </c>
      <c r="I1497" s="2" t="n">
        <v>46318.57638888889</v>
      </c>
      <c r="J1497" t="inlineStr">
        <is>
          <t>Completed</t>
        </is>
      </c>
      <c r="K1497" t="n">
        <v>1</v>
      </c>
      <c r="L1497" t="n">
        <v>16</v>
      </c>
      <c r="M1497" t="b">
        <v>0</v>
      </c>
      <c r="N1497" t="n">
        <v>0</v>
      </c>
      <c r="O1497" t="b">
        <v>1</v>
      </c>
      <c r="P1497" t="b">
        <v>0</v>
      </c>
      <c r="Q1497" t="b">
        <v>0</v>
      </c>
    </row>
    <row r="1498">
      <c r="A1498" t="inlineStr">
        <is>
          <t>REQ01497</t>
        </is>
      </c>
      <c r="B1498" t="inlineStr">
        <is>
          <t>9695007LTUSAUC9RQK33</t>
        </is>
      </c>
      <c r="C1498" t="inlineStr">
        <is>
          <t>new_account</t>
        </is>
      </c>
      <c r="D1498" s="2" t="n">
        <v>46318.54375</v>
      </c>
      <c r="E1498" s="2" t="n">
        <v>46322.46041666667</v>
      </c>
      <c r="F1498" t="inlineStr">
        <is>
          <t>M4</t>
        </is>
      </c>
      <c r="G1498" t="inlineStr">
        <is>
          <t>C3</t>
        </is>
      </c>
      <c r="H1498" s="2" t="n">
        <v>46318.58263888889</v>
      </c>
      <c r="I1498" s="2" t="n">
        <v>46321.48402777778</v>
      </c>
      <c r="J1498" t="inlineStr">
        <is>
          <t>Completed</t>
        </is>
      </c>
      <c r="K1498" t="n">
        <v>7.57</v>
      </c>
      <c r="L1498" t="n">
        <v>16</v>
      </c>
      <c r="M1498" t="b">
        <v>0</v>
      </c>
      <c r="N1498" t="n">
        <v>1</v>
      </c>
      <c r="O1498" t="b">
        <v>0</v>
      </c>
      <c r="P1498" t="b">
        <v>1</v>
      </c>
      <c r="Q1498" t="b">
        <v>1</v>
      </c>
    </row>
    <row r="1499">
      <c r="A1499" t="inlineStr">
        <is>
          <t>REQ01498</t>
        </is>
      </c>
      <c r="B1499" t="inlineStr">
        <is>
          <t>9695009XDJHY3THVT607</t>
        </is>
      </c>
      <c r="C1499" t="inlineStr">
        <is>
          <t>new_account</t>
        </is>
      </c>
      <c r="D1499" s="2" t="n">
        <v>46318.54722222222</v>
      </c>
      <c r="E1499" s="2" t="n">
        <v>46322.46388888889</v>
      </c>
      <c r="F1499" t="inlineStr">
        <is>
          <t>M6</t>
        </is>
      </c>
      <c r="G1499" t="inlineStr">
        <is>
          <t>C1</t>
        </is>
      </c>
      <c r="H1499" s="2" t="n">
        <v>46318.57916666667</v>
      </c>
      <c r="I1499" s="2" t="n">
        <v>46318.69791666666</v>
      </c>
      <c r="J1499" t="inlineStr">
        <is>
          <t>Completed</t>
        </is>
      </c>
      <c r="K1499" t="n">
        <v>3.61</v>
      </c>
      <c r="L1499" t="n">
        <v>16</v>
      </c>
      <c r="M1499" t="b">
        <v>0</v>
      </c>
      <c r="N1499" t="n">
        <v>0</v>
      </c>
      <c r="O1499" t="b">
        <v>1</v>
      </c>
      <c r="P1499" t="b">
        <v>0</v>
      </c>
      <c r="Q1499" t="b">
        <v>1</v>
      </c>
    </row>
    <row r="1500">
      <c r="A1500" t="inlineStr">
        <is>
          <t>REQ01499</t>
        </is>
      </c>
      <c r="B1500" t="inlineStr">
        <is>
          <t>894500OXNNQNUKP3M777</t>
        </is>
      </c>
      <c r="C1500" t="inlineStr">
        <is>
          <t>signatory_change</t>
        </is>
      </c>
      <c r="D1500" s="2" t="n">
        <v>46318.54930555556</v>
      </c>
      <c r="E1500" s="2" t="n">
        <v>46321.50763888889</v>
      </c>
      <c r="F1500" t="inlineStr">
        <is>
          <t>M2</t>
        </is>
      </c>
      <c r="G1500" t="inlineStr">
        <is>
          <t>C1</t>
        </is>
      </c>
      <c r="H1500" s="2" t="n">
        <v>46318.57361111111</v>
      </c>
      <c r="I1500" s="2" t="n">
        <v>46321.44305555556</v>
      </c>
      <c r="J1500" t="inlineStr">
        <is>
          <t>Completed</t>
        </is>
      </c>
      <c r="K1500" t="n">
        <v>6.46</v>
      </c>
      <c r="L1500" t="n">
        <v>8</v>
      </c>
      <c r="M1500" t="b">
        <v>0</v>
      </c>
      <c r="N1500" t="n">
        <v>0</v>
      </c>
      <c r="O1500" t="b">
        <v>1</v>
      </c>
      <c r="P1500" t="b">
        <v>0</v>
      </c>
      <c r="Q1500" t="b">
        <v>1</v>
      </c>
    </row>
    <row r="1501">
      <c r="A1501" t="inlineStr">
        <is>
          <t>REQ01500</t>
        </is>
      </c>
      <c r="B1501" t="inlineStr">
        <is>
          <t>5493005QH90Q6U74Y595</t>
        </is>
      </c>
      <c r="C1501" t="inlineStr">
        <is>
          <t>data_amendment</t>
        </is>
      </c>
      <c r="D1501" s="2" t="n">
        <v>46318.54930555556</v>
      </c>
      <c r="E1501" s="2" t="n">
        <v>46321.50763888889</v>
      </c>
      <c r="F1501" t="inlineStr">
        <is>
          <t>M1</t>
        </is>
      </c>
      <c r="G1501" t="inlineStr">
        <is>
          <t>C1</t>
        </is>
      </c>
      <c r="H1501" s="2" t="n">
        <v>46318.55833333333</v>
      </c>
      <c r="I1501" s="2" t="n">
        <v>46318.66805555556</v>
      </c>
      <c r="J1501" t="inlineStr">
        <is>
          <t>Completed</t>
        </is>
      </c>
      <c r="K1501" t="n">
        <v>2.86</v>
      </c>
      <c r="L1501" t="n">
        <v>8</v>
      </c>
      <c r="M1501" t="b">
        <v>0</v>
      </c>
      <c r="N1501" t="n">
        <v>0</v>
      </c>
      <c r="O1501" t="b">
        <v>1</v>
      </c>
      <c r="P1501" t="b">
        <v>0</v>
      </c>
      <c r="Q1501" t="b">
        <v>1</v>
      </c>
    </row>
    <row r="1502">
      <c r="A1502" t="inlineStr">
        <is>
          <t>REQ01501</t>
        </is>
      </c>
      <c r="B1502" t="inlineStr">
        <is>
          <t>5493008WYDA1BLWN6S32</t>
        </is>
      </c>
      <c r="C1502" t="inlineStr">
        <is>
          <t>signatory_change</t>
        </is>
      </c>
      <c r="D1502" s="2" t="n">
        <v>46318.55555555555</v>
      </c>
      <c r="E1502" s="2" t="n">
        <v>46321.51388888889</v>
      </c>
      <c r="F1502" t="inlineStr">
        <is>
          <t>M1</t>
        </is>
      </c>
      <c r="G1502" t="inlineStr">
        <is>
          <t>C1</t>
        </is>
      </c>
      <c r="H1502" s="2" t="n">
        <v>46318.57777777778</v>
      </c>
      <c r="I1502" s="2" t="n">
        <v>46318.58541666667</v>
      </c>
      <c r="J1502" t="inlineStr">
        <is>
          <t>Completed</t>
        </is>
      </c>
      <c r="K1502" t="n">
        <v>0.71</v>
      </c>
      <c r="L1502" t="n">
        <v>8</v>
      </c>
      <c r="M1502" t="b">
        <v>0</v>
      </c>
      <c r="N1502" t="n">
        <v>0</v>
      </c>
      <c r="O1502" t="b">
        <v>1</v>
      </c>
      <c r="P1502" t="b">
        <v>0</v>
      </c>
      <c r="Q1502" t="b">
        <v>0</v>
      </c>
    </row>
    <row r="1503">
      <c r="A1503" t="inlineStr">
        <is>
          <t>REQ01502</t>
        </is>
      </c>
      <c r="B1503" t="inlineStr">
        <is>
          <t>529900FI28CD8BHEC737</t>
        </is>
      </c>
      <c r="C1503" t="inlineStr">
        <is>
          <t>signatory_change</t>
        </is>
      </c>
      <c r="D1503" s="2" t="n">
        <v>46318.55763888889</v>
      </c>
      <c r="E1503" s="2" t="n">
        <v>46321.51597222222</v>
      </c>
      <c r="F1503" t="inlineStr">
        <is>
          <t>M3</t>
        </is>
      </c>
      <c r="G1503" t="inlineStr">
        <is>
          <t>C2</t>
        </is>
      </c>
      <c r="H1503" s="2" t="n">
        <v>46318.58194444444</v>
      </c>
      <c r="I1503" s="2" t="n">
        <v>46318.5875</v>
      </c>
      <c r="J1503" t="inlineStr">
        <is>
          <t>Completed</t>
        </is>
      </c>
      <c r="K1503" t="n">
        <v>0.71</v>
      </c>
      <c r="L1503" t="n">
        <v>8</v>
      </c>
      <c r="M1503" t="b">
        <v>0</v>
      </c>
      <c r="N1503" t="n">
        <v>0</v>
      </c>
      <c r="O1503" t="b">
        <v>1</v>
      </c>
      <c r="P1503" t="b">
        <v>0</v>
      </c>
      <c r="Q1503" t="b">
        <v>0</v>
      </c>
    </row>
    <row r="1504">
      <c r="A1504" t="inlineStr">
        <is>
          <t>REQ01503</t>
        </is>
      </c>
      <c r="B1504" t="inlineStr">
        <is>
          <t>724500WLXG7ZDLV38835</t>
        </is>
      </c>
      <c r="C1504" t="inlineStr">
        <is>
          <t>signatory_change</t>
        </is>
      </c>
      <c r="D1504" s="2" t="n">
        <v>46318.55972222222</v>
      </c>
      <c r="E1504" s="2" t="n">
        <v>46321.51805555556</v>
      </c>
      <c r="F1504" t="inlineStr">
        <is>
          <t>M5</t>
        </is>
      </c>
      <c r="G1504" t="inlineStr">
        <is>
          <t>C1</t>
        </is>
      </c>
      <c r="H1504" s="2" t="n">
        <v>46318.58402777778</v>
      </c>
      <c r="I1504" s="2" t="n">
        <v>46318.59097222222</v>
      </c>
      <c r="J1504" t="inlineStr">
        <is>
          <t>Completed</t>
        </is>
      </c>
      <c r="K1504" t="n">
        <v>0.75</v>
      </c>
      <c r="L1504" t="n">
        <v>8</v>
      </c>
      <c r="M1504" t="b">
        <v>0</v>
      </c>
      <c r="N1504" t="n">
        <v>0</v>
      </c>
      <c r="O1504" t="b">
        <v>1</v>
      </c>
      <c r="P1504" t="b">
        <v>0</v>
      </c>
      <c r="Q1504" t="b">
        <v>0</v>
      </c>
    </row>
    <row r="1505">
      <c r="A1505" t="inlineStr">
        <is>
          <t>REQ01504</t>
        </is>
      </c>
      <c r="B1505" t="inlineStr">
        <is>
          <t>724500ISB05U9I8YTJ53</t>
        </is>
      </c>
      <c r="C1505" t="inlineStr">
        <is>
          <t>data_amendment</t>
        </is>
      </c>
      <c r="D1505" s="2" t="n">
        <v>46318.56180555555</v>
      </c>
      <c r="E1505" s="2" t="n">
        <v>46321.52013888889</v>
      </c>
      <c r="F1505" t="inlineStr">
        <is>
          <t>M2</t>
        </is>
      </c>
      <c r="G1505" t="inlineStr">
        <is>
          <t>C3</t>
        </is>
      </c>
      <c r="H1505" s="2" t="n">
        <v>46318.58680555555</v>
      </c>
      <c r="I1505" s="2" t="n">
        <v>46318.73819444444</v>
      </c>
      <c r="J1505" t="inlineStr">
        <is>
          <t>Completed</t>
        </is>
      </c>
      <c r="K1505" t="n">
        <v>4.24</v>
      </c>
      <c r="L1505" t="n">
        <v>8</v>
      </c>
      <c r="M1505" t="b">
        <v>0</v>
      </c>
      <c r="N1505" t="n">
        <v>0</v>
      </c>
      <c r="O1505" t="b">
        <v>1</v>
      </c>
      <c r="P1505" t="b">
        <v>0</v>
      </c>
      <c r="Q1505" t="b">
        <v>1</v>
      </c>
    </row>
    <row r="1506">
      <c r="A1506" t="inlineStr">
        <is>
          <t>REQ01505</t>
        </is>
      </c>
      <c r="B1506" t="inlineStr">
        <is>
          <t>2549003JNNJ634CMKZ25</t>
        </is>
      </c>
      <c r="C1506" t="inlineStr">
        <is>
          <t>signatory_change</t>
        </is>
      </c>
      <c r="D1506" s="2" t="n">
        <v>46318.56736111111</v>
      </c>
      <c r="E1506" s="2" t="n">
        <v>46321.52569444444</v>
      </c>
      <c r="F1506" t="inlineStr">
        <is>
          <t>M1</t>
        </is>
      </c>
      <c r="G1506" t="inlineStr">
        <is>
          <t>C3</t>
        </is>
      </c>
      <c r="H1506" s="2" t="n">
        <v>46318.60416666666</v>
      </c>
      <c r="I1506" s="2" t="n">
        <v>46318.63194444445</v>
      </c>
      <c r="J1506" t="inlineStr">
        <is>
          <t>Completed</t>
        </is>
      </c>
      <c r="K1506" t="n">
        <v>1.54</v>
      </c>
      <c r="L1506" t="n">
        <v>8</v>
      </c>
      <c r="M1506" t="b">
        <v>0</v>
      </c>
      <c r="N1506" t="n">
        <v>1</v>
      </c>
      <c r="O1506" t="b">
        <v>0</v>
      </c>
      <c r="P1506" t="b">
        <v>1</v>
      </c>
      <c r="Q1506" t="b">
        <v>0</v>
      </c>
    </row>
    <row r="1507">
      <c r="A1507" t="inlineStr">
        <is>
          <t>REQ01506</t>
        </is>
      </c>
      <c r="B1507" t="inlineStr">
        <is>
          <t>64885PHU8NE4D275Z741</t>
        </is>
      </c>
      <c r="C1507" t="inlineStr">
        <is>
          <t>signatory_change</t>
        </is>
      </c>
      <c r="D1507" s="2" t="n">
        <v>46318.575</v>
      </c>
      <c r="E1507" s="2" t="n">
        <v>46321.53333333333</v>
      </c>
      <c r="F1507" t="inlineStr">
        <is>
          <t>M6</t>
        </is>
      </c>
      <c r="G1507" t="inlineStr">
        <is>
          <t>C2</t>
        </is>
      </c>
      <c r="H1507" s="2" t="n">
        <v>46318.60069444445</v>
      </c>
      <c r="I1507" s="2" t="n">
        <v>46321.44583333333</v>
      </c>
      <c r="J1507" t="inlineStr">
        <is>
          <t>Completed</t>
        </is>
      </c>
      <c r="K1507" t="n">
        <v>5.9</v>
      </c>
      <c r="L1507" t="n">
        <v>8</v>
      </c>
      <c r="M1507" t="b">
        <v>0</v>
      </c>
      <c r="N1507" t="n">
        <v>0</v>
      </c>
      <c r="O1507" t="b">
        <v>1</v>
      </c>
      <c r="P1507" t="b">
        <v>0</v>
      </c>
      <c r="Q1507" t="b">
        <v>1</v>
      </c>
    </row>
    <row r="1508">
      <c r="A1508" t="inlineStr">
        <is>
          <t>REQ01507</t>
        </is>
      </c>
      <c r="B1508" t="inlineStr">
        <is>
          <t>3912003IYIG5ZM3GF672</t>
        </is>
      </c>
      <c r="C1508" t="inlineStr">
        <is>
          <t>signatory_change</t>
        </is>
      </c>
      <c r="D1508" s="2" t="n">
        <v>46318.57569444444</v>
      </c>
      <c r="E1508" s="2" t="n">
        <v>46321.53402777778</v>
      </c>
      <c r="F1508" t="inlineStr">
        <is>
          <t>M3</t>
        </is>
      </c>
      <c r="G1508" t="inlineStr">
        <is>
          <t>C1</t>
        </is>
      </c>
      <c r="H1508" s="2" t="n">
        <v>46318.60625</v>
      </c>
      <c r="I1508" s="2" t="n">
        <v>46321.42638888889</v>
      </c>
      <c r="J1508" t="inlineStr">
        <is>
          <t>Completed</t>
        </is>
      </c>
      <c r="K1508" t="n">
        <v>5.41</v>
      </c>
      <c r="L1508" t="n">
        <v>8</v>
      </c>
      <c r="M1508" t="b">
        <v>0</v>
      </c>
      <c r="N1508" t="n">
        <v>0</v>
      </c>
      <c r="O1508" t="b">
        <v>1</v>
      </c>
      <c r="P1508" t="b">
        <v>0</v>
      </c>
      <c r="Q1508" t="b">
        <v>1</v>
      </c>
    </row>
    <row r="1509">
      <c r="A1509" t="inlineStr">
        <is>
          <t>REQ01508</t>
        </is>
      </c>
      <c r="B1509" t="inlineStr">
        <is>
          <t>3358003THPED2DVZHG27</t>
        </is>
      </c>
      <c r="C1509" t="inlineStr">
        <is>
          <t>document_refresh</t>
        </is>
      </c>
      <c r="D1509" s="2" t="n">
        <v>46318.59444444445</v>
      </c>
      <c r="E1509" s="2" t="n">
        <v>46321.71944444445</v>
      </c>
      <c r="F1509" t="inlineStr">
        <is>
          <t>M4</t>
        </is>
      </c>
      <c r="G1509" t="inlineStr">
        <is>
          <t>C1</t>
        </is>
      </c>
      <c r="H1509" s="2" t="n">
        <v>46318.60833333333</v>
      </c>
      <c r="I1509" s="2" t="n">
        <v>46318.61319444444</v>
      </c>
      <c r="J1509" t="inlineStr">
        <is>
          <t>Completed</t>
        </is>
      </c>
      <c r="K1509" t="n">
        <v>0.44</v>
      </c>
      <c r="L1509" t="n">
        <v>12</v>
      </c>
      <c r="M1509" t="b">
        <v>0</v>
      </c>
      <c r="N1509" t="n">
        <v>0</v>
      </c>
      <c r="O1509" t="b">
        <v>1</v>
      </c>
      <c r="P1509" t="b">
        <v>0</v>
      </c>
      <c r="Q1509" t="b">
        <v>0</v>
      </c>
    </row>
    <row r="1510">
      <c r="A1510" t="inlineStr">
        <is>
          <t>REQ01509</t>
        </is>
      </c>
      <c r="B1510" t="inlineStr">
        <is>
          <t>UU8C608UEIDZRBZ21392</t>
        </is>
      </c>
      <c r="C1510" t="inlineStr">
        <is>
          <t>document_refresh</t>
        </is>
      </c>
      <c r="D1510" s="2" t="n">
        <v>46318.60416666666</v>
      </c>
      <c r="E1510" s="2" t="n">
        <v>46321.72916666666</v>
      </c>
      <c r="F1510" t="inlineStr">
        <is>
          <t>M5</t>
        </is>
      </c>
      <c r="G1510" t="inlineStr">
        <is>
          <t>C3</t>
        </is>
      </c>
      <c r="H1510" s="2" t="n">
        <v>46318.61805555555</v>
      </c>
      <c r="I1510" s="2" t="n">
        <v>46318.62222222222</v>
      </c>
      <c r="J1510" t="inlineStr">
        <is>
          <t>Completed</t>
        </is>
      </c>
      <c r="K1510" t="n">
        <v>0.44</v>
      </c>
      <c r="L1510" t="n">
        <v>12</v>
      </c>
      <c r="M1510" t="b">
        <v>0</v>
      </c>
      <c r="N1510" t="n">
        <v>0</v>
      </c>
      <c r="O1510" t="b">
        <v>1</v>
      </c>
      <c r="P1510" t="b">
        <v>0</v>
      </c>
      <c r="Q1510" t="b">
        <v>0</v>
      </c>
    </row>
    <row r="1511">
      <c r="A1511" t="inlineStr">
        <is>
          <t>REQ01510</t>
        </is>
      </c>
      <c r="B1511" t="inlineStr">
        <is>
          <t>969500Z23B1S1OV0KU13</t>
        </is>
      </c>
      <c r="C1511" t="inlineStr">
        <is>
          <t>document_refresh</t>
        </is>
      </c>
      <c r="D1511" s="2" t="n">
        <v>46318.60416666666</v>
      </c>
      <c r="E1511" s="2" t="n">
        <v>46321.72916666666</v>
      </c>
      <c r="F1511" t="inlineStr">
        <is>
          <t>M2</t>
        </is>
      </c>
      <c r="G1511" t="inlineStr">
        <is>
          <t>C3</t>
        </is>
      </c>
      <c r="H1511" s="2" t="n">
        <v>46318.61527777778</v>
      </c>
      <c r="I1511" s="2" t="n">
        <v>46318.74375</v>
      </c>
      <c r="J1511" t="inlineStr">
        <is>
          <t>Completed</t>
        </is>
      </c>
      <c r="K1511" t="n">
        <v>3.35</v>
      </c>
      <c r="L1511" t="n">
        <v>12</v>
      </c>
      <c r="M1511" t="b">
        <v>0</v>
      </c>
      <c r="N1511" t="n">
        <v>0</v>
      </c>
      <c r="O1511" t="b">
        <v>1</v>
      </c>
      <c r="P1511" t="b">
        <v>0</v>
      </c>
      <c r="Q1511" t="b">
        <v>1</v>
      </c>
    </row>
    <row r="1512">
      <c r="A1512" t="inlineStr">
        <is>
          <t>REQ01511</t>
        </is>
      </c>
      <c r="B1512" t="inlineStr">
        <is>
          <t>969500HZO7N2WR14KC93</t>
        </is>
      </c>
      <c r="C1512" t="inlineStr">
        <is>
          <t>new_account</t>
        </is>
      </c>
      <c r="D1512" s="2" t="n">
        <v>46318.60833333333</v>
      </c>
      <c r="E1512" s="2" t="n">
        <v>46322.525</v>
      </c>
      <c r="F1512" t="inlineStr">
        <is>
          <t>M6</t>
        </is>
      </c>
      <c r="G1512" t="inlineStr">
        <is>
          <t>C1</t>
        </is>
      </c>
      <c r="H1512" s="2" t="n">
        <v>46318.64791666667</v>
      </c>
      <c r="I1512" s="2" t="n">
        <v>46321.43819444445</v>
      </c>
      <c r="J1512" t="inlineStr">
        <is>
          <t>Completed</t>
        </is>
      </c>
      <c r="K1512" t="n">
        <v>4.92</v>
      </c>
      <c r="L1512" t="n">
        <v>16</v>
      </c>
      <c r="M1512" t="b">
        <v>0</v>
      </c>
      <c r="N1512" t="n">
        <v>0</v>
      </c>
      <c r="O1512" t="b">
        <v>1</v>
      </c>
      <c r="P1512" t="b">
        <v>0</v>
      </c>
      <c r="Q1512" t="b">
        <v>1</v>
      </c>
    </row>
    <row r="1513">
      <c r="A1513" t="inlineStr">
        <is>
          <t>REQ01512</t>
        </is>
      </c>
      <c r="B1513" t="inlineStr">
        <is>
          <t>254900KKZIG8JEM71Y50</t>
        </is>
      </c>
      <c r="C1513" t="inlineStr">
        <is>
          <t>new_account</t>
        </is>
      </c>
      <c r="D1513" s="2" t="n">
        <v>46318.61041666667</v>
      </c>
      <c r="E1513" s="2" t="n">
        <v>46322.52708333333</v>
      </c>
      <c r="F1513" t="inlineStr">
        <is>
          <t>M1</t>
        </is>
      </c>
      <c r="G1513" t="inlineStr">
        <is>
          <t>C2</t>
        </is>
      </c>
      <c r="H1513" s="2" t="n">
        <v>46318.65069444444</v>
      </c>
      <c r="I1513" s="2" t="n">
        <v>46318.66111111111</v>
      </c>
      <c r="J1513" t="inlineStr">
        <is>
          <t>Completed</t>
        </is>
      </c>
      <c r="K1513" t="n">
        <v>1.21</v>
      </c>
      <c r="L1513" t="n">
        <v>16</v>
      </c>
      <c r="M1513" t="b">
        <v>0</v>
      </c>
      <c r="N1513" t="n">
        <v>0</v>
      </c>
      <c r="O1513" t="b">
        <v>1</v>
      </c>
      <c r="P1513" t="b">
        <v>0</v>
      </c>
      <c r="Q1513" t="b">
        <v>0</v>
      </c>
    </row>
    <row r="1514">
      <c r="A1514" t="inlineStr">
        <is>
          <t>REQ01513</t>
        </is>
      </c>
      <c r="B1514" t="inlineStr">
        <is>
          <t>335800IWZCQ25BILZ113</t>
        </is>
      </c>
      <c r="C1514" t="inlineStr">
        <is>
          <t>signatory_change</t>
        </is>
      </c>
      <c r="D1514" s="2" t="n">
        <v>46318.61041666667</v>
      </c>
      <c r="E1514" s="2" t="n">
        <v>46321.56875</v>
      </c>
      <c r="F1514" t="inlineStr">
        <is>
          <t>M3</t>
        </is>
      </c>
      <c r="G1514" t="inlineStr">
        <is>
          <t>C1</t>
        </is>
      </c>
      <c r="H1514" s="2" t="n">
        <v>46318.62847222222</v>
      </c>
      <c r="I1514" s="2" t="n">
        <v>46321.40555555555</v>
      </c>
      <c r="J1514" t="inlineStr">
        <is>
          <t>Completed</t>
        </is>
      </c>
      <c r="K1514" t="n">
        <v>4.08</v>
      </c>
      <c r="L1514" t="n">
        <v>8</v>
      </c>
      <c r="M1514" t="b">
        <v>0</v>
      </c>
      <c r="N1514" t="n">
        <v>0</v>
      </c>
      <c r="O1514" t="b">
        <v>1</v>
      </c>
      <c r="P1514" t="b">
        <v>0</v>
      </c>
      <c r="Q1514" t="b">
        <v>1</v>
      </c>
    </row>
    <row r="1515">
      <c r="A1515" t="inlineStr">
        <is>
          <t>REQ01514</t>
        </is>
      </c>
      <c r="B1515" t="inlineStr">
        <is>
          <t>254900H6EMQW59EZOG22</t>
        </is>
      </c>
      <c r="C1515" t="inlineStr">
        <is>
          <t>new_account</t>
        </is>
      </c>
      <c r="D1515" s="2" t="n">
        <v>46318.62013888889</v>
      </c>
      <c r="E1515" s="2" t="n">
        <v>46322.53680555556</v>
      </c>
      <c r="F1515" t="inlineStr">
        <is>
          <t>M4</t>
        </is>
      </c>
      <c r="G1515" t="inlineStr">
        <is>
          <t>C3</t>
        </is>
      </c>
      <c r="H1515" s="2" t="n">
        <v>46318.66041666667</v>
      </c>
      <c r="I1515" s="2" t="n">
        <v>46321.42638888889</v>
      </c>
      <c r="J1515" t="inlineStr">
        <is>
          <t>Completed</t>
        </is>
      </c>
      <c r="K1515" t="n">
        <v>4.35</v>
      </c>
      <c r="L1515" t="n">
        <v>16</v>
      </c>
      <c r="M1515" t="b">
        <v>0</v>
      </c>
      <c r="N1515" t="n">
        <v>0</v>
      </c>
      <c r="O1515" t="b">
        <v>1</v>
      </c>
      <c r="P1515" t="b">
        <v>0</v>
      </c>
      <c r="Q1515" t="b">
        <v>1</v>
      </c>
    </row>
    <row r="1516">
      <c r="A1516" t="inlineStr">
        <is>
          <t>REQ01515</t>
        </is>
      </c>
      <c r="B1516" t="inlineStr">
        <is>
          <t>724500ZRT1QR2IZYBK55</t>
        </is>
      </c>
      <c r="C1516" t="inlineStr">
        <is>
          <t>signatory_change</t>
        </is>
      </c>
      <c r="D1516" s="2" t="n">
        <v>46318.62430555555</v>
      </c>
      <c r="E1516" s="2" t="n">
        <v>46321.58263888889</v>
      </c>
      <c r="F1516" t="inlineStr">
        <is>
          <t>M2</t>
        </is>
      </c>
      <c r="G1516" t="inlineStr">
        <is>
          <t>C1</t>
        </is>
      </c>
      <c r="H1516" s="2" t="n">
        <v>46318.64236111111</v>
      </c>
      <c r="I1516" s="2" t="n">
        <v>46321.4625</v>
      </c>
      <c r="J1516" t="inlineStr">
        <is>
          <t>Completed</t>
        </is>
      </c>
      <c r="K1516" t="n">
        <v>5.12</v>
      </c>
      <c r="L1516" t="n">
        <v>8</v>
      </c>
      <c r="M1516" t="b">
        <v>0</v>
      </c>
      <c r="N1516" t="n">
        <v>0</v>
      </c>
      <c r="O1516" t="b">
        <v>1</v>
      </c>
      <c r="P1516" t="b">
        <v>0</v>
      </c>
      <c r="Q1516" t="b">
        <v>1</v>
      </c>
    </row>
    <row r="1517">
      <c r="A1517" t="inlineStr">
        <is>
          <t>REQ01516</t>
        </is>
      </c>
      <c r="B1517" t="inlineStr">
        <is>
          <t>5493006LL0CKP8WQW329</t>
        </is>
      </c>
      <c r="C1517" t="inlineStr">
        <is>
          <t>data_amendment</t>
        </is>
      </c>
      <c r="D1517" s="2" t="n">
        <v>46318.64652777778</v>
      </c>
      <c r="E1517" s="2" t="n">
        <v>46321.60486111111</v>
      </c>
      <c r="F1517" t="inlineStr">
        <is>
          <t>M5</t>
        </is>
      </c>
      <c r="G1517" t="inlineStr">
        <is>
          <t>C1</t>
        </is>
      </c>
      <c r="H1517" s="2" t="n">
        <v>46318.65625</v>
      </c>
      <c r="I1517" s="2" t="n">
        <v>46321.51180555556</v>
      </c>
      <c r="J1517" t="inlineStr">
        <is>
          <t>Completed</t>
        </is>
      </c>
      <c r="K1517" t="n">
        <v>5.76</v>
      </c>
      <c r="L1517" t="n">
        <v>8</v>
      </c>
      <c r="M1517" t="b">
        <v>0</v>
      </c>
      <c r="N1517" t="n">
        <v>0</v>
      </c>
      <c r="O1517" t="b">
        <v>1</v>
      </c>
      <c r="P1517" t="b">
        <v>0</v>
      </c>
      <c r="Q1517" t="b">
        <v>1</v>
      </c>
    </row>
    <row r="1518">
      <c r="A1518" t="inlineStr">
        <is>
          <t>REQ01517</t>
        </is>
      </c>
      <c r="B1518" t="inlineStr">
        <is>
          <t>5299008YCSYN88MYFQ86</t>
        </is>
      </c>
      <c r="C1518" t="inlineStr">
        <is>
          <t>new_account</t>
        </is>
      </c>
      <c r="D1518" s="2" t="n">
        <v>46318.65138888889</v>
      </c>
      <c r="E1518" s="2" t="n">
        <v>46322.56805555556</v>
      </c>
      <c r="F1518" t="inlineStr">
        <is>
          <t>M3</t>
        </is>
      </c>
      <c r="G1518" t="inlineStr">
        <is>
          <t>C2</t>
        </is>
      </c>
      <c r="H1518" s="2" t="n">
        <v>46318.67361111111</v>
      </c>
      <c r="I1518" s="2" t="n">
        <v>46318.68333333333</v>
      </c>
      <c r="J1518" t="inlineStr">
        <is>
          <t>Completed</t>
        </is>
      </c>
      <c r="K1518" t="n">
        <v>0.77</v>
      </c>
      <c r="L1518" t="n">
        <v>16</v>
      </c>
      <c r="M1518" t="b">
        <v>0</v>
      </c>
      <c r="N1518" t="n">
        <v>0</v>
      </c>
      <c r="O1518" t="b">
        <v>1</v>
      </c>
      <c r="P1518" t="b">
        <v>0</v>
      </c>
      <c r="Q1518" t="b">
        <v>0</v>
      </c>
    </row>
    <row r="1519">
      <c r="A1519" t="inlineStr">
        <is>
          <t>REQ01518</t>
        </is>
      </c>
      <c r="B1519" t="inlineStr">
        <is>
          <t>213800FNRVH8WFRZOO98</t>
        </is>
      </c>
      <c r="C1519" t="inlineStr">
        <is>
          <t>new_account</t>
        </is>
      </c>
      <c r="D1519" s="2" t="n">
        <v>46318.65208333333</v>
      </c>
      <c r="E1519" s="2" t="n">
        <v>46322.56875</v>
      </c>
      <c r="F1519" t="inlineStr">
        <is>
          <t>M2</t>
        </is>
      </c>
      <c r="G1519" t="inlineStr">
        <is>
          <t>C1</t>
        </is>
      </c>
      <c r="H1519" s="2" t="n">
        <v>46318.68402777778</v>
      </c>
      <c r="I1519" s="2" t="n">
        <v>46321.50833333333</v>
      </c>
      <c r="J1519" t="inlineStr">
        <is>
          <t>Completed</t>
        </is>
      </c>
      <c r="K1519" t="n">
        <v>5.56</v>
      </c>
      <c r="L1519" t="n">
        <v>16</v>
      </c>
      <c r="M1519" t="b">
        <v>0</v>
      </c>
      <c r="N1519" t="n">
        <v>0</v>
      </c>
      <c r="O1519" t="b">
        <v>1</v>
      </c>
      <c r="P1519" t="b">
        <v>0</v>
      </c>
      <c r="Q1519" t="b">
        <v>1</v>
      </c>
    </row>
    <row r="1520">
      <c r="A1520" t="inlineStr">
        <is>
          <t>REQ01519</t>
        </is>
      </c>
      <c r="B1520" t="inlineStr">
        <is>
          <t>894500QO0L4LE1C7M521</t>
        </is>
      </c>
      <c r="C1520" t="inlineStr">
        <is>
          <t>signatory_change</t>
        </is>
      </c>
      <c r="D1520" s="2" t="n">
        <v>46318.65416666667</v>
      </c>
      <c r="E1520" s="2" t="n">
        <v>46321.6125</v>
      </c>
      <c r="F1520" t="inlineStr">
        <is>
          <t>M6</t>
        </is>
      </c>
      <c r="G1520" t="inlineStr">
        <is>
          <t>C3</t>
        </is>
      </c>
      <c r="H1520" s="2" t="n">
        <v>46318.67777777778</v>
      </c>
      <c r="I1520" s="2" t="n">
        <v>46318.68680555555</v>
      </c>
      <c r="J1520" t="inlineStr">
        <is>
          <t>Completed</t>
        </is>
      </c>
      <c r="K1520" t="n">
        <v>0.78</v>
      </c>
      <c r="L1520" t="n">
        <v>8</v>
      </c>
      <c r="M1520" t="b">
        <v>0</v>
      </c>
      <c r="N1520" t="n">
        <v>0</v>
      </c>
      <c r="O1520" t="b">
        <v>1</v>
      </c>
      <c r="P1520" t="b">
        <v>0</v>
      </c>
      <c r="Q1520" t="b">
        <v>0</v>
      </c>
    </row>
    <row r="1521">
      <c r="A1521" t="inlineStr">
        <is>
          <t>REQ01520</t>
        </is>
      </c>
      <c r="B1521" t="inlineStr">
        <is>
          <t>213800QOPYA9P5Z3MI21</t>
        </is>
      </c>
      <c r="C1521" t="inlineStr">
        <is>
          <t>document_refresh</t>
        </is>
      </c>
      <c r="D1521" s="2" t="n">
        <v>46318.65625</v>
      </c>
      <c r="E1521" s="2" t="n">
        <v>46322.40625</v>
      </c>
      <c r="F1521" t="inlineStr">
        <is>
          <t>M1</t>
        </is>
      </c>
      <c r="G1521" t="inlineStr">
        <is>
          <t>C3</t>
        </is>
      </c>
      <c r="H1521" s="2" t="n">
        <v>46318.66944444444</v>
      </c>
      <c r="I1521" s="2" t="n">
        <v>46318.675</v>
      </c>
      <c r="J1521" t="inlineStr">
        <is>
          <t>Completed</t>
        </is>
      </c>
      <c r="K1521" t="n">
        <v>0.45</v>
      </c>
      <c r="L1521" t="n">
        <v>12</v>
      </c>
      <c r="M1521" t="b">
        <v>0</v>
      </c>
      <c r="N1521" t="n">
        <v>0</v>
      </c>
      <c r="O1521" t="b">
        <v>1</v>
      </c>
      <c r="P1521" t="b">
        <v>0</v>
      </c>
      <c r="Q1521" t="b">
        <v>0</v>
      </c>
    </row>
    <row r="1522">
      <c r="A1522" t="inlineStr">
        <is>
          <t>REQ01521</t>
        </is>
      </c>
      <c r="B1522" t="inlineStr">
        <is>
          <t>724500E1YUPUXRGGC413</t>
        </is>
      </c>
      <c r="C1522" t="inlineStr">
        <is>
          <t>document_refresh</t>
        </is>
      </c>
      <c r="D1522" s="2" t="n">
        <v>46318.66180555556</v>
      </c>
      <c r="E1522" s="2" t="n">
        <v>46322.41180555556</v>
      </c>
      <c r="F1522" t="inlineStr">
        <is>
          <t>M5</t>
        </is>
      </c>
      <c r="G1522" t="inlineStr">
        <is>
          <t>C1</t>
        </is>
      </c>
      <c r="H1522" s="2" t="n">
        <v>46318.67152777778</v>
      </c>
      <c r="I1522" s="2" t="n">
        <v>46318.67847222222</v>
      </c>
      <c r="J1522" t="inlineStr">
        <is>
          <t>Completed</t>
        </is>
      </c>
      <c r="K1522" t="n">
        <v>0.4</v>
      </c>
      <c r="L1522" t="n">
        <v>12</v>
      </c>
      <c r="M1522" t="b">
        <v>0</v>
      </c>
      <c r="N1522" t="n">
        <v>0</v>
      </c>
      <c r="O1522" t="b">
        <v>1</v>
      </c>
      <c r="P1522" t="b">
        <v>0</v>
      </c>
      <c r="Q1522" t="b">
        <v>0</v>
      </c>
    </row>
    <row r="1523">
      <c r="A1523" t="inlineStr">
        <is>
          <t>REQ01522</t>
        </is>
      </c>
      <c r="B1523" t="inlineStr">
        <is>
          <t>8945002TMAQXCZBFCM46</t>
        </is>
      </c>
      <c r="C1523" t="inlineStr">
        <is>
          <t>signatory_change</t>
        </is>
      </c>
      <c r="D1523" s="2" t="n">
        <v>46318.68194444444</v>
      </c>
      <c r="E1523" s="2" t="n">
        <v>46321.64027777778</v>
      </c>
      <c r="F1523" t="inlineStr">
        <is>
          <t>M4</t>
        </is>
      </c>
      <c r="G1523" t="inlineStr">
        <is>
          <t>C2</t>
        </is>
      </c>
      <c r="H1523" s="2" t="n">
        <v>46318.70694444444</v>
      </c>
      <c r="I1523" s="2" t="n">
        <v>46318.71458333333</v>
      </c>
      <c r="J1523" t="inlineStr">
        <is>
          <t>Completed</t>
        </is>
      </c>
      <c r="K1523" t="n">
        <v>0.79</v>
      </c>
      <c r="L1523" t="n">
        <v>8</v>
      </c>
      <c r="M1523" t="b">
        <v>0</v>
      </c>
      <c r="N1523" t="n">
        <v>0</v>
      </c>
      <c r="O1523" t="b">
        <v>1</v>
      </c>
      <c r="P1523" t="b">
        <v>0</v>
      </c>
      <c r="Q1523" t="b">
        <v>0</v>
      </c>
    </row>
    <row r="1524">
      <c r="A1524" t="inlineStr">
        <is>
          <t>REQ01523</t>
        </is>
      </c>
      <c r="B1524" t="inlineStr">
        <is>
          <t>894500QFJPXDA26UMI44</t>
        </is>
      </c>
      <c r="C1524" t="inlineStr">
        <is>
          <t>new_account</t>
        </is>
      </c>
      <c r="D1524" s="2" t="n">
        <v>46318.69097222222</v>
      </c>
      <c r="E1524" s="2" t="n">
        <v>46322.60763888889</v>
      </c>
      <c r="F1524" t="inlineStr">
        <is>
          <t>M1</t>
        </is>
      </c>
      <c r="G1524" t="inlineStr">
        <is>
          <t>C1</t>
        </is>
      </c>
      <c r="H1524" s="2" t="n">
        <v>46318.72430555556</v>
      </c>
      <c r="I1524" s="2" t="n">
        <v>46318.7375</v>
      </c>
      <c r="J1524" t="inlineStr">
        <is>
          <t>Completed</t>
        </is>
      </c>
      <c r="K1524" t="n">
        <v>1.12</v>
      </c>
      <c r="L1524" t="n">
        <v>16</v>
      </c>
      <c r="M1524" t="b">
        <v>0</v>
      </c>
      <c r="N1524" t="n">
        <v>0</v>
      </c>
      <c r="O1524" t="b">
        <v>1</v>
      </c>
      <c r="P1524" t="b">
        <v>0</v>
      </c>
      <c r="Q1524" t="b">
        <v>0</v>
      </c>
    </row>
    <row r="1525">
      <c r="A1525" t="inlineStr">
        <is>
          <t>REQ01524</t>
        </is>
      </c>
      <c r="B1525" t="inlineStr">
        <is>
          <t>529900LIJOQBJLR3IH44</t>
        </is>
      </c>
      <c r="C1525" t="inlineStr">
        <is>
          <t>new_account</t>
        </is>
      </c>
      <c r="D1525" s="2" t="n">
        <v>46318.69305555556</v>
      </c>
      <c r="E1525" s="2" t="n">
        <v>46322.60972222222</v>
      </c>
      <c r="F1525" t="inlineStr">
        <is>
          <t>M5</t>
        </is>
      </c>
      <c r="G1525" t="inlineStr">
        <is>
          <t>C2</t>
        </is>
      </c>
      <c r="H1525" s="2" t="n">
        <v>46318.72430555556</v>
      </c>
      <c r="I1525" s="2" t="n">
        <v>46321.50347222222</v>
      </c>
      <c r="J1525" t="inlineStr">
        <is>
          <t>Completed</t>
        </is>
      </c>
      <c r="K1525" t="n">
        <v>4.44</v>
      </c>
      <c r="L1525" t="n">
        <v>16</v>
      </c>
      <c r="M1525" t="b">
        <v>0</v>
      </c>
      <c r="N1525" t="n">
        <v>0</v>
      </c>
      <c r="O1525" t="b">
        <v>1</v>
      </c>
      <c r="P1525" t="b">
        <v>0</v>
      </c>
      <c r="Q1525" t="b">
        <v>1</v>
      </c>
    </row>
    <row r="1526">
      <c r="A1526" t="inlineStr">
        <is>
          <t>REQ01525</t>
        </is>
      </c>
      <c r="B1526" t="inlineStr">
        <is>
          <t>8945008YVBM5VKXX1045</t>
        </is>
      </c>
      <c r="C1526" t="inlineStr">
        <is>
          <t>document_refresh</t>
        </is>
      </c>
      <c r="D1526" s="2" t="n">
        <v>46318.69513888889</v>
      </c>
      <c r="E1526" s="2" t="n">
        <v>46322.44513888889</v>
      </c>
      <c r="F1526" t="inlineStr">
        <is>
          <t>M3</t>
        </is>
      </c>
      <c r="G1526" t="inlineStr">
        <is>
          <t>C2</t>
        </is>
      </c>
      <c r="H1526" s="2" t="n">
        <v>46318.70763888889</v>
      </c>
      <c r="I1526" s="2" t="n">
        <v>46321.54305555556</v>
      </c>
      <c r="J1526" t="inlineStr">
        <is>
          <t>Completed</t>
        </is>
      </c>
      <c r="K1526" t="n">
        <v>5.35</v>
      </c>
      <c r="L1526" t="n">
        <v>12</v>
      </c>
      <c r="M1526" t="b">
        <v>0</v>
      </c>
      <c r="N1526" t="n">
        <v>0</v>
      </c>
      <c r="O1526" t="b">
        <v>1</v>
      </c>
      <c r="P1526" t="b">
        <v>0</v>
      </c>
      <c r="Q1526" t="b">
        <v>1</v>
      </c>
    </row>
    <row r="1527">
      <c r="A1527" t="inlineStr">
        <is>
          <t>REQ01526</t>
        </is>
      </c>
      <c r="B1527" t="inlineStr">
        <is>
          <t>254900SWU3LVNYZ6OU48</t>
        </is>
      </c>
      <c r="C1527" t="inlineStr">
        <is>
          <t>data_amendment</t>
        </is>
      </c>
      <c r="D1527" s="2" t="n">
        <v>46318.70138888889</v>
      </c>
      <c r="E1527" s="2" t="n">
        <v>46321.65972222222</v>
      </c>
      <c r="F1527" t="inlineStr">
        <is>
          <t>M6</t>
        </is>
      </c>
      <c r="G1527" t="inlineStr">
        <is>
          <t>C1</t>
        </is>
      </c>
      <c r="H1527" s="2" t="n">
        <v>46318.7125</v>
      </c>
      <c r="I1527" s="2" t="n">
        <v>46318.71736111111</v>
      </c>
      <c r="J1527" t="inlineStr">
        <is>
          <t>Completed</t>
        </is>
      </c>
      <c r="K1527" t="n">
        <v>0.38</v>
      </c>
      <c r="L1527" t="n">
        <v>8</v>
      </c>
      <c r="M1527" t="b">
        <v>0</v>
      </c>
      <c r="N1527" t="n">
        <v>0</v>
      </c>
      <c r="O1527" t="b">
        <v>1</v>
      </c>
      <c r="P1527" t="b">
        <v>0</v>
      </c>
      <c r="Q1527" t="b">
        <v>0</v>
      </c>
    </row>
    <row r="1528">
      <c r="A1528" t="inlineStr">
        <is>
          <t>REQ01527</t>
        </is>
      </c>
      <c r="B1528" t="inlineStr">
        <is>
          <t>335800WGVZYEL05D3I90</t>
        </is>
      </c>
      <c r="C1528" t="inlineStr">
        <is>
          <t>new_account</t>
        </is>
      </c>
      <c r="D1528" s="2" t="n">
        <v>46318.70763888889</v>
      </c>
      <c r="E1528" s="2" t="n">
        <v>46322.62430555555</v>
      </c>
      <c r="F1528" t="inlineStr">
        <is>
          <t>M2</t>
        </is>
      </c>
      <c r="G1528" t="inlineStr">
        <is>
          <t>C1</t>
        </is>
      </c>
      <c r="H1528" s="2" t="n">
        <v>46318.73194444444</v>
      </c>
      <c r="I1528" s="2" t="n">
        <v>46318.74791666667</v>
      </c>
      <c r="J1528" t="inlineStr">
        <is>
          <t>Completed</t>
        </is>
      </c>
      <c r="K1528" t="n">
        <v>0.97</v>
      </c>
      <c r="L1528" t="n">
        <v>16</v>
      </c>
      <c r="M1528" t="b">
        <v>0</v>
      </c>
      <c r="N1528" t="n">
        <v>0</v>
      </c>
      <c r="O1528" t="b">
        <v>1</v>
      </c>
      <c r="P1528" t="b">
        <v>0</v>
      </c>
      <c r="Q1528" t="b">
        <v>0</v>
      </c>
    </row>
    <row r="1529">
      <c r="A1529" t="inlineStr">
        <is>
          <t>REQ01528</t>
        </is>
      </c>
      <c r="B1529" t="inlineStr">
        <is>
          <t>98450084F53659FCAC63</t>
        </is>
      </c>
      <c r="C1529" t="inlineStr">
        <is>
          <t>document_refresh</t>
        </is>
      </c>
      <c r="D1529" s="2" t="n">
        <v>46318.71111111111</v>
      </c>
      <c r="E1529" s="2" t="n">
        <v>46322.46111111111</v>
      </c>
      <c r="F1529" t="inlineStr">
        <is>
          <t>M4</t>
        </is>
      </c>
      <c r="G1529" t="inlineStr">
        <is>
          <t>C3</t>
        </is>
      </c>
      <c r="H1529" s="2" t="n">
        <v>46318.72361111111</v>
      </c>
      <c r="I1529" s="2" t="n">
        <v>46321.60833333333</v>
      </c>
      <c r="J1529" t="inlineStr">
        <is>
          <t>Completed</t>
        </is>
      </c>
      <c r="K1529" t="n">
        <v>6.54</v>
      </c>
      <c r="L1529" t="n">
        <v>12</v>
      </c>
      <c r="M1529" t="b">
        <v>0</v>
      </c>
      <c r="N1529" t="n">
        <v>1</v>
      </c>
      <c r="O1529" t="b">
        <v>0</v>
      </c>
      <c r="P1529" t="b">
        <v>1</v>
      </c>
      <c r="Q1529" t="b">
        <v>1</v>
      </c>
    </row>
    <row r="1530">
      <c r="A1530" t="inlineStr">
        <is>
          <t>REQ01529</t>
        </is>
      </c>
      <c r="B1530" t="inlineStr">
        <is>
          <t>549300TMJJ4XG1ZW7I05</t>
        </is>
      </c>
      <c r="C1530" t="inlineStr">
        <is>
          <t>new_account</t>
        </is>
      </c>
      <c r="D1530" s="2" t="n">
        <v>46318.71388888889</v>
      </c>
      <c r="E1530" s="2" t="n">
        <v>46322.63055555556</v>
      </c>
      <c r="F1530" t="inlineStr">
        <is>
          <t>M3</t>
        </is>
      </c>
      <c r="G1530" t="inlineStr">
        <is>
          <t>C2</t>
        </is>
      </c>
      <c r="H1530" s="2" t="n">
        <v>46318.73888888889</v>
      </c>
      <c r="I1530" s="2" t="n">
        <v>46321.57013888889</v>
      </c>
      <c r="J1530" t="inlineStr">
        <is>
          <t>Completed</t>
        </is>
      </c>
      <c r="K1530" t="n">
        <v>5.55</v>
      </c>
      <c r="L1530" t="n">
        <v>16</v>
      </c>
      <c r="M1530" t="b">
        <v>0</v>
      </c>
      <c r="N1530" t="n">
        <v>0</v>
      </c>
      <c r="O1530" t="b">
        <v>1</v>
      </c>
      <c r="P1530" t="b">
        <v>0</v>
      </c>
      <c r="Q1530" t="b">
        <v>1</v>
      </c>
    </row>
    <row r="1531">
      <c r="A1531" t="inlineStr">
        <is>
          <t>REQ01530</t>
        </is>
      </c>
      <c r="B1531" t="inlineStr">
        <is>
          <t>549300LS2XF6Y8N88783</t>
        </is>
      </c>
      <c r="C1531" t="inlineStr">
        <is>
          <t>document_refresh</t>
        </is>
      </c>
      <c r="D1531" s="2" t="n">
        <v>46318.72152777778</v>
      </c>
      <c r="E1531" s="2" t="n">
        <v>46322.47152777778</v>
      </c>
      <c r="F1531" t="inlineStr">
        <is>
          <t>M6</t>
        </is>
      </c>
      <c r="G1531" t="inlineStr">
        <is>
          <t>C2</t>
        </is>
      </c>
      <c r="H1531" s="2" t="n">
        <v>46318.73125</v>
      </c>
      <c r="I1531" s="2" t="n">
        <v>46321.60902777778</v>
      </c>
      <c r="J1531" t="inlineStr">
        <is>
          <t>Completed</t>
        </is>
      </c>
      <c r="K1531" t="n">
        <v>6.3</v>
      </c>
      <c r="L1531" t="n">
        <v>12</v>
      </c>
      <c r="M1531" t="b">
        <v>0</v>
      </c>
      <c r="N1531" t="n">
        <v>0</v>
      </c>
      <c r="O1531" t="b">
        <v>1</v>
      </c>
      <c r="P1531" t="b">
        <v>0</v>
      </c>
      <c r="Q1531" t="b">
        <v>1</v>
      </c>
    </row>
    <row r="1532">
      <c r="A1532" t="inlineStr">
        <is>
          <t>REQ01531</t>
        </is>
      </c>
      <c r="B1532" t="inlineStr">
        <is>
          <t>549300ZHMP5SW5YMTK86</t>
        </is>
      </c>
      <c r="C1532" t="inlineStr">
        <is>
          <t>new_account</t>
        </is>
      </c>
      <c r="D1532" s="2" t="n">
        <v>46318.72291666667</v>
      </c>
      <c r="E1532" s="2" t="n">
        <v>46322.63958333333</v>
      </c>
      <c r="F1532" t="inlineStr">
        <is>
          <t>M4</t>
        </is>
      </c>
      <c r="G1532" t="inlineStr">
        <is>
          <t>C3</t>
        </is>
      </c>
      <c r="H1532" s="2" t="n">
        <v>46321.37638888889</v>
      </c>
      <c r="I1532" s="2" t="n">
        <v>46321.47847222222</v>
      </c>
      <c r="J1532" t="inlineStr">
        <is>
          <t>Completed</t>
        </is>
      </c>
      <c r="K1532" t="n">
        <v>3.13</v>
      </c>
      <c r="L1532" t="n">
        <v>16</v>
      </c>
      <c r="M1532" t="b">
        <v>0</v>
      </c>
      <c r="N1532" t="n">
        <v>0</v>
      </c>
      <c r="O1532" t="b">
        <v>1</v>
      </c>
      <c r="P1532" t="b">
        <v>0</v>
      </c>
      <c r="Q1532" t="b">
        <v>1</v>
      </c>
    </row>
    <row r="1533">
      <c r="A1533" t="inlineStr">
        <is>
          <t>REQ01532</t>
        </is>
      </c>
      <c r="B1533" t="inlineStr">
        <is>
          <t>549300UIRBEHNGFELF26</t>
        </is>
      </c>
      <c r="C1533" t="inlineStr">
        <is>
          <t>document_refresh</t>
        </is>
      </c>
      <c r="D1533" s="2" t="n">
        <v>46318.72847222222</v>
      </c>
      <c r="E1533" s="2" t="n">
        <v>46322.47847222222</v>
      </c>
      <c r="F1533" t="inlineStr">
        <is>
          <t>M5</t>
        </is>
      </c>
      <c r="G1533" t="inlineStr">
        <is>
          <t>C3</t>
        </is>
      </c>
      <c r="H1533" s="2" t="n">
        <v>46318.74444444444</v>
      </c>
      <c r="I1533" s="2" t="n">
        <v>46321.60694444444</v>
      </c>
      <c r="J1533" t="inlineStr">
        <is>
          <t>Completed</t>
        </is>
      </c>
      <c r="K1533" t="n">
        <v>6.09</v>
      </c>
      <c r="L1533" t="n">
        <v>12</v>
      </c>
      <c r="M1533" t="b">
        <v>0</v>
      </c>
      <c r="N1533" t="n">
        <v>0</v>
      </c>
      <c r="O1533" t="b">
        <v>1</v>
      </c>
      <c r="P1533" t="b">
        <v>0</v>
      </c>
      <c r="Q1533" t="b">
        <v>1</v>
      </c>
    </row>
    <row r="1534">
      <c r="A1534" t="inlineStr">
        <is>
          <t>REQ01533</t>
        </is>
      </c>
      <c r="B1534" t="inlineStr">
        <is>
          <t>724500NZUZA3809YWY13</t>
        </is>
      </c>
      <c r="C1534" t="inlineStr">
        <is>
          <t>new_account</t>
        </is>
      </c>
      <c r="D1534" s="2" t="n">
        <v>46318.72986111111</v>
      </c>
      <c r="E1534" s="2" t="n">
        <v>46322.64652777778</v>
      </c>
      <c r="F1534" t="inlineStr">
        <is>
          <t>M1</t>
        </is>
      </c>
      <c r="G1534" t="inlineStr">
        <is>
          <t>C2</t>
        </is>
      </c>
      <c r="H1534" s="2" t="n">
        <v>46321.38819444444</v>
      </c>
      <c r="I1534" s="2" t="n">
        <v>46321.4</v>
      </c>
      <c r="J1534" t="inlineStr">
        <is>
          <t>Completed</t>
        </is>
      </c>
      <c r="K1534" t="n">
        <v>1.08</v>
      </c>
      <c r="L1534" t="n">
        <v>16</v>
      </c>
      <c r="M1534" t="b">
        <v>0</v>
      </c>
      <c r="N1534" t="n">
        <v>0</v>
      </c>
      <c r="O1534" t="b">
        <v>1</v>
      </c>
      <c r="P1534" t="b">
        <v>0</v>
      </c>
      <c r="Q1534" t="b">
        <v>0</v>
      </c>
    </row>
    <row r="1535">
      <c r="A1535" t="inlineStr">
        <is>
          <t>REQ01534</t>
        </is>
      </c>
      <c r="B1535" t="inlineStr">
        <is>
          <t>549300BZ1JQ8FADMPD78</t>
        </is>
      </c>
      <c r="C1535" t="inlineStr">
        <is>
          <t>document_refresh</t>
        </is>
      </c>
      <c r="D1535" s="2" t="n">
        <v>46318.73541666667</v>
      </c>
      <c r="E1535" s="2" t="n">
        <v>46322.48541666667</v>
      </c>
      <c r="F1535" t="inlineStr">
        <is>
          <t>M6</t>
        </is>
      </c>
      <c r="G1535" t="inlineStr">
        <is>
          <t>C1</t>
        </is>
      </c>
      <c r="H1535" s="2" t="n">
        <v>46321.37777777778</v>
      </c>
      <c r="I1535" s="2" t="n">
        <v>46321.54375</v>
      </c>
      <c r="J1535" t="inlineStr">
        <is>
          <t>Completed</t>
        </is>
      </c>
      <c r="K1535" t="n">
        <v>4.4</v>
      </c>
      <c r="L1535" t="n">
        <v>12</v>
      </c>
      <c r="M1535" t="b">
        <v>0</v>
      </c>
      <c r="N1535" t="n">
        <v>0</v>
      </c>
      <c r="O1535" t="b">
        <v>1</v>
      </c>
      <c r="P1535" t="b">
        <v>0</v>
      </c>
      <c r="Q1535" t="b">
        <v>1</v>
      </c>
    </row>
    <row r="1536">
      <c r="A1536" t="inlineStr">
        <is>
          <t>REQ01535</t>
        </is>
      </c>
      <c r="B1536" t="inlineStr">
        <is>
          <t>724500RLLCETK40V9N95</t>
        </is>
      </c>
      <c r="C1536" t="inlineStr">
        <is>
          <t>new_account</t>
        </is>
      </c>
      <c r="D1536" s="2" t="n">
        <v>46318.73958333334</v>
      </c>
      <c r="E1536" s="2" t="n">
        <v>46322.65625</v>
      </c>
      <c r="F1536" t="inlineStr">
        <is>
          <t>M2</t>
        </is>
      </c>
      <c r="G1536" t="inlineStr">
        <is>
          <t>C3</t>
        </is>
      </c>
      <c r="H1536" s="2" t="n">
        <v>46321.39166666667</v>
      </c>
      <c r="I1536" s="2" t="n">
        <v>46321.39930555555</v>
      </c>
      <c r="J1536" t="inlineStr">
        <is>
          <t>Completed</t>
        </is>
      </c>
      <c r="K1536" t="n">
        <v>0.84</v>
      </c>
      <c r="L1536" t="n">
        <v>16</v>
      </c>
      <c r="M1536" t="b">
        <v>0</v>
      </c>
      <c r="N1536" t="n">
        <v>0</v>
      </c>
      <c r="O1536" t="b">
        <v>1</v>
      </c>
      <c r="P1536" t="b">
        <v>0</v>
      </c>
      <c r="Q1536" t="b">
        <v>0</v>
      </c>
    </row>
    <row r="1537">
      <c r="A1537" t="inlineStr">
        <is>
          <t>REQ01536</t>
        </is>
      </c>
      <c r="B1537" t="inlineStr">
        <is>
          <t>724500H81JR0W5XT7B93</t>
        </is>
      </c>
      <c r="C1537" t="inlineStr">
        <is>
          <t>signatory_change</t>
        </is>
      </c>
      <c r="D1537" s="2" t="n">
        <v>46318.74583333333</v>
      </c>
      <c r="E1537" s="2" t="n">
        <v>46321.70416666667</v>
      </c>
      <c r="F1537" t="inlineStr">
        <is>
          <t>M3</t>
        </is>
      </c>
      <c r="G1537" t="inlineStr">
        <is>
          <t>C1</t>
        </is>
      </c>
      <c r="H1537" s="2" t="n">
        <v>46321.39097222222</v>
      </c>
      <c r="I1537" s="2" t="n">
        <v>46321.59652777778</v>
      </c>
      <c r="J1537" t="inlineStr">
        <is>
          <t>Completed</t>
        </is>
      </c>
      <c r="K1537" t="n">
        <v>5.42</v>
      </c>
      <c r="L1537" t="n">
        <v>8</v>
      </c>
      <c r="M1537" t="b">
        <v>0</v>
      </c>
      <c r="N1537" t="n">
        <v>0</v>
      </c>
      <c r="O1537" t="b">
        <v>1</v>
      </c>
      <c r="P1537" t="b">
        <v>0</v>
      </c>
      <c r="Q1537" t="b">
        <v>1</v>
      </c>
    </row>
    <row r="1538">
      <c r="A1538" t="inlineStr">
        <is>
          <t>REQ01537</t>
        </is>
      </c>
      <c r="B1538" t="inlineStr">
        <is>
          <t>254900XU3Y40OK7F8P03</t>
        </is>
      </c>
      <c r="C1538" t="inlineStr">
        <is>
          <t>data_amendment</t>
        </is>
      </c>
      <c r="D1538" s="2" t="n">
        <v>46318.74722222222</v>
      </c>
      <c r="E1538" s="2" t="n">
        <v>46321.70555555556</v>
      </c>
      <c r="F1538" t="inlineStr">
        <is>
          <t>M5</t>
        </is>
      </c>
      <c r="G1538" t="inlineStr">
        <is>
          <t>C3</t>
        </is>
      </c>
      <c r="H1538" s="2" t="n">
        <v>46321.38472222222</v>
      </c>
      <c r="I1538" s="2" t="n">
        <v>46321.39027777778</v>
      </c>
      <c r="J1538" t="inlineStr">
        <is>
          <t>Completed</t>
        </is>
      </c>
      <c r="K1538" t="n">
        <v>0.43</v>
      </c>
      <c r="L1538" t="n">
        <v>8</v>
      </c>
      <c r="M1538" t="b">
        <v>0</v>
      </c>
      <c r="N1538" t="n">
        <v>0</v>
      </c>
      <c r="O1538" t="b">
        <v>1</v>
      </c>
      <c r="P1538" t="b">
        <v>0</v>
      </c>
      <c r="Q1538" t="b">
        <v>0</v>
      </c>
    </row>
    <row r="1539">
      <c r="A1539" t="inlineStr">
        <is>
          <t>REQ01538</t>
        </is>
      </c>
      <c r="B1539" t="inlineStr">
        <is>
          <t>9695008SFXXHFXSL2K20</t>
        </is>
      </c>
      <c r="C1539" t="inlineStr">
        <is>
          <t>document_refresh</t>
        </is>
      </c>
      <c r="D1539" s="2" t="n">
        <v>46321.375</v>
      </c>
      <c r="E1539" s="2" t="n">
        <v>46322.5</v>
      </c>
      <c r="F1539" t="inlineStr">
        <is>
          <t>M4</t>
        </is>
      </c>
      <c r="G1539" t="inlineStr">
        <is>
          <t>C1</t>
        </is>
      </c>
      <c r="H1539" s="2" t="n">
        <v>46321.38958333333</v>
      </c>
      <c r="I1539" s="2" t="n">
        <v>46321.39652777778</v>
      </c>
      <c r="J1539" t="inlineStr">
        <is>
          <t>Completed</t>
        </is>
      </c>
      <c r="K1539" t="n">
        <v>0.52</v>
      </c>
      <c r="L1539" t="n">
        <v>12</v>
      </c>
      <c r="M1539" t="b">
        <v>0</v>
      </c>
      <c r="N1539" t="n">
        <v>0</v>
      </c>
      <c r="O1539" t="b">
        <v>1</v>
      </c>
      <c r="P1539" t="b">
        <v>0</v>
      </c>
      <c r="Q1539" t="b">
        <v>0</v>
      </c>
    </row>
    <row r="1540">
      <c r="A1540" t="inlineStr">
        <is>
          <t>REQ01539</t>
        </is>
      </c>
      <c r="B1540" t="inlineStr">
        <is>
          <t>984500C397E2BFB45786</t>
        </is>
      </c>
      <c r="C1540" t="inlineStr">
        <is>
          <t>document_refresh</t>
        </is>
      </c>
      <c r="D1540" s="2" t="n">
        <v>46321.39930555555</v>
      </c>
      <c r="E1540" s="2" t="n">
        <v>46322.52430555555</v>
      </c>
      <c r="F1540" t="inlineStr">
        <is>
          <t>M6</t>
        </is>
      </c>
      <c r="G1540" t="inlineStr">
        <is>
          <t>C2</t>
        </is>
      </c>
      <c r="H1540" s="2" t="n">
        <v>46321.41666666666</v>
      </c>
      <c r="I1540" s="2" t="n">
        <v>46321.42222222222</v>
      </c>
      <c r="J1540" t="inlineStr">
        <is>
          <t>Completed</t>
        </is>
      </c>
      <c r="K1540" t="n">
        <v>0.55</v>
      </c>
      <c r="L1540" t="n">
        <v>12</v>
      </c>
      <c r="M1540" t="b">
        <v>0</v>
      </c>
      <c r="N1540" t="n">
        <v>0</v>
      </c>
      <c r="O1540" t="b">
        <v>1</v>
      </c>
      <c r="P1540" t="b">
        <v>0</v>
      </c>
      <c r="Q1540" t="b">
        <v>0</v>
      </c>
    </row>
    <row r="1541">
      <c r="A1541" t="inlineStr">
        <is>
          <t>REQ01540</t>
        </is>
      </c>
      <c r="B1541" t="inlineStr">
        <is>
          <t>213800NKD5ES37QICU64</t>
        </is>
      </c>
      <c r="C1541" t="inlineStr">
        <is>
          <t>document_refresh</t>
        </is>
      </c>
      <c r="D1541" s="2" t="n">
        <v>46321.40486111111</v>
      </c>
      <c r="E1541" s="2" t="n">
        <v>46322.52986111111</v>
      </c>
      <c r="F1541" t="inlineStr">
        <is>
          <t>M5</t>
        </is>
      </c>
      <c r="G1541" t="inlineStr">
        <is>
          <t>C1</t>
        </is>
      </c>
      <c r="H1541" s="2" t="n">
        <v>46321.41666666666</v>
      </c>
      <c r="I1541" s="2" t="n">
        <v>46321.62777777778</v>
      </c>
      <c r="J1541" t="inlineStr">
        <is>
          <t>Completed</t>
        </is>
      </c>
      <c r="K1541" t="n">
        <v>5.35</v>
      </c>
      <c r="L1541" t="n">
        <v>12</v>
      </c>
      <c r="M1541" t="b">
        <v>0</v>
      </c>
      <c r="N1541" t="n">
        <v>0</v>
      </c>
      <c r="O1541" t="b">
        <v>1</v>
      </c>
      <c r="P1541" t="b">
        <v>0</v>
      </c>
      <c r="Q1541" t="b">
        <v>1</v>
      </c>
    </row>
    <row r="1542">
      <c r="A1542" t="inlineStr">
        <is>
          <t>REQ01541</t>
        </is>
      </c>
      <c r="B1542" t="inlineStr">
        <is>
          <t>98450056EE6HR836F741</t>
        </is>
      </c>
      <c r="C1542" t="inlineStr">
        <is>
          <t>document_refresh</t>
        </is>
      </c>
      <c r="D1542" s="2" t="n">
        <v>46321.41319444445</v>
      </c>
      <c r="E1542" s="2" t="n">
        <v>46322.53819444445</v>
      </c>
      <c r="F1542" t="inlineStr">
        <is>
          <t>M1</t>
        </is>
      </c>
      <c r="G1542" t="inlineStr">
        <is>
          <t>C2</t>
        </is>
      </c>
      <c r="H1542" s="2" t="n">
        <v>46321.42430555556</v>
      </c>
      <c r="I1542" s="2" t="n">
        <v>46321.42986111111</v>
      </c>
      <c r="J1542" t="inlineStr">
        <is>
          <t>Completed</t>
        </is>
      </c>
      <c r="K1542" t="n">
        <v>0.41</v>
      </c>
      <c r="L1542" t="n">
        <v>12</v>
      </c>
      <c r="M1542" t="b">
        <v>0</v>
      </c>
      <c r="N1542" t="n">
        <v>0</v>
      </c>
      <c r="O1542" t="b">
        <v>1</v>
      </c>
      <c r="P1542" t="b">
        <v>0</v>
      </c>
      <c r="Q1542" t="b">
        <v>0</v>
      </c>
    </row>
    <row r="1543">
      <c r="A1543" t="inlineStr">
        <is>
          <t>REQ01542</t>
        </is>
      </c>
      <c r="B1543" t="inlineStr">
        <is>
          <t>254900OHILZ13F2EXC50</t>
        </is>
      </c>
      <c r="C1543" t="inlineStr">
        <is>
          <t>data_amendment</t>
        </is>
      </c>
      <c r="D1543" s="2" t="n">
        <v>46321.41944444444</v>
      </c>
      <c r="E1543" s="2" t="n">
        <v>46322.37777777778</v>
      </c>
      <c r="F1543" t="inlineStr">
        <is>
          <t>M4</t>
        </is>
      </c>
      <c r="G1543" t="inlineStr">
        <is>
          <t>C2</t>
        </is>
      </c>
      <c r="H1543" s="2" t="n">
        <v>46321.43194444444</v>
      </c>
      <c r="I1543" s="2" t="n">
        <v>46321.43541666667</v>
      </c>
      <c r="J1543" t="inlineStr">
        <is>
          <t>Completed</t>
        </is>
      </c>
      <c r="K1543" t="n">
        <v>0.39</v>
      </c>
      <c r="L1543" t="n">
        <v>8</v>
      </c>
      <c r="M1543" t="b">
        <v>0</v>
      </c>
      <c r="N1543" t="n">
        <v>0</v>
      </c>
      <c r="O1543" t="b">
        <v>1</v>
      </c>
      <c r="P1543" t="b">
        <v>0</v>
      </c>
      <c r="Q1543" t="b">
        <v>0</v>
      </c>
    </row>
    <row r="1544">
      <c r="A1544" t="inlineStr">
        <is>
          <t>REQ01543</t>
        </is>
      </c>
      <c r="B1544" t="inlineStr">
        <is>
          <t>724500GG2S5DPQ6OM792</t>
        </is>
      </c>
      <c r="C1544" t="inlineStr">
        <is>
          <t>document_refresh</t>
        </is>
      </c>
      <c r="D1544" s="2" t="n">
        <v>46321.42430555556</v>
      </c>
      <c r="E1544" s="2" t="n">
        <v>46322.54930555556</v>
      </c>
      <c r="F1544" t="inlineStr">
        <is>
          <t>M3</t>
        </is>
      </c>
      <c r="G1544" t="inlineStr">
        <is>
          <t>C2</t>
        </is>
      </c>
      <c r="H1544" s="2" t="n">
        <v>46321.43541666667</v>
      </c>
      <c r="I1544" s="2" t="n">
        <v>46321.44027777778</v>
      </c>
      <c r="J1544" t="inlineStr">
        <is>
          <t>Completed</t>
        </is>
      </c>
      <c r="K1544" t="n">
        <v>0.39</v>
      </c>
      <c r="L1544" t="n">
        <v>12</v>
      </c>
      <c r="M1544" t="b">
        <v>0</v>
      </c>
      <c r="N1544" t="n">
        <v>0</v>
      </c>
      <c r="O1544" t="b">
        <v>1</v>
      </c>
      <c r="P1544" t="b">
        <v>0</v>
      </c>
      <c r="Q1544" t="b">
        <v>0</v>
      </c>
    </row>
    <row r="1545">
      <c r="A1545" t="inlineStr">
        <is>
          <t>REQ01544</t>
        </is>
      </c>
      <c r="B1545" t="inlineStr">
        <is>
          <t>9695005DUYIGGLA5CI39</t>
        </is>
      </c>
      <c r="C1545" t="inlineStr">
        <is>
          <t>signatory_change</t>
        </is>
      </c>
      <c r="D1545" s="2" t="n">
        <v>46321.425</v>
      </c>
      <c r="E1545" s="2" t="n">
        <v>46322.38333333333</v>
      </c>
      <c r="F1545" t="inlineStr">
        <is>
          <t>M2</t>
        </is>
      </c>
      <c r="G1545" t="inlineStr">
        <is>
          <t>C2</t>
        </is>
      </c>
      <c r="H1545" s="2" t="n">
        <v>46321.44236111111</v>
      </c>
      <c r="I1545" s="2" t="n">
        <v>46321.68680555555</v>
      </c>
      <c r="J1545" t="inlineStr">
        <is>
          <t>Completed</t>
        </is>
      </c>
      <c r="K1545" t="n">
        <v>6.29</v>
      </c>
      <c r="L1545" t="n">
        <v>8</v>
      </c>
      <c r="M1545" t="b">
        <v>0</v>
      </c>
      <c r="N1545" t="n">
        <v>0</v>
      </c>
      <c r="O1545" t="b">
        <v>1</v>
      </c>
      <c r="P1545" t="b">
        <v>0</v>
      </c>
      <c r="Q1545" t="b">
        <v>1</v>
      </c>
    </row>
    <row r="1546">
      <c r="A1546" t="inlineStr">
        <is>
          <t>REQ01545</t>
        </is>
      </c>
      <c r="B1546" t="inlineStr">
        <is>
          <t>894500NGOUUK8Z6MIY87</t>
        </is>
      </c>
      <c r="C1546" t="inlineStr">
        <is>
          <t>new_account</t>
        </is>
      </c>
      <c r="D1546" s="2" t="n">
        <v>46321.42777777778</v>
      </c>
      <c r="E1546" s="2" t="n">
        <v>46322.71944444445</v>
      </c>
      <c r="F1546" t="inlineStr">
        <is>
          <t>M6</t>
        </is>
      </c>
      <c r="G1546" t="inlineStr">
        <is>
          <t>C2</t>
        </is>
      </c>
      <c r="H1546" s="2" t="n">
        <v>46321.46666666667</v>
      </c>
      <c r="I1546" s="2" t="n">
        <v>46321.47569444445</v>
      </c>
      <c r="J1546" t="inlineStr">
        <is>
          <t>Completed</t>
        </is>
      </c>
      <c r="K1546" t="n">
        <v>1.15</v>
      </c>
      <c r="L1546" t="n">
        <v>16</v>
      </c>
      <c r="M1546" t="b">
        <v>0</v>
      </c>
      <c r="N1546" t="n">
        <v>0</v>
      </c>
      <c r="O1546" t="b">
        <v>1</v>
      </c>
      <c r="P1546" t="b">
        <v>0</v>
      </c>
      <c r="Q1546" t="b">
        <v>0</v>
      </c>
    </row>
    <row r="1547">
      <c r="A1547" t="inlineStr">
        <is>
          <t>REQ01546</t>
        </is>
      </c>
      <c r="B1547" t="inlineStr">
        <is>
          <t>335800DIH87PTS1AZ787</t>
        </is>
      </c>
      <c r="C1547" t="inlineStr">
        <is>
          <t>signatory_change</t>
        </is>
      </c>
      <c r="D1547" s="2" t="n">
        <v>46321.42916666667</v>
      </c>
      <c r="E1547" s="2" t="n">
        <v>46322.3875</v>
      </c>
      <c r="F1547" t="inlineStr">
        <is>
          <t>M5</t>
        </is>
      </c>
      <c r="G1547" t="inlineStr">
        <is>
          <t>C1</t>
        </is>
      </c>
      <c r="H1547" s="2" t="n">
        <v>46321.45208333333</v>
      </c>
      <c r="I1547" s="2" t="n">
        <v>46321.58819444444</v>
      </c>
      <c r="J1547" t="inlineStr">
        <is>
          <t>Completed</t>
        </is>
      </c>
      <c r="K1547" t="n">
        <v>3.82</v>
      </c>
      <c r="L1547" t="n">
        <v>8</v>
      </c>
      <c r="M1547" t="b">
        <v>0</v>
      </c>
      <c r="N1547" t="n">
        <v>0</v>
      </c>
      <c r="O1547" t="b">
        <v>1</v>
      </c>
      <c r="P1547" t="b">
        <v>0</v>
      </c>
      <c r="Q1547" t="b">
        <v>1</v>
      </c>
    </row>
    <row r="1548">
      <c r="A1548" t="inlineStr">
        <is>
          <t>REQ01547</t>
        </is>
      </c>
      <c r="B1548" t="inlineStr">
        <is>
          <t>549300MNLBWY30LXHM09</t>
        </is>
      </c>
      <c r="C1548" t="inlineStr">
        <is>
          <t>signatory_change</t>
        </is>
      </c>
      <c r="D1548" s="2" t="n">
        <v>46321.44097222222</v>
      </c>
      <c r="E1548" s="2" t="n">
        <v>46322.39930555555</v>
      </c>
      <c r="F1548" t="inlineStr">
        <is>
          <t>M1</t>
        </is>
      </c>
      <c r="G1548" t="inlineStr">
        <is>
          <t>C1</t>
        </is>
      </c>
      <c r="H1548" s="2" t="n">
        <v>46321.46458333333</v>
      </c>
      <c r="I1548" s="2" t="n">
        <v>46321.63472222222</v>
      </c>
      <c r="J1548" t="inlineStr">
        <is>
          <t>Completed</t>
        </is>
      </c>
      <c r="K1548" t="n">
        <v>4.64</v>
      </c>
      <c r="L1548" t="n">
        <v>8</v>
      </c>
      <c r="M1548" t="b">
        <v>0</v>
      </c>
      <c r="N1548" t="n">
        <v>0</v>
      </c>
      <c r="O1548" t="b">
        <v>1</v>
      </c>
      <c r="P1548" t="b">
        <v>0</v>
      </c>
      <c r="Q1548" t="b">
        <v>1</v>
      </c>
    </row>
    <row r="1549">
      <c r="A1549" t="inlineStr">
        <is>
          <t>REQ01548</t>
        </is>
      </c>
      <c r="B1549" t="inlineStr">
        <is>
          <t>894500HPAE7FD1P85M22</t>
        </is>
      </c>
      <c r="C1549" t="inlineStr">
        <is>
          <t>document_refresh</t>
        </is>
      </c>
      <c r="D1549" s="2" t="n">
        <v>46321.44722222222</v>
      </c>
      <c r="E1549" s="2" t="n">
        <v>46322.57222222222</v>
      </c>
      <c r="F1549" t="inlineStr">
        <is>
          <t>M4</t>
        </is>
      </c>
      <c r="G1549" t="inlineStr">
        <is>
          <t>C2</t>
        </is>
      </c>
      <c r="H1549" s="2" t="n">
        <v>46321.46111111111</v>
      </c>
      <c r="I1549" s="2" t="n">
        <v>46321.70138888889</v>
      </c>
      <c r="J1549" t="inlineStr">
        <is>
          <t>Completed</t>
        </is>
      </c>
      <c r="K1549" t="n">
        <v>6.1</v>
      </c>
      <c r="L1549" t="n">
        <v>12</v>
      </c>
      <c r="M1549" t="b">
        <v>0</v>
      </c>
      <c r="N1549" t="n">
        <v>0</v>
      </c>
      <c r="O1549" t="b">
        <v>1</v>
      </c>
      <c r="P1549" t="b">
        <v>0</v>
      </c>
      <c r="Q1549" t="b">
        <v>1</v>
      </c>
    </row>
    <row r="1550">
      <c r="A1550" t="inlineStr">
        <is>
          <t>REQ01549</t>
        </is>
      </c>
      <c r="B1550" t="inlineStr">
        <is>
          <t>549300LHCFILFFIBEU49</t>
        </is>
      </c>
      <c r="C1550" t="inlineStr">
        <is>
          <t>document_refresh</t>
        </is>
      </c>
      <c r="D1550" s="2" t="n">
        <v>46321.45208333333</v>
      </c>
      <c r="E1550" s="2" t="n">
        <v>46322.57708333333</v>
      </c>
      <c r="F1550" t="inlineStr">
        <is>
          <t>M3</t>
        </is>
      </c>
      <c r="G1550" t="inlineStr">
        <is>
          <t>C2</t>
        </is>
      </c>
      <c r="H1550" s="2" t="n">
        <v>46321.4625</v>
      </c>
      <c r="I1550" s="2" t="n">
        <v>46321.59444444445</v>
      </c>
      <c r="J1550" t="inlineStr">
        <is>
          <t>Completed</t>
        </is>
      </c>
      <c r="K1550" t="n">
        <v>3.41</v>
      </c>
      <c r="L1550" t="n">
        <v>12</v>
      </c>
      <c r="M1550" t="b">
        <v>0</v>
      </c>
      <c r="N1550" t="n">
        <v>0</v>
      </c>
      <c r="O1550" t="b">
        <v>1</v>
      </c>
      <c r="P1550" t="b">
        <v>0</v>
      </c>
      <c r="Q1550" t="b">
        <v>1</v>
      </c>
    </row>
    <row r="1551">
      <c r="A1551" t="inlineStr">
        <is>
          <t>REQ01550</t>
        </is>
      </c>
      <c r="B1551" t="inlineStr">
        <is>
          <t>54930051P7VTRJB8RE08</t>
        </is>
      </c>
      <c r="C1551" t="inlineStr">
        <is>
          <t>document_refresh</t>
        </is>
      </c>
      <c r="D1551" s="2" t="n">
        <v>46321.45277777778</v>
      </c>
      <c r="E1551" s="2" t="n">
        <v>46322.57777777778</v>
      </c>
      <c r="F1551" t="inlineStr">
        <is>
          <t>M2</t>
        </is>
      </c>
      <c r="G1551" t="inlineStr">
        <is>
          <t>C1</t>
        </is>
      </c>
      <c r="H1551" s="2" t="n">
        <v>46321.46597222222</v>
      </c>
      <c r="I1551" s="2" t="n">
        <v>46321.69444444445</v>
      </c>
      <c r="J1551" t="inlineStr">
        <is>
          <t>Completed</t>
        </is>
      </c>
      <c r="K1551" t="n">
        <v>5.8</v>
      </c>
      <c r="L1551" t="n">
        <v>12</v>
      </c>
      <c r="M1551" t="b">
        <v>0</v>
      </c>
      <c r="N1551" t="n">
        <v>0</v>
      </c>
      <c r="O1551" t="b">
        <v>1</v>
      </c>
      <c r="P1551" t="b">
        <v>0</v>
      </c>
      <c r="Q1551" t="b">
        <v>1</v>
      </c>
    </row>
    <row r="1552">
      <c r="A1552" t="inlineStr">
        <is>
          <t>REQ01551</t>
        </is>
      </c>
      <c r="B1552" t="inlineStr">
        <is>
          <t>984500DD7944FZ940A93</t>
        </is>
      </c>
      <c r="C1552" t="inlineStr">
        <is>
          <t>signatory_change</t>
        </is>
      </c>
      <c r="D1552" s="2" t="n">
        <v>46321.45486111111</v>
      </c>
      <c r="E1552" s="2" t="n">
        <v>46322.41319444445</v>
      </c>
      <c r="F1552" t="inlineStr">
        <is>
          <t>M5</t>
        </is>
      </c>
      <c r="G1552" t="inlineStr">
        <is>
          <t>C1</t>
        </is>
      </c>
      <c r="H1552" s="2" t="n">
        <v>46321.47291666667</v>
      </c>
      <c r="I1552" s="2" t="n">
        <v>46321.47916666666</v>
      </c>
      <c r="J1552" t="inlineStr">
        <is>
          <t>Completed</t>
        </is>
      </c>
      <c r="K1552" t="n">
        <v>0.59</v>
      </c>
      <c r="L1552" t="n">
        <v>8</v>
      </c>
      <c r="M1552" t="b">
        <v>0</v>
      </c>
      <c r="N1552" t="n">
        <v>0</v>
      </c>
      <c r="O1552" t="b">
        <v>1</v>
      </c>
      <c r="P1552" t="b">
        <v>0</v>
      </c>
      <c r="Q1552" t="b">
        <v>0</v>
      </c>
    </row>
    <row r="1553">
      <c r="A1553" t="inlineStr">
        <is>
          <t>REQ01552</t>
        </is>
      </c>
      <c r="B1553" t="inlineStr">
        <is>
          <t>96950061SO7OYIB3P982</t>
        </is>
      </c>
      <c r="C1553" t="inlineStr">
        <is>
          <t>signatory_change</t>
        </is>
      </c>
      <c r="D1553" s="2" t="n">
        <v>46321.46111111111</v>
      </c>
      <c r="E1553" s="2" t="n">
        <v>46322.41944444444</v>
      </c>
      <c r="F1553" t="inlineStr">
        <is>
          <t>M4</t>
        </is>
      </c>
      <c r="G1553" t="inlineStr">
        <is>
          <t>C2</t>
        </is>
      </c>
      <c r="H1553" s="2" t="n">
        <v>46321.48472222222</v>
      </c>
      <c r="I1553" s="2" t="n">
        <v>46321.73333333333</v>
      </c>
      <c r="J1553" t="inlineStr">
        <is>
          <t>Completed</t>
        </is>
      </c>
      <c r="K1553" t="n">
        <v>6.53</v>
      </c>
      <c r="L1553" t="n">
        <v>8</v>
      </c>
      <c r="M1553" t="b">
        <v>0</v>
      </c>
      <c r="N1553" t="n">
        <v>0</v>
      </c>
      <c r="O1553" t="b">
        <v>1</v>
      </c>
      <c r="P1553" t="b">
        <v>0</v>
      </c>
      <c r="Q1553" t="b">
        <v>1</v>
      </c>
    </row>
    <row r="1554">
      <c r="A1554" t="inlineStr">
        <is>
          <t>REQ01553</t>
        </is>
      </c>
      <c r="B1554" t="inlineStr">
        <is>
          <t>213800VXS1BPI8EYWB41</t>
        </is>
      </c>
      <c r="C1554" t="inlineStr">
        <is>
          <t>signatory_change</t>
        </is>
      </c>
      <c r="D1554" s="2" t="n">
        <v>46321.46319444444</v>
      </c>
      <c r="E1554" s="2" t="n">
        <v>46322.42152777778</v>
      </c>
      <c r="F1554" t="inlineStr">
        <is>
          <t>M3</t>
        </is>
      </c>
      <c r="G1554" t="inlineStr">
        <is>
          <t>C3</t>
        </is>
      </c>
      <c r="H1554" s="2" t="n">
        <v>46321.48055555556</v>
      </c>
      <c r="I1554" s="2" t="n">
        <v>46321.65</v>
      </c>
      <c r="J1554" t="inlineStr">
        <is>
          <t>Completed</t>
        </is>
      </c>
      <c r="K1554" t="n">
        <v>4.48</v>
      </c>
      <c r="L1554" t="n">
        <v>8</v>
      </c>
      <c r="M1554" t="b">
        <v>0</v>
      </c>
      <c r="N1554" t="n">
        <v>0</v>
      </c>
      <c r="O1554" t="b">
        <v>1</v>
      </c>
      <c r="P1554" t="b">
        <v>0</v>
      </c>
      <c r="Q1554" t="b">
        <v>1</v>
      </c>
    </row>
    <row r="1555">
      <c r="A1555" t="inlineStr">
        <is>
          <t>REQ01554</t>
        </is>
      </c>
      <c r="B1555" t="inlineStr">
        <is>
          <t>335800F8XQLRAMQUI861</t>
        </is>
      </c>
      <c r="C1555" t="inlineStr">
        <is>
          <t>new_account</t>
        </is>
      </c>
      <c r="D1555" s="2" t="n">
        <v>46321.46458333333</v>
      </c>
      <c r="E1555" s="2" t="n">
        <v>46323.38125</v>
      </c>
      <c r="F1555" t="inlineStr">
        <is>
          <t>M1</t>
        </is>
      </c>
      <c r="G1555" t="inlineStr">
        <is>
          <t>C3</t>
        </is>
      </c>
      <c r="H1555" s="2" t="n">
        <v>46321.49513888889</v>
      </c>
      <c r="I1555" s="2" t="n">
        <v>46321.50833333333</v>
      </c>
      <c r="J1555" t="inlineStr">
        <is>
          <t>Completed</t>
        </is>
      </c>
      <c r="K1555" t="n">
        <v>1.05</v>
      </c>
      <c r="L1555" t="n">
        <v>16</v>
      </c>
      <c r="M1555" t="b">
        <v>0</v>
      </c>
      <c r="N1555" t="n">
        <v>0</v>
      </c>
      <c r="O1555" t="b">
        <v>1</v>
      </c>
      <c r="P1555" t="b">
        <v>0</v>
      </c>
      <c r="Q1555" t="b">
        <v>0</v>
      </c>
    </row>
    <row r="1556">
      <c r="A1556" t="inlineStr">
        <is>
          <t>REQ01555</t>
        </is>
      </c>
      <c r="B1556" t="inlineStr">
        <is>
          <t>549300EZQDSU0WIQR955</t>
        </is>
      </c>
      <c r="C1556" t="inlineStr">
        <is>
          <t>new_account</t>
        </is>
      </c>
      <c r="D1556" s="2" t="n">
        <v>46321.47361111111</v>
      </c>
      <c r="E1556" s="2" t="n">
        <v>46323.39027777778</v>
      </c>
      <c r="F1556" t="inlineStr">
        <is>
          <t>M2</t>
        </is>
      </c>
      <c r="G1556" t="inlineStr">
        <is>
          <t>C2</t>
        </is>
      </c>
      <c r="H1556" s="2" t="n">
        <v>46321.5125</v>
      </c>
      <c r="I1556" s="2" t="n">
        <v>46321.62291666667</v>
      </c>
      <c r="J1556" t="inlineStr">
        <is>
          <t>Completed</t>
        </is>
      </c>
      <c r="K1556" t="n">
        <v>3.59</v>
      </c>
      <c r="L1556" t="n">
        <v>16</v>
      </c>
      <c r="M1556" t="b">
        <v>0</v>
      </c>
      <c r="N1556" t="n">
        <v>0</v>
      </c>
      <c r="O1556" t="b">
        <v>1</v>
      </c>
      <c r="P1556" t="b">
        <v>0</v>
      </c>
      <c r="Q1556" t="b">
        <v>1</v>
      </c>
    </row>
    <row r="1557">
      <c r="A1557" t="inlineStr">
        <is>
          <t>REQ01556</t>
        </is>
      </c>
      <c r="B1557" t="inlineStr">
        <is>
          <t>335800KM5K7JOAPP4A93</t>
        </is>
      </c>
      <c r="C1557" t="inlineStr">
        <is>
          <t>new_account</t>
        </is>
      </c>
      <c r="D1557" s="2" t="n">
        <v>46321.47569444445</v>
      </c>
      <c r="E1557" s="2" t="n">
        <v>46323.39236111111</v>
      </c>
      <c r="F1557" t="inlineStr">
        <is>
          <t>M6</t>
        </is>
      </c>
      <c r="G1557" t="inlineStr">
        <is>
          <t>C1</t>
        </is>
      </c>
      <c r="H1557" s="2" t="n">
        <v>46321.50902777778</v>
      </c>
      <c r="I1557" s="2" t="n">
        <v>46321.67013888889</v>
      </c>
      <c r="J1557" t="inlineStr">
        <is>
          <t>Completed</t>
        </is>
      </c>
      <c r="K1557" t="n">
        <v>4.67</v>
      </c>
      <c r="L1557" t="n">
        <v>16</v>
      </c>
      <c r="M1557" t="b">
        <v>0</v>
      </c>
      <c r="N1557" t="n">
        <v>0</v>
      </c>
      <c r="O1557" t="b">
        <v>1</v>
      </c>
      <c r="P1557" t="b">
        <v>0</v>
      </c>
      <c r="Q1557" t="b">
        <v>1</v>
      </c>
    </row>
    <row r="1558">
      <c r="A1558" t="inlineStr">
        <is>
          <t>REQ01557</t>
        </is>
      </c>
      <c r="B1558" t="inlineStr">
        <is>
          <t>549300NP3DNB1K9Z8513</t>
        </is>
      </c>
      <c r="C1558" t="inlineStr">
        <is>
          <t>new_account</t>
        </is>
      </c>
      <c r="D1558" s="2" t="n">
        <v>46321.47916666666</v>
      </c>
      <c r="E1558" s="2" t="n">
        <v>46323.39583333334</v>
      </c>
      <c r="F1558" t="inlineStr">
        <is>
          <t>M5</t>
        </is>
      </c>
      <c r="G1558" t="inlineStr">
        <is>
          <t>C2</t>
        </is>
      </c>
      <c r="H1558" s="2" t="n">
        <v>46321.50763888889</v>
      </c>
      <c r="I1558" s="2" t="n">
        <v>46321.52222222222</v>
      </c>
      <c r="J1558" t="inlineStr">
        <is>
          <t>Completed</t>
        </is>
      </c>
      <c r="K1558" t="n">
        <v>1.03</v>
      </c>
      <c r="L1558" t="n">
        <v>16</v>
      </c>
      <c r="M1558" t="b">
        <v>0</v>
      </c>
      <c r="N1558" t="n">
        <v>0</v>
      </c>
      <c r="O1558" t="b">
        <v>1</v>
      </c>
      <c r="P1558" t="b">
        <v>0</v>
      </c>
      <c r="Q1558" t="b">
        <v>0</v>
      </c>
    </row>
    <row r="1559">
      <c r="A1559" t="inlineStr">
        <is>
          <t>REQ01558</t>
        </is>
      </c>
      <c r="B1559" t="inlineStr">
        <is>
          <t>5299004CCWQVZSUQGE52</t>
        </is>
      </c>
      <c r="C1559" t="inlineStr">
        <is>
          <t>signatory_change</t>
        </is>
      </c>
      <c r="D1559" s="2" t="n">
        <v>46321.48194444444</v>
      </c>
      <c r="E1559" s="2" t="n">
        <v>46322.44027777778</v>
      </c>
      <c r="F1559" t="inlineStr">
        <is>
          <t>M3</t>
        </is>
      </c>
      <c r="G1559" t="inlineStr">
        <is>
          <t>C2</t>
        </is>
      </c>
      <c r="H1559" s="2" t="n">
        <v>46321.49791666667</v>
      </c>
      <c r="I1559" s="2" t="n">
        <v>46321.50902777778</v>
      </c>
      <c r="J1559" t="inlineStr">
        <is>
          <t>Completed</t>
        </is>
      </c>
      <c r="K1559" t="n">
        <v>0.65</v>
      </c>
      <c r="L1559" t="n">
        <v>8</v>
      </c>
      <c r="M1559" t="b">
        <v>0</v>
      </c>
      <c r="N1559" t="n">
        <v>0</v>
      </c>
      <c r="O1559" t="b">
        <v>1</v>
      </c>
      <c r="P1559" t="b">
        <v>0</v>
      </c>
      <c r="Q1559" t="b">
        <v>0</v>
      </c>
    </row>
    <row r="1560">
      <c r="A1560" t="inlineStr">
        <is>
          <t>REQ01559</t>
        </is>
      </c>
      <c r="B1560" t="inlineStr">
        <is>
          <t>9845009DB993BEEFFE56</t>
        </is>
      </c>
      <c r="C1560" t="inlineStr">
        <is>
          <t>signatory_change</t>
        </is>
      </c>
      <c r="D1560" s="2" t="n">
        <v>46321.48263888889</v>
      </c>
      <c r="E1560" s="2" t="n">
        <v>46322.44097222222</v>
      </c>
      <c r="F1560" t="inlineStr">
        <is>
          <t>M4</t>
        </is>
      </c>
      <c r="G1560" t="inlineStr">
        <is>
          <t>C3</t>
        </is>
      </c>
      <c r="H1560" s="2" t="n">
        <v>46321.50277777778</v>
      </c>
      <c r="I1560" s="2" t="n">
        <v>46321.51319444444</v>
      </c>
      <c r="J1560" t="inlineStr">
        <is>
          <t>Completed</t>
        </is>
      </c>
      <c r="K1560" t="n">
        <v>0.74</v>
      </c>
      <c r="L1560" t="n">
        <v>8</v>
      </c>
      <c r="M1560" t="b">
        <v>0</v>
      </c>
      <c r="N1560" t="n">
        <v>0</v>
      </c>
      <c r="O1560" t="b">
        <v>1</v>
      </c>
      <c r="P1560" t="b">
        <v>0</v>
      </c>
      <c r="Q1560" t="b">
        <v>0</v>
      </c>
    </row>
    <row r="1561">
      <c r="A1561" t="inlineStr">
        <is>
          <t>REQ01560</t>
        </is>
      </c>
      <c r="B1561" t="inlineStr">
        <is>
          <t>549300T534GKT30MUQ90</t>
        </is>
      </c>
      <c r="C1561" t="inlineStr">
        <is>
          <t>signatory_change</t>
        </is>
      </c>
      <c r="D1561" s="2" t="n">
        <v>46321.48333333333</v>
      </c>
      <c r="E1561" s="2" t="n">
        <v>46322.44166666667</v>
      </c>
      <c r="F1561" t="inlineStr">
        <is>
          <t>M1</t>
        </is>
      </c>
      <c r="G1561" t="inlineStr">
        <is>
          <t>C3</t>
        </is>
      </c>
      <c r="H1561" s="2" t="n">
        <v>46321.52222222222</v>
      </c>
      <c r="I1561" s="2" t="n">
        <v>46321.69791666666</v>
      </c>
      <c r="J1561" t="inlineStr">
        <is>
          <t>Completed</t>
        </is>
      </c>
      <c r="K1561" t="n">
        <v>5.15</v>
      </c>
      <c r="L1561" t="n">
        <v>8</v>
      </c>
      <c r="M1561" t="b">
        <v>0</v>
      </c>
      <c r="N1561" t="n">
        <v>0</v>
      </c>
      <c r="O1561" t="b">
        <v>1</v>
      </c>
      <c r="P1561" t="b">
        <v>0</v>
      </c>
      <c r="Q1561" t="b">
        <v>1</v>
      </c>
    </row>
    <row r="1562">
      <c r="A1562" t="inlineStr">
        <is>
          <t>REQ01561</t>
        </is>
      </c>
      <c r="B1562" t="inlineStr">
        <is>
          <t>969500SFVU8J8Q58LE33</t>
        </is>
      </c>
      <c r="C1562" t="inlineStr">
        <is>
          <t>signatory_change</t>
        </is>
      </c>
      <c r="D1562" s="2" t="n">
        <v>46321.48888888889</v>
      </c>
      <c r="E1562" s="2" t="n">
        <v>46322.44722222222</v>
      </c>
      <c r="F1562" t="inlineStr">
        <is>
          <t>M3</t>
        </is>
      </c>
      <c r="G1562" t="inlineStr">
        <is>
          <t>C2</t>
        </is>
      </c>
      <c r="H1562" s="2" t="n">
        <v>46321.51597222222</v>
      </c>
      <c r="I1562" s="2" t="n">
        <v>46321.71180555555</v>
      </c>
      <c r="J1562" t="inlineStr">
        <is>
          <t>Completed</t>
        </is>
      </c>
      <c r="K1562" t="n">
        <v>5.35</v>
      </c>
      <c r="L1562" t="n">
        <v>8</v>
      </c>
      <c r="M1562" t="b">
        <v>0</v>
      </c>
      <c r="N1562" t="n">
        <v>0</v>
      </c>
      <c r="O1562" t="b">
        <v>1</v>
      </c>
      <c r="P1562" t="b">
        <v>0</v>
      </c>
      <c r="Q1562" t="b">
        <v>1</v>
      </c>
    </row>
    <row r="1563">
      <c r="A1563" t="inlineStr">
        <is>
          <t>REQ01562</t>
        </is>
      </c>
      <c r="B1563" t="inlineStr">
        <is>
          <t>98450070E3F5Q4AFW775</t>
        </is>
      </c>
      <c r="C1563" t="inlineStr">
        <is>
          <t>document_refresh</t>
        </is>
      </c>
      <c r="D1563" s="2" t="n">
        <v>46321.5</v>
      </c>
      <c r="E1563" s="2" t="n">
        <v>46322.625</v>
      </c>
      <c r="F1563" t="inlineStr">
        <is>
          <t>M4</t>
        </is>
      </c>
      <c r="G1563" t="inlineStr">
        <is>
          <t>C1</t>
        </is>
      </c>
      <c r="H1563" s="2" t="n">
        <v>46321.51597222222</v>
      </c>
      <c r="I1563" s="2" t="n">
        <v>46322.40138888889</v>
      </c>
      <c r="J1563" t="inlineStr">
        <is>
          <t>Completed</t>
        </is>
      </c>
      <c r="K1563" t="n">
        <v>6.63</v>
      </c>
      <c r="L1563" t="n">
        <v>12</v>
      </c>
      <c r="M1563" t="b">
        <v>0</v>
      </c>
      <c r="N1563" t="n">
        <v>0</v>
      </c>
      <c r="O1563" t="b">
        <v>1</v>
      </c>
      <c r="P1563" t="b">
        <v>0</v>
      </c>
      <c r="Q1563" t="b">
        <v>1</v>
      </c>
    </row>
    <row r="1564">
      <c r="A1564" t="inlineStr">
        <is>
          <t>REQ01563</t>
        </is>
      </c>
      <c r="B1564" t="inlineStr">
        <is>
          <t>549300ZJ9JUGZ6H4UO82</t>
        </is>
      </c>
      <c r="C1564" t="inlineStr">
        <is>
          <t>signatory_change</t>
        </is>
      </c>
      <c r="D1564" s="2" t="n">
        <v>46321.50555555556</v>
      </c>
      <c r="E1564" s="2" t="n">
        <v>46322.46388888889</v>
      </c>
      <c r="F1564" t="inlineStr">
        <is>
          <t>M5</t>
        </is>
      </c>
      <c r="G1564" t="inlineStr">
        <is>
          <t>C3</t>
        </is>
      </c>
      <c r="H1564" s="2" t="n">
        <v>46321.52777777778</v>
      </c>
      <c r="I1564" s="2" t="n">
        <v>46321.63958333333</v>
      </c>
      <c r="J1564" t="inlineStr">
        <is>
          <t>Completed</t>
        </is>
      </c>
      <c r="K1564" t="n">
        <v>3.22</v>
      </c>
      <c r="L1564" t="n">
        <v>8</v>
      </c>
      <c r="M1564" t="b">
        <v>0</v>
      </c>
      <c r="N1564" t="n">
        <v>0</v>
      </c>
      <c r="O1564" t="b">
        <v>1</v>
      </c>
      <c r="P1564" t="b">
        <v>0</v>
      </c>
      <c r="Q1564" t="b">
        <v>1</v>
      </c>
    </row>
    <row r="1565">
      <c r="A1565" t="inlineStr">
        <is>
          <t>REQ01564</t>
        </is>
      </c>
      <c r="B1565" t="inlineStr">
        <is>
          <t>894500G7JVKHKJJCSU39</t>
        </is>
      </c>
      <c r="C1565" t="inlineStr">
        <is>
          <t>signatory_change</t>
        </is>
      </c>
      <c r="D1565" s="2" t="n">
        <v>46321.50763888889</v>
      </c>
      <c r="E1565" s="2" t="n">
        <v>46322.46597222222</v>
      </c>
      <c r="F1565" t="inlineStr">
        <is>
          <t>M6</t>
        </is>
      </c>
      <c r="G1565" t="inlineStr">
        <is>
          <t>C3</t>
        </is>
      </c>
      <c r="H1565" s="2" t="n">
        <v>46321.53263888889</v>
      </c>
      <c r="I1565" s="2" t="n">
        <v>46321.72083333333</v>
      </c>
      <c r="J1565" t="inlineStr">
        <is>
          <t>Completed</t>
        </is>
      </c>
      <c r="K1565" t="n">
        <v>5.11</v>
      </c>
      <c r="L1565" t="n">
        <v>8</v>
      </c>
      <c r="M1565" t="b">
        <v>0</v>
      </c>
      <c r="N1565" t="n">
        <v>0</v>
      </c>
      <c r="O1565" t="b">
        <v>1</v>
      </c>
      <c r="P1565" t="b">
        <v>0</v>
      </c>
      <c r="Q1565" t="b">
        <v>1</v>
      </c>
    </row>
    <row r="1566">
      <c r="A1566" t="inlineStr">
        <is>
          <t>REQ01565</t>
        </is>
      </c>
      <c r="B1566" t="inlineStr">
        <is>
          <t>984500B7378CA714G381</t>
        </is>
      </c>
      <c r="C1566" t="inlineStr">
        <is>
          <t>document_refresh</t>
        </is>
      </c>
      <c r="D1566" s="2" t="n">
        <v>46321.50763888889</v>
      </c>
      <c r="E1566" s="2" t="n">
        <v>46322.63263888889</v>
      </c>
      <c r="F1566" t="inlineStr">
        <is>
          <t>M2</t>
        </is>
      </c>
      <c r="G1566" t="inlineStr">
        <is>
          <t>C1</t>
        </is>
      </c>
      <c r="H1566" s="2" t="n">
        <v>46321.52222222222</v>
      </c>
      <c r="I1566" s="2" t="n">
        <v>46321.52708333333</v>
      </c>
      <c r="J1566" t="inlineStr">
        <is>
          <t>Completed</t>
        </is>
      </c>
      <c r="K1566" t="n">
        <v>0.46</v>
      </c>
      <c r="L1566" t="n">
        <v>12</v>
      </c>
      <c r="M1566" t="b">
        <v>0</v>
      </c>
      <c r="N1566" t="n">
        <v>0</v>
      </c>
      <c r="O1566" t="b">
        <v>1</v>
      </c>
      <c r="P1566" t="b">
        <v>0</v>
      </c>
      <c r="Q1566" t="b">
        <v>0</v>
      </c>
    </row>
    <row r="1567">
      <c r="A1567" t="inlineStr">
        <is>
          <t>REQ01566</t>
        </is>
      </c>
      <c r="B1567" t="inlineStr">
        <is>
          <t>969500YQ6ONFKACYS940</t>
        </is>
      </c>
      <c r="C1567" t="inlineStr">
        <is>
          <t>new_account</t>
        </is>
      </c>
      <c r="D1567" s="2" t="n">
        <v>46321.51041666666</v>
      </c>
      <c r="E1567" s="2" t="n">
        <v>46323.42708333334</v>
      </c>
      <c r="F1567" t="inlineStr">
        <is>
          <t>M4</t>
        </is>
      </c>
      <c r="G1567" t="inlineStr">
        <is>
          <t>C2</t>
        </is>
      </c>
      <c r="H1567" s="2" t="n">
        <v>46321.55555555555</v>
      </c>
      <c r="I1567" s="2" t="n">
        <v>46322.39027777778</v>
      </c>
      <c r="J1567" t="inlineStr">
        <is>
          <t>Completed</t>
        </is>
      </c>
      <c r="K1567" t="n">
        <v>6.12</v>
      </c>
      <c r="L1567" t="n">
        <v>16</v>
      </c>
      <c r="M1567" t="b">
        <v>0</v>
      </c>
      <c r="N1567" t="n">
        <v>0</v>
      </c>
      <c r="O1567" t="b">
        <v>1</v>
      </c>
      <c r="P1567" t="b">
        <v>0</v>
      </c>
      <c r="Q1567" t="b">
        <v>1</v>
      </c>
    </row>
    <row r="1568">
      <c r="A1568" t="inlineStr">
        <is>
          <t>REQ01567</t>
        </is>
      </c>
      <c r="B1568" t="inlineStr">
        <is>
          <t>549300EUCYOJUEUNPR85</t>
        </is>
      </c>
      <c r="C1568" t="inlineStr">
        <is>
          <t>signatory_change</t>
        </is>
      </c>
      <c r="D1568" s="2" t="n">
        <v>46321.51041666666</v>
      </c>
      <c r="E1568" s="2" t="n">
        <v>46322.46875</v>
      </c>
      <c r="F1568" t="inlineStr">
        <is>
          <t>M3</t>
        </is>
      </c>
      <c r="G1568" t="inlineStr">
        <is>
          <t>C3</t>
        </is>
      </c>
      <c r="H1568" s="2" t="n">
        <v>46321.53680555556</v>
      </c>
      <c r="I1568" s="2" t="n">
        <v>46321.54375</v>
      </c>
      <c r="J1568" t="inlineStr">
        <is>
          <t>Completed</t>
        </is>
      </c>
      <c r="K1568" t="n">
        <v>0.8</v>
      </c>
      <c r="L1568" t="n">
        <v>8</v>
      </c>
      <c r="M1568" t="b">
        <v>0</v>
      </c>
      <c r="N1568" t="n">
        <v>0</v>
      </c>
      <c r="O1568" t="b">
        <v>1</v>
      </c>
      <c r="P1568" t="b">
        <v>0</v>
      </c>
      <c r="Q1568" t="b">
        <v>0</v>
      </c>
    </row>
    <row r="1569">
      <c r="A1569" t="inlineStr">
        <is>
          <t>REQ01568</t>
        </is>
      </c>
      <c r="B1569" t="inlineStr">
        <is>
          <t>335800QWHFXZK3UUP443</t>
        </is>
      </c>
      <c r="C1569" t="inlineStr">
        <is>
          <t>signatory_change</t>
        </is>
      </c>
      <c r="D1569" s="2" t="n">
        <v>46321.52847222222</v>
      </c>
      <c r="E1569" s="2" t="n">
        <v>46322.48680555556</v>
      </c>
      <c r="F1569" t="inlineStr">
        <is>
          <t>M1</t>
        </is>
      </c>
      <c r="G1569" t="inlineStr">
        <is>
          <t>C3</t>
        </is>
      </c>
      <c r="H1569" s="2" t="n">
        <v>46321.55416666667</v>
      </c>
      <c r="I1569" s="2" t="n">
        <v>46321.55972222222</v>
      </c>
      <c r="J1569" t="inlineStr">
        <is>
          <t>Completed</t>
        </is>
      </c>
      <c r="K1569" t="n">
        <v>0.74</v>
      </c>
      <c r="L1569" t="n">
        <v>8</v>
      </c>
      <c r="M1569" t="b">
        <v>0</v>
      </c>
      <c r="N1569" t="n">
        <v>0</v>
      </c>
      <c r="O1569" t="b">
        <v>1</v>
      </c>
      <c r="P1569" t="b">
        <v>0</v>
      </c>
      <c r="Q1569" t="b">
        <v>0</v>
      </c>
    </row>
    <row r="1570">
      <c r="A1570" t="inlineStr">
        <is>
          <t>REQ01569</t>
        </is>
      </c>
      <c r="B1570" t="inlineStr">
        <is>
          <t>254900BFGWJ991LSFR60</t>
        </is>
      </c>
      <c r="C1570" t="inlineStr">
        <is>
          <t>document_refresh</t>
        </is>
      </c>
      <c r="D1570" s="2" t="n">
        <v>46321.53402777778</v>
      </c>
      <c r="E1570" s="2" t="n">
        <v>46322.65902777778</v>
      </c>
      <c r="F1570" t="inlineStr">
        <is>
          <t>M2</t>
        </is>
      </c>
      <c r="G1570" t="inlineStr">
        <is>
          <t>C1</t>
        </is>
      </c>
      <c r="H1570" s="2" t="n">
        <v>46321.55069444444</v>
      </c>
      <c r="I1570" s="2" t="n">
        <v>46321.72916666666</v>
      </c>
      <c r="J1570" t="inlineStr">
        <is>
          <t>Completed</t>
        </is>
      </c>
      <c r="K1570" t="n">
        <v>4.68</v>
      </c>
      <c r="L1570" t="n">
        <v>12</v>
      </c>
      <c r="M1570" t="b">
        <v>0</v>
      </c>
      <c r="N1570" t="n">
        <v>0</v>
      </c>
      <c r="O1570" t="b">
        <v>1</v>
      </c>
      <c r="P1570" t="b">
        <v>0</v>
      </c>
      <c r="Q1570" t="b">
        <v>1</v>
      </c>
    </row>
    <row r="1571">
      <c r="A1571" t="inlineStr">
        <is>
          <t>REQ01570</t>
        </is>
      </c>
      <c r="B1571" t="inlineStr">
        <is>
          <t>5493000KC63RT1RW2X37</t>
        </is>
      </c>
      <c r="C1571" t="inlineStr">
        <is>
          <t>data_amendment</t>
        </is>
      </c>
      <c r="D1571" s="2" t="n">
        <v>46321.53541666667</v>
      </c>
      <c r="E1571" s="2" t="n">
        <v>46322.49375</v>
      </c>
      <c r="F1571" t="inlineStr">
        <is>
          <t>M5</t>
        </is>
      </c>
      <c r="G1571" t="inlineStr">
        <is>
          <t>C2</t>
        </is>
      </c>
      <c r="H1571" s="2" t="n">
        <v>46321.54791666667</v>
      </c>
      <c r="I1571" s="2" t="n">
        <v>46321.55347222222</v>
      </c>
      <c r="J1571" t="inlineStr">
        <is>
          <t>Completed</t>
        </is>
      </c>
      <c r="K1571" t="n">
        <v>0.43</v>
      </c>
      <c r="L1571" t="n">
        <v>8</v>
      </c>
      <c r="M1571" t="b">
        <v>0</v>
      </c>
      <c r="N1571" t="n">
        <v>0</v>
      </c>
      <c r="O1571" t="b">
        <v>1</v>
      </c>
      <c r="P1571" t="b">
        <v>0</v>
      </c>
      <c r="Q1571" t="b">
        <v>0</v>
      </c>
    </row>
    <row r="1572">
      <c r="A1572" t="inlineStr">
        <is>
          <t>REQ01571</t>
        </is>
      </c>
      <c r="B1572" t="inlineStr">
        <is>
          <t>391200VEP8JTCIG0G592</t>
        </is>
      </c>
      <c r="C1572" t="inlineStr">
        <is>
          <t>new_account</t>
        </is>
      </c>
      <c r="D1572" s="2" t="n">
        <v>46321.53541666667</v>
      </c>
      <c r="E1572" s="2" t="n">
        <v>46323.45208333333</v>
      </c>
      <c r="F1572" t="inlineStr">
        <is>
          <t>M6</t>
        </is>
      </c>
      <c r="G1572" t="inlineStr">
        <is>
          <t>C3</t>
        </is>
      </c>
      <c r="H1572" s="2" t="n">
        <v>46321.56388888889</v>
      </c>
      <c r="I1572" s="2" t="n">
        <v>46321.57291666666</v>
      </c>
      <c r="J1572" t="inlineStr">
        <is>
          <t>Completed</t>
        </is>
      </c>
      <c r="K1572" t="n">
        <v>0.9</v>
      </c>
      <c r="L1572" t="n">
        <v>16</v>
      </c>
      <c r="M1572" t="b">
        <v>0</v>
      </c>
      <c r="N1572" t="n">
        <v>0</v>
      </c>
      <c r="O1572" t="b">
        <v>1</v>
      </c>
      <c r="P1572" t="b">
        <v>0</v>
      </c>
      <c r="Q1572" t="b">
        <v>0</v>
      </c>
    </row>
    <row r="1573">
      <c r="A1573" t="inlineStr">
        <is>
          <t>REQ01572</t>
        </is>
      </c>
      <c r="B1573" t="inlineStr">
        <is>
          <t>254900KAF16PGZTXGB87</t>
        </is>
      </c>
      <c r="C1573" t="inlineStr">
        <is>
          <t>new_account</t>
        </is>
      </c>
      <c r="D1573" s="2" t="n">
        <v>46321.53819444445</v>
      </c>
      <c r="E1573" s="2" t="n">
        <v>46323.45486111111</v>
      </c>
      <c r="F1573" t="inlineStr">
        <is>
          <t>M3</t>
        </is>
      </c>
      <c r="G1573" t="inlineStr">
        <is>
          <t>C2</t>
        </is>
      </c>
      <c r="H1573" s="2" t="n">
        <v>46321.56805555556</v>
      </c>
      <c r="I1573" s="2" t="n">
        <v>46321.58333333334</v>
      </c>
      <c r="J1573" t="inlineStr">
        <is>
          <t>Completed</t>
        </is>
      </c>
      <c r="K1573" t="n">
        <v>1.09</v>
      </c>
      <c r="L1573" t="n">
        <v>16</v>
      </c>
      <c r="M1573" t="b">
        <v>0</v>
      </c>
      <c r="N1573" t="n">
        <v>0</v>
      </c>
      <c r="O1573" t="b">
        <v>1</v>
      </c>
      <c r="P1573" t="b">
        <v>0</v>
      </c>
      <c r="Q1573" t="b">
        <v>0</v>
      </c>
    </row>
    <row r="1574">
      <c r="A1574" t="inlineStr">
        <is>
          <t>REQ01573</t>
        </is>
      </c>
      <c r="B1574" t="inlineStr">
        <is>
          <t>549300DE02ONIOZ69V71</t>
        </is>
      </c>
      <c r="C1574" t="inlineStr">
        <is>
          <t>data_amendment</t>
        </is>
      </c>
      <c r="D1574" s="2" t="n">
        <v>46321.53958333333</v>
      </c>
      <c r="E1574" s="2" t="n">
        <v>46322.49791666667</v>
      </c>
      <c r="F1574" t="inlineStr">
        <is>
          <t>M5</t>
        </is>
      </c>
      <c r="G1574" t="inlineStr">
        <is>
          <t>C1</t>
        </is>
      </c>
      <c r="H1574" s="2" t="n">
        <v>46321.55972222222</v>
      </c>
      <c r="I1574" s="2" t="n">
        <v>46321.56319444445</v>
      </c>
      <c r="J1574" t="inlineStr">
        <is>
          <t>Completed</t>
        </is>
      </c>
      <c r="K1574" t="n">
        <v>0.57</v>
      </c>
      <c r="L1574" t="n">
        <v>8</v>
      </c>
      <c r="M1574" t="b">
        <v>0</v>
      </c>
      <c r="N1574" t="n">
        <v>0</v>
      </c>
      <c r="O1574" t="b">
        <v>1</v>
      </c>
      <c r="P1574" t="b">
        <v>0</v>
      </c>
      <c r="Q1574" t="b">
        <v>0</v>
      </c>
    </row>
    <row r="1575">
      <c r="A1575" t="inlineStr">
        <is>
          <t>REQ01574</t>
        </is>
      </c>
      <c r="B1575" t="inlineStr">
        <is>
          <t>213800NKD5ES37QICU64</t>
        </is>
      </c>
      <c r="C1575" t="inlineStr">
        <is>
          <t>document_refresh</t>
        </is>
      </c>
      <c r="D1575" s="2" t="n">
        <v>46321.54305555556</v>
      </c>
      <c r="E1575" s="2" t="n">
        <v>46322.66805555556</v>
      </c>
      <c r="F1575" t="inlineStr">
        <is>
          <t>M2</t>
        </is>
      </c>
      <c r="G1575" t="inlineStr">
        <is>
          <t>C2</t>
        </is>
      </c>
      <c r="H1575" s="2" t="n">
        <v>46321.56527777778</v>
      </c>
      <c r="I1575" s="2" t="n">
        <v>46321.675</v>
      </c>
      <c r="J1575" t="inlineStr">
        <is>
          <t>Completed</t>
        </is>
      </c>
      <c r="K1575" t="n">
        <v>3.17</v>
      </c>
      <c r="L1575" t="n">
        <v>12</v>
      </c>
      <c r="M1575" t="b">
        <v>0</v>
      </c>
      <c r="N1575" t="n">
        <v>0</v>
      </c>
      <c r="O1575" t="b">
        <v>1</v>
      </c>
      <c r="P1575" t="b">
        <v>0</v>
      </c>
      <c r="Q1575" t="b">
        <v>1</v>
      </c>
    </row>
    <row r="1576">
      <c r="A1576" t="inlineStr">
        <is>
          <t>REQ01575</t>
        </is>
      </c>
      <c r="B1576" t="inlineStr">
        <is>
          <t>8945006U77CTSI62R575</t>
        </is>
      </c>
      <c r="C1576" t="inlineStr">
        <is>
          <t>signatory_change</t>
        </is>
      </c>
      <c r="D1576" s="2" t="n">
        <v>46321.54444444444</v>
      </c>
      <c r="E1576" s="2" t="n">
        <v>46322.50277777778</v>
      </c>
      <c r="F1576" t="inlineStr">
        <is>
          <t>M1</t>
        </is>
      </c>
      <c r="G1576" t="inlineStr">
        <is>
          <t>C2</t>
        </is>
      </c>
      <c r="H1576" s="2" t="n">
        <v>46321.57222222222</v>
      </c>
      <c r="I1576" s="2" t="n">
        <v>46321.74861111111</v>
      </c>
      <c r="J1576" t="inlineStr">
        <is>
          <t>Completed</t>
        </is>
      </c>
      <c r="K1576" t="n">
        <v>4.9</v>
      </c>
      <c r="L1576" t="n">
        <v>8</v>
      </c>
      <c r="M1576" t="b">
        <v>0</v>
      </c>
      <c r="N1576" t="n">
        <v>0</v>
      </c>
      <c r="O1576" t="b">
        <v>1</v>
      </c>
      <c r="P1576" t="b">
        <v>0</v>
      </c>
      <c r="Q1576" t="b">
        <v>1</v>
      </c>
    </row>
    <row r="1577">
      <c r="A1577" t="inlineStr">
        <is>
          <t>REQ01576</t>
        </is>
      </c>
      <c r="B1577" t="inlineStr">
        <is>
          <t>549300CE6V74ETWZPF71</t>
        </is>
      </c>
      <c r="C1577" t="inlineStr">
        <is>
          <t>data_amendment</t>
        </is>
      </c>
      <c r="D1577" s="2" t="n">
        <v>46321.54722222222</v>
      </c>
      <c r="E1577" s="2" t="n">
        <v>46322.50555555556</v>
      </c>
      <c r="F1577" t="inlineStr">
        <is>
          <t>M4</t>
        </is>
      </c>
      <c r="G1577" t="inlineStr">
        <is>
          <t>C1</t>
        </is>
      </c>
      <c r="H1577" s="2" t="n">
        <v>46321.56805555556</v>
      </c>
      <c r="I1577" s="2" t="n">
        <v>46321.57152777778</v>
      </c>
      <c r="J1577" t="inlineStr">
        <is>
          <t>Completed</t>
        </is>
      </c>
      <c r="K1577" t="n">
        <v>0.59</v>
      </c>
      <c r="L1577" t="n">
        <v>8</v>
      </c>
      <c r="M1577" t="b">
        <v>0</v>
      </c>
      <c r="N1577" t="n">
        <v>0</v>
      </c>
      <c r="O1577" t="b">
        <v>1</v>
      </c>
      <c r="P1577" t="b">
        <v>0</v>
      </c>
      <c r="Q1577" t="b">
        <v>0</v>
      </c>
    </row>
    <row r="1578">
      <c r="A1578" t="inlineStr">
        <is>
          <t>REQ01577</t>
        </is>
      </c>
      <c r="B1578" t="inlineStr">
        <is>
          <t>7245003QEJDTWKTDHS84</t>
        </is>
      </c>
      <c r="C1578" t="inlineStr">
        <is>
          <t>document_refresh</t>
        </is>
      </c>
      <c r="D1578" s="2" t="n">
        <v>46321.56041666667</v>
      </c>
      <c r="E1578" s="2" t="n">
        <v>46322.68541666667</v>
      </c>
      <c r="F1578" t="inlineStr">
        <is>
          <t>M5</t>
        </is>
      </c>
      <c r="G1578" t="inlineStr">
        <is>
          <t>C1</t>
        </is>
      </c>
      <c r="H1578" s="2" t="n">
        <v>46321.575</v>
      </c>
      <c r="I1578" s="2" t="n">
        <v>46322.44513888889</v>
      </c>
      <c r="J1578" t="inlineStr">
        <is>
          <t>Completed</t>
        </is>
      </c>
      <c r="K1578" t="n">
        <v>6.23</v>
      </c>
      <c r="L1578" t="n">
        <v>12</v>
      </c>
      <c r="M1578" t="b">
        <v>0</v>
      </c>
      <c r="N1578" t="n">
        <v>0</v>
      </c>
      <c r="O1578" t="b">
        <v>1</v>
      </c>
      <c r="P1578" t="b">
        <v>0</v>
      </c>
      <c r="Q1578" t="b">
        <v>1</v>
      </c>
    </row>
    <row r="1579">
      <c r="A1579" t="inlineStr">
        <is>
          <t>REQ01578</t>
        </is>
      </c>
      <c r="B1579" t="inlineStr">
        <is>
          <t>529900WY3L7A51329W80</t>
        </is>
      </c>
      <c r="C1579" t="inlineStr">
        <is>
          <t>signatory_change</t>
        </is>
      </c>
      <c r="D1579" s="2" t="n">
        <v>46321.56180555555</v>
      </c>
      <c r="E1579" s="2" t="n">
        <v>46322.52013888889</v>
      </c>
      <c r="F1579" t="inlineStr">
        <is>
          <t>M6</t>
        </is>
      </c>
      <c r="G1579" t="inlineStr">
        <is>
          <t>C3</t>
        </is>
      </c>
      <c r="H1579" s="2" t="n">
        <v>46321.58263888889</v>
      </c>
      <c r="I1579" s="2" t="n">
        <v>46321.58888888889</v>
      </c>
      <c r="J1579" t="inlineStr">
        <is>
          <t>Completed</t>
        </is>
      </c>
      <c r="K1579" t="n">
        <v>0.64</v>
      </c>
      <c r="L1579" t="n">
        <v>8</v>
      </c>
      <c r="M1579" t="b">
        <v>0</v>
      </c>
      <c r="N1579" t="n">
        <v>0</v>
      </c>
      <c r="O1579" t="b">
        <v>1</v>
      </c>
      <c r="P1579" t="b">
        <v>0</v>
      </c>
      <c r="Q1579" t="b">
        <v>0</v>
      </c>
    </row>
    <row r="1580">
      <c r="A1580" t="inlineStr">
        <is>
          <t>REQ01579</t>
        </is>
      </c>
      <c r="B1580" t="inlineStr">
        <is>
          <t>724500BZPBMWIMMBSL70</t>
        </is>
      </c>
      <c r="C1580" t="inlineStr">
        <is>
          <t>document_refresh</t>
        </is>
      </c>
      <c r="D1580" s="2" t="n">
        <v>46321.57291666666</v>
      </c>
      <c r="E1580" s="2" t="n">
        <v>46322.69791666666</v>
      </c>
      <c r="F1580" t="inlineStr">
        <is>
          <t>M2</t>
        </is>
      </c>
      <c r="G1580" t="inlineStr">
        <is>
          <t>C1</t>
        </is>
      </c>
      <c r="H1580" s="2" t="n">
        <v>46321.58541666667</v>
      </c>
      <c r="I1580" s="2" t="n">
        <v>46322.4375</v>
      </c>
      <c r="J1580" t="inlineStr">
        <is>
          <t>Completed</t>
        </is>
      </c>
      <c r="K1580" t="n">
        <v>5.75</v>
      </c>
      <c r="L1580" t="n">
        <v>12</v>
      </c>
      <c r="M1580" t="b">
        <v>0</v>
      </c>
      <c r="N1580" t="n">
        <v>0</v>
      </c>
      <c r="O1580" t="b">
        <v>1</v>
      </c>
      <c r="P1580" t="b">
        <v>0</v>
      </c>
      <c r="Q1580" t="b">
        <v>1</v>
      </c>
    </row>
    <row r="1581">
      <c r="A1581" t="inlineStr">
        <is>
          <t>REQ01580</t>
        </is>
      </c>
      <c r="B1581" t="inlineStr">
        <is>
          <t>984500902D9C97470B42</t>
        </is>
      </c>
      <c r="C1581" t="inlineStr">
        <is>
          <t>signatory_change</t>
        </is>
      </c>
      <c r="D1581" s="2" t="n">
        <v>46321.57430555556</v>
      </c>
      <c r="E1581" s="2" t="n">
        <v>46322.53263888889</v>
      </c>
      <c r="F1581" t="inlineStr">
        <is>
          <t>M4</t>
        </is>
      </c>
      <c r="G1581" t="inlineStr">
        <is>
          <t>C2</t>
        </is>
      </c>
      <c r="H1581" s="2" t="n">
        <v>46321.59166666667</v>
      </c>
      <c r="I1581" s="2" t="n">
        <v>46321.60208333333</v>
      </c>
      <c r="J1581" t="inlineStr">
        <is>
          <t>Completed</t>
        </is>
      </c>
      <c r="K1581" t="n">
        <v>0.66</v>
      </c>
      <c r="L1581" t="n">
        <v>8</v>
      </c>
      <c r="M1581" t="b">
        <v>0</v>
      </c>
      <c r="N1581" t="n">
        <v>0</v>
      </c>
      <c r="O1581" t="b">
        <v>1</v>
      </c>
      <c r="P1581" t="b">
        <v>0</v>
      </c>
      <c r="Q1581" t="b">
        <v>0</v>
      </c>
    </row>
    <row r="1582">
      <c r="A1582" t="inlineStr">
        <is>
          <t>REQ01581</t>
        </is>
      </c>
      <c r="B1582" t="inlineStr">
        <is>
          <t>724500ZZEHPPGO6H2E74</t>
        </is>
      </c>
      <c r="C1582" t="inlineStr">
        <is>
          <t>new_account</t>
        </is>
      </c>
      <c r="D1582" s="2" t="n">
        <v>46321.58125</v>
      </c>
      <c r="E1582" s="2" t="n">
        <v>46323.49791666667</v>
      </c>
      <c r="F1582" t="inlineStr">
        <is>
          <t>M3</t>
        </is>
      </c>
      <c r="G1582" t="inlineStr">
        <is>
          <t>C3</t>
        </is>
      </c>
      <c r="H1582" s="2" t="n">
        <v>46321.6125</v>
      </c>
      <c r="I1582" s="2" t="n">
        <v>46321.62013888889</v>
      </c>
      <c r="J1582" t="inlineStr">
        <is>
          <t>Completed</t>
        </is>
      </c>
      <c r="K1582" t="n">
        <v>0.93</v>
      </c>
      <c r="L1582" t="n">
        <v>16</v>
      </c>
      <c r="M1582" t="b">
        <v>0</v>
      </c>
      <c r="N1582" t="n">
        <v>0</v>
      </c>
      <c r="O1582" t="b">
        <v>1</v>
      </c>
      <c r="P1582" t="b">
        <v>0</v>
      </c>
      <c r="Q1582" t="b">
        <v>0</v>
      </c>
    </row>
    <row r="1583">
      <c r="A1583" t="inlineStr">
        <is>
          <t>REQ01582</t>
        </is>
      </c>
      <c r="B1583" t="inlineStr">
        <is>
          <t>724500N9A5KV5DGR1C42</t>
        </is>
      </c>
      <c r="C1583" t="inlineStr">
        <is>
          <t>data_amendment</t>
        </is>
      </c>
      <c r="D1583" s="2" t="n">
        <v>46321.58333333334</v>
      </c>
      <c r="E1583" s="2" t="n">
        <v>46322.54166666666</v>
      </c>
      <c r="F1583" t="inlineStr">
        <is>
          <t>M1</t>
        </is>
      </c>
      <c r="G1583" t="inlineStr">
        <is>
          <t>C1</t>
        </is>
      </c>
      <c r="H1583" s="2" t="n">
        <v>46321.59513888889</v>
      </c>
      <c r="I1583" s="2" t="n">
        <v>46321.60069444445</v>
      </c>
      <c r="J1583" t="inlineStr">
        <is>
          <t>Completed</t>
        </is>
      </c>
      <c r="K1583" t="n">
        <v>0.41</v>
      </c>
      <c r="L1583" t="n">
        <v>8</v>
      </c>
      <c r="M1583" t="b">
        <v>0</v>
      </c>
      <c r="N1583" t="n">
        <v>0</v>
      </c>
      <c r="O1583" t="b">
        <v>1</v>
      </c>
      <c r="P1583" t="b">
        <v>0</v>
      </c>
      <c r="Q1583" t="b">
        <v>0</v>
      </c>
    </row>
    <row r="1584">
      <c r="A1584" t="inlineStr">
        <is>
          <t>REQ01583</t>
        </is>
      </c>
      <c r="B1584" t="inlineStr">
        <is>
          <t>635400BRLNJANKKUKA85</t>
        </is>
      </c>
      <c r="C1584" t="inlineStr">
        <is>
          <t>data_amendment</t>
        </is>
      </c>
      <c r="D1584" s="2" t="n">
        <v>46321.5875</v>
      </c>
      <c r="E1584" s="2" t="n">
        <v>46322.54583333333</v>
      </c>
      <c r="F1584" t="inlineStr">
        <is>
          <t>M5</t>
        </is>
      </c>
      <c r="G1584" t="inlineStr">
        <is>
          <t>C1</t>
        </is>
      </c>
      <c r="H1584" s="2" t="n">
        <v>46321.60069444445</v>
      </c>
      <c r="I1584" s="2" t="n">
        <v>46321.60555555556</v>
      </c>
      <c r="J1584" t="inlineStr">
        <is>
          <t>Completed</t>
        </is>
      </c>
      <c r="K1584" t="n">
        <v>0.43</v>
      </c>
      <c r="L1584" t="n">
        <v>8</v>
      </c>
      <c r="M1584" t="b">
        <v>0</v>
      </c>
      <c r="N1584" t="n">
        <v>0</v>
      </c>
      <c r="O1584" t="b">
        <v>1</v>
      </c>
      <c r="P1584" t="b">
        <v>0</v>
      </c>
      <c r="Q1584" t="b">
        <v>0</v>
      </c>
    </row>
    <row r="1585">
      <c r="A1585" t="inlineStr">
        <is>
          <t>REQ01584</t>
        </is>
      </c>
      <c r="B1585" t="inlineStr">
        <is>
          <t>254900NJA7JZE6JB4L70</t>
        </is>
      </c>
      <c r="C1585" t="inlineStr">
        <is>
          <t>signatory_change</t>
        </is>
      </c>
      <c r="D1585" s="2" t="n">
        <v>46321.58888888889</v>
      </c>
      <c r="E1585" s="2" t="n">
        <v>46322.54722222222</v>
      </c>
      <c r="F1585" t="inlineStr">
        <is>
          <t>M6</t>
        </is>
      </c>
      <c r="G1585" t="inlineStr">
        <is>
          <t>C1</t>
        </is>
      </c>
      <c r="H1585" s="2" t="n">
        <v>46321.60625</v>
      </c>
      <c r="I1585" s="2" t="n">
        <v>46321.62708333333</v>
      </c>
      <c r="J1585" t="inlineStr">
        <is>
          <t>Completed</t>
        </is>
      </c>
      <c r="K1585" t="n">
        <v>0.91</v>
      </c>
      <c r="L1585" t="n">
        <v>8</v>
      </c>
      <c r="M1585" t="b">
        <v>0</v>
      </c>
      <c r="N1585" t="n">
        <v>1</v>
      </c>
      <c r="O1585" t="b">
        <v>0</v>
      </c>
      <c r="P1585" t="b">
        <v>1</v>
      </c>
      <c r="Q1585" t="b">
        <v>0</v>
      </c>
    </row>
    <row r="1586">
      <c r="A1586" t="inlineStr">
        <is>
          <t>REQ01585</t>
        </is>
      </c>
      <c r="B1586" t="inlineStr">
        <is>
          <t>635400URDDZFD5DZPQ05</t>
        </is>
      </c>
      <c r="C1586" t="inlineStr">
        <is>
          <t>new_account</t>
        </is>
      </c>
      <c r="D1586" s="2" t="n">
        <v>46321.59166666667</v>
      </c>
      <c r="E1586" s="2" t="n">
        <v>46323.50833333333</v>
      </c>
      <c r="F1586" t="inlineStr">
        <is>
          <t>M2</t>
        </is>
      </c>
      <c r="G1586" t="inlineStr">
        <is>
          <t>C1</t>
        </is>
      </c>
      <c r="H1586" s="2" t="n">
        <v>46321.62777777778</v>
      </c>
      <c r="I1586" s="2" t="n">
        <v>46322.39444444444</v>
      </c>
      <c r="J1586" t="inlineStr">
        <is>
          <t>Completed</t>
        </is>
      </c>
      <c r="K1586" t="n">
        <v>4.26</v>
      </c>
      <c r="L1586" t="n">
        <v>16</v>
      </c>
      <c r="M1586" t="b">
        <v>0</v>
      </c>
      <c r="N1586" t="n">
        <v>0</v>
      </c>
      <c r="O1586" t="b">
        <v>1</v>
      </c>
      <c r="P1586" t="b">
        <v>0</v>
      </c>
      <c r="Q1586" t="b">
        <v>1</v>
      </c>
    </row>
    <row r="1587">
      <c r="A1587" t="inlineStr">
        <is>
          <t>REQ01586</t>
        </is>
      </c>
      <c r="B1587" t="inlineStr">
        <is>
          <t>894500A85A8VDRIGZ723</t>
        </is>
      </c>
      <c r="C1587" t="inlineStr">
        <is>
          <t>new_account</t>
        </is>
      </c>
      <c r="D1587" s="2" t="n">
        <v>46321.59444444445</v>
      </c>
      <c r="E1587" s="2" t="n">
        <v>46323.51111111111</v>
      </c>
      <c r="F1587" t="inlineStr">
        <is>
          <t>M4</t>
        </is>
      </c>
      <c r="G1587" t="inlineStr">
        <is>
          <t>C2</t>
        </is>
      </c>
      <c r="H1587" s="2" t="n">
        <v>46321.62708333333</v>
      </c>
      <c r="I1587" s="2" t="n">
        <v>46321.63888888889</v>
      </c>
      <c r="J1587" t="inlineStr">
        <is>
          <t>Completed</t>
        </is>
      </c>
      <c r="K1587" t="n">
        <v>1.06</v>
      </c>
      <c r="L1587" t="n">
        <v>16</v>
      </c>
      <c r="M1587" t="b">
        <v>0</v>
      </c>
      <c r="N1587" t="n">
        <v>0</v>
      </c>
      <c r="O1587" t="b">
        <v>1</v>
      </c>
      <c r="P1587" t="b">
        <v>0</v>
      </c>
      <c r="Q1587" t="b">
        <v>0</v>
      </c>
    </row>
    <row r="1588">
      <c r="A1588" t="inlineStr">
        <is>
          <t>REQ01587</t>
        </is>
      </c>
      <c r="B1588" t="inlineStr">
        <is>
          <t>529900BGT6GYPWN4C692</t>
        </is>
      </c>
      <c r="C1588" t="inlineStr">
        <is>
          <t>signatory_change</t>
        </is>
      </c>
      <c r="D1588" s="2" t="n">
        <v>46321.60347222222</v>
      </c>
      <c r="E1588" s="2" t="n">
        <v>46322.56180555555</v>
      </c>
      <c r="F1588" t="inlineStr">
        <is>
          <t>M1</t>
        </is>
      </c>
      <c r="G1588" t="inlineStr">
        <is>
          <t>C3</t>
        </is>
      </c>
      <c r="H1588" s="2" t="n">
        <v>46321.62708333333</v>
      </c>
      <c r="I1588" s="2" t="n">
        <v>46322.45208333333</v>
      </c>
      <c r="J1588" t="inlineStr">
        <is>
          <t>Completed</t>
        </is>
      </c>
      <c r="K1588" t="n">
        <v>5.36</v>
      </c>
      <c r="L1588" t="n">
        <v>8</v>
      </c>
      <c r="M1588" t="b">
        <v>0</v>
      </c>
      <c r="N1588" t="n">
        <v>0</v>
      </c>
      <c r="O1588" t="b">
        <v>1</v>
      </c>
      <c r="P1588" t="b">
        <v>0</v>
      </c>
      <c r="Q1588" t="b">
        <v>1</v>
      </c>
    </row>
    <row r="1589">
      <c r="A1589" t="inlineStr">
        <is>
          <t>REQ01588</t>
        </is>
      </c>
      <c r="B1589" t="inlineStr">
        <is>
          <t>54930061YXT7YIK8NN89</t>
        </is>
      </c>
      <c r="C1589" t="inlineStr">
        <is>
          <t>signatory_change</t>
        </is>
      </c>
      <c r="D1589" s="2" t="n">
        <v>46321.60486111111</v>
      </c>
      <c r="E1589" s="2" t="n">
        <v>46322.56319444445</v>
      </c>
      <c r="F1589" t="inlineStr">
        <is>
          <t>M5</t>
        </is>
      </c>
      <c r="G1589" t="inlineStr">
        <is>
          <t>C3</t>
        </is>
      </c>
      <c r="H1589" s="2" t="n">
        <v>46321.62361111111</v>
      </c>
      <c r="I1589" s="2" t="n">
        <v>46321.63125</v>
      </c>
      <c r="J1589" t="inlineStr">
        <is>
          <t>Completed</t>
        </is>
      </c>
      <c r="K1589" t="n">
        <v>0.63</v>
      </c>
      <c r="L1589" t="n">
        <v>8</v>
      </c>
      <c r="M1589" t="b">
        <v>0</v>
      </c>
      <c r="N1589" t="n">
        <v>0</v>
      </c>
      <c r="O1589" t="b">
        <v>1</v>
      </c>
      <c r="P1589" t="b">
        <v>0</v>
      </c>
      <c r="Q1589" t="b">
        <v>0</v>
      </c>
    </row>
    <row r="1590">
      <c r="A1590" t="inlineStr">
        <is>
          <t>REQ01589</t>
        </is>
      </c>
      <c r="B1590" t="inlineStr">
        <is>
          <t>54930060MDMV2LTDLY38</t>
        </is>
      </c>
      <c r="C1590" t="inlineStr">
        <is>
          <t>document_refresh</t>
        </is>
      </c>
      <c r="D1590" s="2" t="n">
        <v>46321.60555555556</v>
      </c>
      <c r="E1590" s="2" t="n">
        <v>46322.73055555556</v>
      </c>
      <c r="F1590" t="inlineStr">
        <is>
          <t>M6</t>
        </is>
      </c>
      <c r="G1590" t="inlineStr">
        <is>
          <t>C3</t>
        </is>
      </c>
      <c r="H1590" s="2" t="n">
        <v>46321.62222222222</v>
      </c>
      <c r="I1590" s="2" t="n">
        <v>46322.44444444445</v>
      </c>
      <c r="J1590" t="inlineStr">
        <is>
          <t>Completed</t>
        </is>
      </c>
      <c r="K1590" t="n">
        <v>5.14</v>
      </c>
      <c r="L1590" t="n">
        <v>12</v>
      </c>
      <c r="M1590" t="b">
        <v>0</v>
      </c>
      <c r="N1590" t="n">
        <v>0</v>
      </c>
      <c r="O1590" t="b">
        <v>1</v>
      </c>
      <c r="P1590" t="b">
        <v>0</v>
      </c>
      <c r="Q1590" t="b">
        <v>1</v>
      </c>
    </row>
    <row r="1591">
      <c r="A1591" t="inlineStr">
        <is>
          <t>REQ01590</t>
        </is>
      </c>
      <c r="B1591" t="inlineStr">
        <is>
          <t>2549001VN387SWFY7L41</t>
        </is>
      </c>
      <c r="C1591" t="inlineStr">
        <is>
          <t>new_account</t>
        </is>
      </c>
      <c r="D1591" s="2" t="n">
        <v>46321.60694444444</v>
      </c>
      <c r="E1591" s="2" t="n">
        <v>46323.52361111111</v>
      </c>
      <c r="F1591" t="inlineStr">
        <is>
          <t>M3</t>
        </is>
      </c>
      <c r="G1591" t="inlineStr">
        <is>
          <t>C3</t>
        </is>
      </c>
      <c r="H1591" s="2" t="n">
        <v>46321.64166666667</v>
      </c>
      <c r="I1591" s="2" t="n">
        <v>46322.39236111111</v>
      </c>
      <c r="J1591" t="inlineStr">
        <is>
          <t>Completed</t>
        </is>
      </c>
      <c r="K1591" t="n">
        <v>3.85</v>
      </c>
      <c r="L1591" t="n">
        <v>16</v>
      </c>
      <c r="M1591" t="b">
        <v>0</v>
      </c>
      <c r="N1591" t="n">
        <v>0</v>
      </c>
      <c r="O1591" t="b">
        <v>1</v>
      </c>
      <c r="P1591" t="b">
        <v>0</v>
      </c>
      <c r="Q1591" t="b">
        <v>1</v>
      </c>
    </row>
    <row r="1592">
      <c r="A1592" t="inlineStr">
        <is>
          <t>REQ01591</t>
        </is>
      </c>
      <c r="B1592" t="inlineStr">
        <is>
          <t>549300BG3UQ00A2MZS35</t>
        </is>
      </c>
      <c r="C1592" t="inlineStr">
        <is>
          <t>document_refresh</t>
        </is>
      </c>
      <c r="D1592" s="2" t="n">
        <v>46321.60902777778</v>
      </c>
      <c r="E1592" s="2" t="n">
        <v>46322.73402777778</v>
      </c>
      <c r="F1592" t="inlineStr">
        <is>
          <t>M6</t>
        </is>
      </c>
      <c r="G1592" t="inlineStr">
        <is>
          <t>C1</t>
        </is>
      </c>
      <c r="H1592" s="2" t="n">
        <v>46321.63611111111</v>
      </c>
      <c r="I1592" s="2" t="n">
        <v>46322.49652777778</v>
      </c>
      <c r="J1592" t="inlineStr">
        <is>
          <t>Completed</t>
        </is>
      </c>
      <c r="K1592" t="n">
        <v>6.3</v>
      </c>
      <c r="L1592" t="n">
        <v>12</v>
      </c>
      <c r="M1592" t="b">
        <v>0</v>
      </c>
      <c r="N1592" t="n">
        <v>0</v>
      </c>
      <c r="O1592" t="b">
        <v>1</v>
      </c>
      <c r="P1592" t="b">
        <v>0</v>
      </c>
      <c r="Q1592" t="b">
        <v>1</v>
      </c>
    </row>
    <row r="1593">
      <c r="A1593" t="inlineStr">
        <is>
          <t>REQ01592</t>
        </is>
      </c>
      <c r="B1593" t="inlineStr">
        <is>
          <t>549300CKKPTDS03YHG30</t>
        </is>
      </c>
      <c r="C1593" t="inlineStr">
        <is>
          <t>document_refresh</t>
        </is>
      </c>
      <c r="D1593" s="2" t="n">
        <v>46321.60972222222</v>
      </c>
      <c r="E1593" s="2" t="n">
        <v>46322.73472222222</v>
      </c>
      <c r="F1593" t="inlineStr">
        <is>
          <t>M5</t>
        </is>
      </c>
      <c r="G1593" t="inlineStr">
        <is>
          <t>C3</t>
        </is>
      </c>
      <c r="H1593" s="2" t="n">
        <v>46321.63680555556</v>
      </c>
      <c r="I1593" s="2" t="n">
        <v>46322.41666666666</v>
      </c>
      <c r="J1593" t="inlineStr">
        <is>
          <t>Completed</t>
        </is>
      </c>
      <c r="K1593" t="n">
        <v>4.37</v>
      </c>
      <c r="L1593" t="n">
        <v>12</v>
      </c>
      <c r="M1593" t="b">
        <v>0</v>
      </c>
      <c r="N1593" t="n">
        <v>0</v>
      </c>
      <c r="O1593" t="b">
        <v>1</v>
      </c>
      <c r="P1593" t="b">
        <v>0</v>
      </c>
      <c r="Q1593" t="b">
        <v>1</v>
      </c>
    </row>
    <row r="1594">
      <c r="A1594" t="inlineStr">
        <is>
          <t>REQ01593</t>
        </is>
      </c>
      <c r="B1594" t="inlineStr">
        <is>
          <t>529900S1XUB7J4LX7L07</t>
        </is>
      </c>
      <c r="C1594" t="inlineStr">
        <is>
          <t>document_refresh</t>
        </is>
      </c>
      <c r="D1594" s="2" t="n">
        <v>46321.62013888889</v>
      </c>
      <c r="E1594" s="2" t="n">
        <v>46322.74513888889</v>
      </c>
      <c r="F1594" t="inlineStr">
        <is>
          <t>M4</t>
        </is>
      </c>
      <c r="G1594" t="inlineStr">
        <is>
          <t>C1</t>
        </is>
      </c>
      <c r="H1594" s="2" t="n">
        <v>46321.63680555556</v>
      </c>
      <c r="I1594" s="2" t="n">
        <v>46321.64375</v>
      </c>
      <c r="J1594" t="inlineStr">
        <is>
          <t>Completed</t>
        </is>
      </c>
      <c r="K1594" t="n">
        <v>0.57</v>
      </c>
      <c r="L1594" t="n">
        <v>12</v>
      </c>
      <c r="M1594" t="b">
        <v>0</v>
      </c>
      <c r="N1594" t="n">
        <v>0</v>
      </c>
      <c r="O1594" t="b">
        <v>1</v>
      </c>
      <c r="P1594" t="b">
        <v>0</v>
      </c>
      <c r="Q1594" t="b">
        <v>0</v>
      </c>
    </row>
    <row r="1595">
      <c r="A1595" t="inlineStr">
        <is>
          <t>REQ01594</t>
        </is>
      </c>
      <c r="B1595" t="inlineStr">
        <is>
          <t>529900PU8HX2NRY6AY46</t>
        </is>
      </c>
      <c r="C1595" t="inlineStr">
        <is>
          <t>data_amendment</t>
        </is>
      </c>
      <c r="D1595" s="2" t="n">
        <v>46321.62152777778</v>
      </c>
      <c r="E1595" s="2" t="n">
        <v>46322.57986111111</v>
      </c>
      <c r="F1595" t="inlineStr">
        <is>
          <t>M1</t>
        </is>
      </c>
      <c r="G1595" t="inlineStr">
        <is>
          <t>C2</t>
        </is>
      </c>
      <c r="H1595" s="2" t="n">
        <v>46321.64027777778</v>
      </c>
      <c r="I1595" s="2" t="n">
        <v>46321.64375</v>
      </c>
      <c r="J1595" t="inlineStr">
        <is>
          <t>Completed</t>
        </is>
      </c>
      <c r="K1595" t="n">
        <v>0.53</v>
      </c>
      <c r="L1595" t="n">
        <v>8</v>
      </c>
      <c r="M1595" t="b">
        <v>0</v>
      </c>
      <c r="N1595" t="n">
        <v>0</v>
      </c>
      <c r="O1595" t="b">
        <v>1</v>
      </c>
      <c r="P1595" t="b">
        <v>0</v>
      </c>
      <c r="Q1595" t="b">
        <v>0</v>
      </c>
    </row>
    <row r="1596">
      <c r="A1596" t="inlineStr">
        <is>
          <t>REQ01595</t>
        </is>
      </c>
      <c r="B1596" t="inlineStr">
        <is>
          <t>529900PU8HX2NRY6AY46</t>
        </is>
      </c>
      <c r="C1596" t="inlineStr">
        <is>
          <t>signatory_change</t>
        </is>
      </c>
      <c r="D1596" s="2" t="n">
        <v>46321.62847222222</v>
      </c>
      <c r="E1596" s="2" t="n">
        <v>46322.58680555555</v>
      </c>
      <c r="F1596" t="inlineStr">
        <is>
          <t>M2</t>
        </is>
      </c>
      <c r="G1596" t="inlineStr">
        <is>
          <t>C2</t>
        </is>
      </c>
      <c r="H1596" s="2" t="n">
        <v>46321.64861111111</v>
      </c>
      <c r="I1596" s="2" t="n">
        <v>46321.65763888889</v>
      </c>
      <c r="J1596" t="inlineStr">
        <is>
          <t>Completed</t>
        </is>
      </c>
      <c r="K1596" t="n">
        <v>0.7</v>
      </c>
      <c r="L1596" t="n">
        <v>8</v>
      </c>
      <c r="M1596" t="b">
        <v>0</v>
      </c>
      <c r="N1596" t="n">
        <v>0</v>
      </c>
      <c r="O1596" t="b">
        <v>1</v>
      </c>
      <c r="P1596" t="b">
        <v>0</v>
      </c>
      <c r="Q1596" t="b">
        <v>0</v>
      </c>
    </row>
    <row r="1597">
      <c r="A1597" t="inlineStr">
        <is>
          <t>REQ01596</t>
        </is>
      </c>
      <c r="B1597" t="inlineStr">
        <is>
          <t>2138002ZXFDF8S3S6R89</t>
        </is>
      </c>
      <c r="C1597" t="inlineStr">
        <is>
          <t>data_amendment</t>
        </is>
      </c>
      <c r="D1597" s="2" t="n">
        <v>46321.62916666667</v>
      </c>
      <c r="E1597" s="2" t="n">
        <v>46322.5875</v>
      </c>
      <c r="F1597" t="inlineStr">
        <is>
          <t>M6</t>
        </is>
      </c>
      <c r="G1597" t="inlineStr">
        <is>
          <t>C3</t>
        </is>
      </c>
      <c r="H1597" s="2" t="n">
        <v>46321.65</v>
      </c>
      <c r="I1597" s="2" t="n">
        <v>46322.39791666667</v>
      </c>
      <c r="J1597" t="inlineStr">
        <is>
          <t>Completed</t>
        </is>
      </c>
      <c r="K1597" t="n">
        <v>3.45</v>
      </c>
      <c r="L1597" t="n">
        <v>8</v>
      </c>
      <c r="M1597" t="b">
        <v>0</v>
      </c>
      <c r="N1597" t="n">
        <v>0</v>
      </c>
      <c r="O1597" t="b">
        <v>1</v>
      </c>
      <c r="P1597" t="b">
        <v>0</v>
      </c>
      <c r="Q1597" t="b">
        <v>1</v>
      </c>
    </row>
    <row r="1598">
      <c r="A1598" t="inlineStr">
        <is>
          <t>REQ01597</t>
        </is>
      </c>
      <c r="B1598" t="inlineStr">
        <is>
          <t>254900SVHHSUWT5XKA63</t>
        </is>
      </c>
      <c r="C1598" t="inlineStr">
        <is>
          <t>new_account</t>
        </is>
      </c>
      <c r="D1598" s="2" t="n">
        <v>46321.63402777778</v>
      </c>
      <c r="E1598" s="2" t="n">
        <v>46323.55069444444</v>
      </c>
      <c r="F1598" t="inlineStr">
        <is>
          <t>M5</t>
        </is>
      </c>
      <c r="G1598" t="inlineStr">
        <is>
          <t>C2</t>
        </is>
      </c>
      <c r="H1598" s="2" t="n">
        <v>46321.66805555556</v>
      </c>
      <c r="I1598" s="2" t="n">
        <v>46322.40277777778</v>
      </c>
      <c r="J1598" t="inlineStr">
        <is>
          <t>Completed</t>
        </is>
      </c>
      <c r="K1598" t="n">
        <v>3.44</v>
      </c>
      <c r="L1598" t="n">
        <v>16</v>
      </c>
      <c r="M1598" t="b">
        <v>0</v>
      </c>
      <c r="N1598" t="n">
        <v>0</v>
      </c>
      <c r="O1598" t="b">
        <v>1</v>
      </c>
      <c r="P1598" t="b">
        <v>0</v>
      </c>
      <c r="Q1598" t="b">
        <v>1</v>
      </c>
    </row>
    <row r="1599">
      <c r="A1599" t="inlineStr">
        <is>
          <t>REQ01598</t>
        </is>
      </c>
      <c r="B1599" t="inlineStr">
        <is>
          <t>549300JQ1EFL2BQB7A42</t>
        </is>
      </c>
      <c r="C1599" t="inlineStr">
        <is>
          <t>new_account</t>
        </is>
      </c>
      <c r="D1599" s="2" t="n">
        <v>46321.63541666666</v>
      </c>
      <c r="E1599" s="2" t="n">
        <v>46323.55208333334</v>
      </c>
      <c r="F1599" t="inlineStr">
        <is>
          <t>M4</t>
        </is>
      </c>
      <c r="G1599" t="inlineStr">
        <is>
          <t>C1</t>
        </is>
      </c>
      <c r="H1599" s="2" t="n">
        <v>46321.675</v>
      </c>
      <c r="I1599" s="2" t="n">
        <v>46321.70694444444</v>
      </c>
      <c r="J1599" t="inlineStr">
        <is>
          <t>Completed</t>
        </is>
      </c>
      <c r="K1599" t="n">
        <v>1.71</v>
      </c>
      <c r="L1599" t="n">
        <v>16</v>
      </c>
      <c r="M1599" t="b">
        <v>0</v>
      </c>
      <c r="N1599" t="n">
        <v>1</v>
      </c>
      <c r="O1599" t="b">
        <v>0</v>
      </c>
      <c r="P1599" t="b">
        <v>1</v>
      </c>
      <c r="Q1599" t="b">
        <v>0</v>
      </c>
    </row>
    <row r="1600">
      <c r="A1600" t="inlineStr">
        <is>
          <t>REQ01599</t>
        </is>
      </c>
      <c r="B1600" t="inlineStr">
        <is>
          <t>98450089AFC5A7194990</t>
        </is>
      </c>
      <c r="C1600" t="inlineStr">
        <is>
          <t>new_account</t>
        </is>
      </c>
      <c r="D1600" s="2" t="n">
        <v>46321.6375</v>
      </c>
      <c r="E1600" s="2" t="n">
        <v>46323.55416666667</v>
      </c>
      <c r="F1600" t="inlineStr">
        <is>
          <t>M1</t>
        </is>
      </c>
      <c r="G1600" t="inlineStr">
        <is>
          <t>C3</t>
        </is>
      </c>
      <c r="H1600" s="2" t="n">
        <v>46321.66597222222</v>
      </c>
      <c r="I1600" s="2" t="n">
        <v>46322.52361111111</v>
      </c>
      <c r="J1600" t="inlineStr">
        <is>
          <t>Completed</t>
        </is>
      </c>
      <c r="K1600" t="n">
        <v>6.27</v>
      </c>
      <c r="L1600" t="n">
        <v>16</v>
      </c>
      <c r="M1600" t="b">
        <v>0</v>
      </c>
      <c r="N1600" t="n">
        <v>0</v>
      </c>
      <c r="O1600" t="b">
        <v>1</v>
      </c>
      <c r="P1600" t="b">
        <v>0</v>
      </c>
      <c r="Q1600" t="b">
        <v>1</v>
      </c>
    </row>
    <row r="1601">
      <c r="A1601" t="inlineStr">
        <is>
          <t>REQ01600</t>
        </is>
      </c>
      <c r="B1601" t="inlineStr">
        <is>
          <t>969500T31JO3ET6C7P05</t>
        </is>
      </c>
      <c r="C1601" t="inlineStr">
        <is>
          <t>signatory_change</t>
        </is>
      </c>
      <c r="D1601" s="2" t="n">
        <v>46321.64236111111</v>
      </c>
      <c r="E1601" s="2" t="n">
        <v>46322.60069444445</v>
      </c>
      <c r="F1601" t="inlineStr">
        <is>
          <t>M3</t>
        </is>
      </c>
      <c r="G1601" t="inlineStr">
        <is>
          <t>C3</t>
        </is>
      </c>
      <c r="H1601" s="2" t="n">
        <v>46321.66875</v>
      </c>
      <c r="I1601" s="2" t="n">
        <v>46321.675</v>
      </c>
      <c r="J1601" t="inlineStr">
        <is>
          <t>Completed</t>
        </is>
      </c>
      <c r="K1601" t="n">
        <v>0.79</v>
      </c>
      <c r="L1601" t="n">
        <v>8</v>
      </c>
      <c r="M1601" t="b">
        <v>0</v>
      </c>
      <c r="N1601" t="n">
        <v>0</v>
      </c>
      <c r="O1601" t="b">
        <v>1</v>
      </c>
      <c r="P1601" t="b">
        <v>0</v>
      </c>
      <c r="Q1601" t="b">
        <v>0</v>
      </c>
    </row>
    <row r="1602">
      <c r="A1602" t="inlineStr">
        <is>
          <t>REQ01601</t>
        </is>
      </c>
      <c r="B1602" t="inlineStr">
        <is>
          <t>9845006936737C54AA42</t>
        </is>
      </c>
      <c r="C1602" t="inlineStr">
        <is>
          <t>new_account</t>
        </is>
      </c>
      <c r="D1602" s="2" t="n">
        <v>46321.64652777778</v>
      </c>
      <c r="E1602" s="2" t="n">
        <v>46323.56319444445</v>
      </c>
      <c r="F1602" t="inlineStr">
        <is>
          <t>M2</t>
        </is>
      </c>
      <c r="G1602" t="inlineStr">
        <is>
          <t>C2</t>
        </is>
      </c>
      <c r="H1602" s="2" t="n">
        <v>46321.67361111111</v>
      </c>
      <c r="I1602" s="2" t="n">
        <v>46322.54583333333</v>
      </c>
      <c r="J1602" t="inlineStr">
        <is>
          <t>Completed</t>
        </is>
      </c>
      <c r="K1602" t="n">
        <v>6.59</v>
      </c>
      <c r="L1602" t="n">
        <v>16</v>
      </c>
      <c r="M1602" t="b">
        <v>0</v>
      </c>
      <c r="N1602" t="n">
        <v>0</v>
      </c>
      <c r="O1602" t="b">
        <v>1</v>
      </c>
      <c r="P1602" t="b">
        <v>0</v>
      </c>
      <c r="Q1602" t="b">
        <v>1</v>
      </c>
    </row>
    <row r="1603">
      <c r="A1603" t="inlineStr">
        <is>
          <t>REQ01602</t>
        </is>
      </c>
      <c r="B1603" t="inlineStr">
        <is>
          <t>984500T4DFQEGDB78F95</t>
        </is>
      </c>
      <c r="C1603" t="inlineStr">
        <is>
          <t>new_account</t>
        </is>
      </c>
      <c r="D1603" s="2" t="n">
        <v>46321.64861111111</v>
      </c>
      <c r="E1603" s="2" t="n">
        <v>46323.56527777778</v>
      </c>
      <c r="F1603" t="inlineStr">
        <is>
          <t>M6</t>
        </is>
      </c>
      <c r="G1603" t="inlineStr">
        <is>
          <t>C3</t>
        </is>
      </c>
      <c r="H1603" s="2" t="n">
        <v>46321.67569444444</v>
      </c>
      <c r="I1603" s="2" t="n">
        <v>46321.68819444445</v>
      </c>
      <c r="J1603" t="inlineStr">
        <is>
          <t>Completed</t>
        </is>
      </c>
      <c r="K1603" t="n">
        <v>0.96</v>
      </c>
      <c r="L1603" t="n">
        <v>16</v>
      </c>
      <c r="M1603" t="b">
        <v>0</v>
      </c>
      <c r="N1603" t="n">
        <v>0</v>
      </c>
      <c r="O1603" t="b">
        <v>1</v>
      </c>
      <c r="P1603" t="b">
        <v>0</v>
      </c>
      <c r="Q1603" t="b">
        <v>0</v>
      </c>
    </row>
    <row r="1604">
      <c r="A1604" t="inlineStr">
        <is>
          <t>REQ01603</t>
        </is>
      </c>
      <c r="B1604" t="inlineStr">
        <is>
          <t>549300DCFEN0O5LDKC69</t>
        </is>
      </c>
      <c r="C1604" t="inlineStr">
        <is>
          <t>data_amendment</t>
        </is>
      </c>
      <c r="D1604" s="2" t="n">
        <v>46321.64930555555</v>
      </c>
      <c r="E1604" s="2" t="n">
        <v>46322.60763888889</v>
      </c>
      <c r="F1604" t="inlineStr">
        <is>
          <t>M1</t>
        </is>
      </c>
      <c r="G1604" t="inlineStr">
        <is>
          <t>C2</t>
        </is>
      </c>
      <c r="H1604" s="2" t="n">
        <v>46321.67569444444</v>
      </c>
      <c r="I1604" s="2" t="n">
        <v>46322.44305555556</v>
      </c>
      <c r="J1604" t="inlineStr">
        <is>
          <t>Completed</t>
        </is>
      </c>
      <c r="K1604" t="n">
        <v>4.04</v>
      </c>
      <c r="L1604" t="n">
        <v>8</v>
      </c>
      <c r="M1604" t="b">
        <v>0</v>
      </c>
      <c r="N1604" t="n">
        <v>0</v>
      </c>
      <c r="O1604" t="b">
        <v>1</v>
      </c>
      <c r="P1604" t="b">
        <v>0</v>
      </c>
      <c r="Q1604" t="b">
        <v>1</v>
      </c>
    </row>
    <row r="1605">
      <c r="A1605" t="inlineStr">
        <is>
          <t>REQ01604</t>
        </is>
      </c>
      <c r="B1605" t="inlineStr">
        <is>
          <t>213800E6131E9GJOPL55</t>
        </is>
      </c>
      <c r="C1605" t="inlineStr">
        <is>
          <t>document_refresh</t>
        </is>
      </c>
      <c r="D1605" s="2" t="n">
        <v>46321.65208333333</v>
      </c>
      <c r="E1605" s="2" t="n">
        <v>46323.40208333333</v>
      </c>
      <c r="F1605" t="inlineStr">
        <is>
          <t>M5</t>
        </is>
      </c>
      <c r="G1605" t="inlineStr">
        <is>
          <t>C2</t>
        </is>
      </c>
      <c r="H1605" s="2" t="n">
        <v>46321.68194444444</v>
      </c>
      <c r="I1605" s="2" t="n">
        <v>46322.45972222222</v>
      </c>
      <c r="J1605" t="inlineStr">
        <is>
          <t>Completed</t>
        </is>
      </c>
      <c r="K1605" t="n">
        <v>4.38</v>
      </c>
      <c r="L1605" t="n">
        <v>12</v>
      </c>
      <c r="M1605" t="b">
        <v>0</v>
      </c>
      <c r="N1605" t="n">
        <v>0</v>
      </c>
      <c r="O1605" t="b">
        <v>1</v>
      </c>
      <c r="P1605" t="b">
        <v>0</v>
      </c>
      <c r="Q1605" t="b">
        <v>1</v>
      </c>
    </row>
    <row r="1606">
      <c r="A1606" t="inlineStr">
        <is>
          <t>REQ01605</t>
        </is>
      </c>
      <c r="B1606" t="inlineStr">
        <is>
          <t>3358007HNU3VYDSFUY71</t>
        </is>
      </c>
      <c r="C1606" t="inlineStr">
        <is>
          <t>new_account</t>
        </is>
      </c>
      <c r="D1606" s="2" t="n">
        <v>46321.65902777778</v>
      </c>
      <c r="E1606" s="2" t="n">
        <v>46323.57569444444</v>
      </c>
      <c r="F1606" t="inlineStr">
        <is>
          <t>M3</t>
        </is>
      </c>
      <c r="G1606" t="inlineStr">
        <is>
          <t>C3</t>
        </is>
      </c>
      <c r="H1606" s="2" t="n">
        <v>46321.70208333333</v>
      </c>
      <c r="I1606" s="2" t="n">
        <v>46321.71041666667</v>
      </c>
      <c r="J1606" t="inlineStr">
        <is>
          <t>Completed</t>
        </is>
      </c>
      <c r="K1606" t="n">
        <v>1.23</v>
      </c>
      <c r="L1606" t="n">
        <v>16</v>
      </c>
      <c r="M1606" t="b">
        <v>0</v>
      </c>
      <c r="N1606" t="n">
        <v>0</v>
      </c>
      <c r="O1606" t="b">
        <v>1</v>
      </c>
      <c r="P1606" t="b">
        <v>0</v>
      </c>
      <c r="Q1606" t="b">
        <v>0</v>
      </c>
    </row>
    <row r="1607">
      <c r="A1607" t="inlineStr">
        <is>
          <t>REQ01606</t>
        </is>
      </c>
      <c r="B1607" t="inlineStr">
        <is>
          <t>549300HSZLPDL26V0R19</t>
        </is>
      </c>
      <c r="C1607" t="inlineStr">
        <is>
          <t>data_amendment</t>
        </is>
      </c>
      <c r="D1607" s="2" t="n">
        <v>46321.65972222222</v>
      </c>
      <c r="E1607" s="2" t="n">
        <v>46322.61805555555</v>
      </c>
      <c r="F1607" t="inlineStr">
        <is>
          <t>M2</t>
        </is>
      </c>
      <c r="G1607" t="inlineStr">
        <is>
          <t>C2</t>
        </is>
      </c>
      <c r="H1607" s="2" t="n">
        <v>46321.68541666667</v>
      </c>
      <c r="I1607" s="2" t="n">
        <v>46322.49097222222</v>
      </c>
      <c r="J1607" t="inlineStr">
        <is>
          <t>Completed</t>
        </is>
      </c>
      <c r="K1607" t="n">
        <v>4.96</v>
      </c>
      <c r="L1607" t="n">
        <v>8</v>
      </c>
      <c r="M1607" t="b">
        <v>0</v>
      </c>
      <c r="N1607" t="n">
        <v>0</v>
      </c>
      <c r="O1607" t="b">
        <v>1</v>
      </c>
      <c r="P1607" t="b">
        <v>0</v>
      </c>
      <c r="Q1607" t="b">
        <v>1</v>
      </c>
    </row>
    <row r="1608">
      <c r="A1608" t="inlineStr">
        <is>
          <t>REQ01607</t>
        </is>
      </c>
      <c r="B1608" t="inlineStr">
        <is>
          <t>969500MD1SMFPSANCQ05</t>
        </is>
      </c>
      <c r="C1608" t="inlineStr">
        <is>
          <t>data_amendment</t>
        </is>
      </c>
      <c r="D1608" s="2" t="n">
        <v>46321.66597222222</v>
      </c>
      <c r="E1608" s="2" t="n">
        <v>46322.62430555555</v>
      </c>
      <c r="F1608" t="inlineStr">
        <is>
          <t>M4</t>
        </is>
      </c>
      <c r="G1608" t="inlineStr">
        <is>
          <t>C3</t>
        </is>
      </c>
      <c r="H1608" s="2" t="n">
        <v>46321.6875</v>
      </c>
      <c r="I1608" s="2" t="n">
        <v>46322.49027777778</v>
      </c>
      <c r="J1608" t="inlineStr">
        <is>
          <t>Completed</t>
        </is>
      </c>
      <c r="K1608" t="n">
        <v>4.79</v>
      </c>
      <c r="L1608" t="n">
        <v>8</v>
      </c>
      <c r="M1608" t="b">
        <v>0</v>
      </c>
      <c r="N1608" t="n">
        <v>0</v>
      </c>
      <c r="O1608" t="b">
        <v>1</v>
      </c>
      <c r="P1608" t="b">
        <v>0</v>
      </c>
      <c r="Q1608" t="b">
        <v>1</v>
      </c>
    </row>
    <row r="1609">
      <c r="A1609" t="inlineStr">
        <is>
          <t>REQ01608</t>
        </is>
      </c>
      <c r="B1609" t="inlineStr">
        <is>
          <t>9845007E5CA1B0A14I46</t>
        </is>
      </c>
      <c r="C1609" t="inlineStr">
        <is>
          <t>data_amendment</t>
        </is>
      </c>
      <c r="D1609" s="2" t="n">
        <v>46321.66736111111</v>
      </c>
      <c r="E1609" s="2" t="n">
        <v>46322.62569444445</v>
      </c>
      <c r="F1609" t="inlineStr">
        <is>
          <t>M6</t>
        </is>
      </c>
      <c r="G1609" t="inlineStr">
        <is>
          <t>C2</t>
        </is>
      </c>
      <c r="H1609" s="2" t="n">
        <v>46321.6875</v>
      </c>
      <c r="I1609" s="2" t="n">
        <v>46321.69166666667</v>
      </c>
      <c r="J1609" t="inlineStr">
        <is>
          <t>Completed</t>
        </is>
      </c>
      <c r="K1609" t="n">
        <v>0.59</v>
      </c>
      <c r="L1609" t="n">
        <v>8</v>
      </c>
      <c r="M1609" t="b">
        <v>0</v>
      </c>
      <c r="N1609" t="n">
        <v>0</v>
      </c>
      <c r="O1609" t="b">
        <v>1</v>
      </c>
      <c r="P1609" t="b">
        <v>0</v>
      </c>
      <c r="Q1609" t="b">
        <v>0</v>
      </c>
    </row>
    <row r="1610">
      <c r="A1610" t="inlineStr">
        <is>
          <t>REQ01609</t>
        </is>
      </c>
      <c r="B1610" t="inlineStr">
        <is>
          <t>648800M75CUL56JD1X14</t>
        </is>
      </c>
      <c r="C1610" t="inlineStr">
        <is>
          <t>data_amendment</t>
        </is>
      </c>
      <c r="D1610" s="2" t="n">
        <v>46321.67291666667</v>
      </c>
      <c r="E1610" s="2" t="n">
        <v>46322.63125</v>
      </c>
      <c r="F1610" t="inlineStr">
        <is>
          <t>M1</t>
        </is>
      </c>
      <c r="G1610" t="inlineStr">
        <is>
          <t>C1</t>
        </is>
      </c>
      <c r="H1610" s="2" t="n">
        <v>46321.68472222222</v>
      </c>
      <c r="I1610" s="2" t="n">
        <v>46321.68819444445</v>
      </c>
      <c r="J1610" t="inlineStr">
        <is>
          <t>Completed</t>
        </is>
      </c>
      <c r="K1610" t="n">
        <v>0.36</v>
      </c>
      <c r="L1610" t="n">
        <v>8</v>
      </c>
      <c r="M1610" t="b">
        <v>0</v>
      </c>
      <c r="N1610" t="n">
        <v>0</v>
      </c>
      <c r="O1610" t="b">
        <v>1</v>
      </c>
      <c r="P1610" t="b">
        <v>0</v>
      </c>
      <c r="Q1610" t="b">
        <v>0</v>
      </c>
    </row>
    <row r="1611">
      <c r="A1611" t="inlineStr">
        <is>
          <t>REQ01610</t>
        </is>
      </c>
      <c r="B1611" t="inlineStr">
        <is>
          <t>549300XRG7L4MH3QJS95</t>
        </is>
      </c>
      <c r="C1611" t="inlineStr">
        <is>
          <t>signatory_change</t>
        </is>
      </c>
      <c r="D1611" s="2" t="n">
        <v>46321.67777777778</v>
      </c>
      <c r="E1611" s="2" t="n">
        <v>46322.63611111111</v>
      </c>
      <c r="F1611" t="inlineStr">
        <is>
          <t>M5</t>
        </is>
      </c>
      <c r="G1611" t="inlineStr">
        <is>
          <t>C1</t>
        </is>
      </c>
      <c r="H1611" s="2" t="n">
        <v>46321.69791666666</v>
      </c>
      <c r="I1611" s="2" t="n">
        <v>46321.70555555556</v>
      </c>
      <c r="J1611" t="inlineStr">
        <is>
          <t>Completed</t>
        </is>
      </c>
      <c r="K1611" t="n">
        <v>0.67</v>
      </c>
      <c r="L1611" t="n">
        <v>8</v>
      </c>
      <c r="M1611" t="b">
        <v>0</v>
      </c>
      <c r="N1611" t="n">
        <v>0</v>
      </c>
      <c r="O1611" t="b">
        <v>1</v>
      </c>
      <c r="P1611" t="b">
        <v>0</v>
      </c>
      <c r="Q1611" t="b">
        <v>0</v>
      </c>
    </row>
    <row r="1612">
      <c r="A1612" t="inlineStr">
        <is>
          <t>REQ01611</t>
        </is>
      </c>
      <c r="B1612" t="inlineStr">
        <is>
          <t>549300GXQ86ONSCJ3C67</t>
        </is>
      </c>
      <c r="C1612" t="inlineStr">
        <is>
          <t>document_refresh</t>
        </is>
      </c>
      <c r="D1612" s="2" t="n">
        <v>46321.67986111111</v>
      </c>
      <c r="E1612" s="2" t="n">
        <v>46323.42986111111</v>
      </c>
      <c r="F1612" t="inlineStr">
        <is>
          <t>M1</t>
        </is>
      </c>
      <c r="G1612" t="inlineStr">
        <is>
          <t>C3</t>
        </is>
      </c>
      <c r="H1612" s="2" t="n">
        <v>46321.69930555556</v>
      </c>
      <c r="I1612" s="2" t="n">
        <v>46322.43472222222</v>
      </c>
      <c r="J1612" t="inlineStr">
        <is>
          <t>Completed</t>
        </is>
      </c>
      <c r="K1612" t="n">
        <v>3.12</v>
      </c>
      <c r="L1612" t="n">
        <v>12</v>
      </c>
      <c r="M1612" t="b">
        <v>0</v>
      </c>
      <c r="N1612" t="n">
        <v>0</v>
      </c>
      <c r="O1612" t="b">
        <v>1</v>
      </c>
      <c r="P1612" t="b">
        <v>0</v>
      </c>
      <c r="Q1612" t="b">
        <v>1</v>
      </c>
    </row>
    <row r="1613">
      <c r="A1613" t="inlineStr">
        <is>
          <t>REQ01612</t>
        </is>
      </c>
      <c r="B1613" t="inlineStr">
        <is>
          <t>549300FU389FRT1BVS05</t>
        </is>
      </c>
      <c r="C1613" t="inlineStr">
        <is>
          <t>new_account</t>
        </is>
      </c>
      <c r="D1613" s="2" t="n">
        <v>46321.68680555555</v>
      </c>
      <c r="E1613" s="2" t="n">
        <v>46323.60347222222</v>
      </c>
      <c r="F1613" t="inlineStr">
        <is>
          <t>M2</t>
        </is>
      </c>
      <c r="G1613" t="inlineStr">
        <is>
          <t>C3</t>
        </is>
      </c>
      <c r="H1613" s="2" t="n">
        <v>46321.72291666667</v>
      </c>
      <c r="I1613" s="2" t="n">
        <v>46321.73263888889</v>
      </c>
      <c r="J1613" t="inlineStr">
        <is>
          <t>Completed</t>
        </is>
      </c>
      <c r="K1613" t="n">
        <v>1.1</v>
      </c>
      <c r="L1613" t="n">
        <v>16</v>
      </c>
      <c r="M1613" t="b">
        <v>0</v>
      </c>
      <c r="N1613" t="n">
        <v>0</v>
      </c>
      <c r="O1613" t="b">
        <v>1</v>
      </c>
      <c r="P1613" t="b">
        <v>0</v>
      </c>
      <c r="Q1613" t="b">
        <v>0</v>
      </c>
    </row>
    <row r="1614">
      <c r="A1614" t="inlineStr">
        <is>
          <t>REQ01613</t>
        </is>
      </c>
      <c r="B1614" t="inlineStr">
        <is>
          <t>2138007I65X8VIQBE804</t>
        </is>
      </c>
      <c r="C1614" t="inlineStr">
        <is>
          <t>document_refresh</t>
        </is>
      </c>
      <c r="D1614" s="2" t="n">
        <v>46321.69027777778</v>
      </c>
      <c r="E1614" s="2" t="n">
        <v>46323.44027777778</v>
      </c>
      <c r="F1614" t="inlineStr">
        <is>
          <t>M6</t>
        </is>
      </c>
      <c r="G1614" t="inlineStr">
        <is>
          <t>C1</t>
        </is>
      </c>
      <c r="H1614" s="2" t="n">
        <v>46321.70347222222</v>
      </c>
      <c r="I1614" s="2" t="n">
        <v>46322.47986111111</v>
      </c>
      <c r="J1614" t="inlineStr">
        <is>
          <t>Completed</t>
        </is>
      </c>
      <c r="K1614" t="n">
        <v>3.94</v>
      </c>
      <c r="L1614" t="n">
        <v>12</v>
      </c>
      <c r="M1614" t="b">
        <v>0</v>
      </c>
      <c r="N1614" t="n">
        <v>0</v>
      </c>
      <c r="O1614" t="b">
        <v>1</v>
      </c>
      <c r="P1614" t="b">
        <v>0</v>
      </c>
      <c r="Q1614" t="b">
        <v>1</v>
      </c>
    </row>
    <row r="1615">
      <c r="A1615" t="inlineStr">
        <is>
          <t>REQ01614</t>
        </is>
      </c>
      <c r="B1615" t="inlineStr">
        <is>
          <t>5493007RI7A7VPXQ2V85</t>
        </is>
      </c>
      <c r="C1615" t="inlineStr">
        <is>
          <t>document_refresh</t>
        </is>
      </c>
      <c r="D1615" s="2" t="n">
        <v>46321.69166666667</v>
      </c>
      <c r="E1615" s="2" t="n">
        <v>46323.44166666667</v>
      </c>
      <c r="F1615" t="inlineStr">
        <is>
          <t>M4</t>
        </is>
      </c>
      <c r="G1615" t="inlineStr">
        <is>
          <t>C2</t>
        </is>
      </c>
      <c r="H1615" s="2" t="n">
        <v>46321.70138888889</v>
      </c>
      <c r="I1615" s="2" t="n">
        <v>46322.42152777778</v>
      </c>
      <c r="J1615" t="inlineStr">
        <is>
          <t>Completed</t>
        </is>
      </c>
      <c r="K1615" t="n">
        <v>2.52</v>
      </c>
      <c r="L1615" t="n">
        <v>12</v>
      </c>
      <c r="M1615" t="b">
        <v>0</v>
      </c>
      <c r="N1615" t="n">
        <v>0</v>
      </c>
      <c r="O1615" t="b">
        <v>1</v>
      </c>
      <c r="P1615" t="b">
        <v>0</v>
      </c>
      <c r="Q1615" t="b">
        <v>1</v>
      </c>
    </row>
    <row r="1616">
      <c r="A1616" t="inlineStr">
        <is>
          <t>REQ01615</t>
        </is>
      </c>
      <c r="B1616" t="inlineStr">
        <is>
          <t>254900R70PWHSEH87O95</t>
        </is>
      </c>
      <c r="C1616" t="inlineStr">
        <is>
          <t>document_refresh</t>
        </is>
      </c>
      <c r="D1616" s="2" t="n">
        <v>46321.69652777778</v>
      </c>
      <c r="E1616" s="2" t="n">
        <v>46323.44652777778</v>
      </c>
      <c r="F1616" t="inlineStr">
        <is>
          <t>M5</t>
        </is>
      </c>
      <c r="G1616" t="inlineStr">
        <is>
          <t>C1</t>
        </is>
      </c>
      <c r="H1616" s="2" t="n">
        <v>46321.70833333334</v>
      </c>
      <c r="I1616" s="2" t="n">
        <v>46321.71388888889</v>
      </c>
      <c r="J1616" t="inlineStr">
        <is>
          <t>Completed</t>
        </is>
      </c>
      <c r="K1616" t="n">
        <v>0.42</v>
      </c>
      <c r="L1616" t="n">
        <v>12</v>
      </c>
      <c r="M1616" t="b">
        <v>0</v>
      </c>
      <c r="N1616" t="n">
        <v>0</v>
      </c>
      <c r="O1616" t="b">
        <v>1</v>
      </c>
      <c r="P1616" t="b">
        <v>0</v>
      </c>
      <c r="Q1616" t="b">
        <v>0</v>
      </c>
    </row>
    <row r="1617">
      <c r="A1617" t="inlineStr">
        <is>
          <t>REQ01616</t>
        </is>
      </c>
      <c r="B1617" t="inlineStr">
        <is>
          <t>213800G2HXJAJUZ22E07</t>
        </is>
      </c>
      <c r="C1617" t="inlineStr">
        <is>
          <t>data_amendment</t>
        </is>
      </c>
      <c r="D1617" s="2" t="n">
        <v>46321.7</v>
      </c>
      <c r="E1617" s="2" t="n">
        <v>46322.65833333333</v>
      </c>
      <c r="F1617" t="inlineStr">
        <is>
          <t>M1</t>
        </is>
      </c>
      <c r="G1617" t="inlineStr">
        <is>
          <t>C2</t>
        </is>
      </c>
      <c r="H1617" s="2" t="n">
        <v>46321.70763888889</v>
      </c>
      <c r="I1617" s="2" t="n">
        <v>46322.51527777778</v>
      </c>
      <c r="J1617" t="inlineStr">
        <is>
          <t>Completed</t>
        </is>
      </c>
      <c r="K1617" t="n">
        <v>4.56</v>
      </c>
      <c r="L1617" t="n">
        <v>8</v>
      </c>
      <c r="M1617" t="b">
        <v>0</v>
      </c>
      <c r="N1617" t="n">
        <v>0</v>
      </c>
      <c r="O1617" t="b">
        <v>1</v>
      </c>
      <c r="P1617" t="b">
        <v>0</v>
      </c>
      <c r="Q1617" t="b">
        <v>1</v>
      </c>
    </row>
    <row r="1618">
      <c r="A1618" t="inlineStr">
        <is>
          <t>REQ01617</t>
        </is>
      </c>
      <c r="B1618" t="inlineStr">
        <is>
          <t>984500086CFFFB0ADC83</t>
        </is>
      </c>
      <c r="C1618" t="inlineStr">
        <is>
          <t>document_refresh</t>
        </is>
      </c>
      <c r="D1618" s="2" t="n">
        <v>46321.70277777778</v>
      </c>
      <c r="E1618" s="2" t="n">
        <v>46323.45277777778</v>
      </c>
      <c r="F1618" t="inlineStr">
        <is>
          <t>M4</t>
        </is>
      </c>
      <c r="G1618" t="inlineStr">
        <is>
          <t>C2</t>
        </is>
      </c>
      <c r="H1618" s="2" t="n">
        <v>46321.71875</v>
      </c>
      <c r="I1618" s="2" t="n">
        <v>46321.72569444445</v>
      </c>
      <c r="J1618" t="inlineStr">
        <is>
          <t>Completed</t>
        </is>
      </c>
      <c r="K1618" t="n">
        <v>0.54</v>
      </c>
      <c r="L1618" t="n">
        <v>12</v>
      </c>
      <c r="M1618" t="b">
        <v>0</v>
      </c>
      <c r="N1618" t="n">
        <v>0</v>
      </c>
      <c r="O1618" t="b">
        <v>1</v>
      </c>
      <c r="P1618" t="b">
        <v>0</v>
      </c>
      <c r="Q1618" t="b">
        <v>0</v>
      </c>
    </row>
    <row r="1619">
      <c r="A1619" t="inlineStr">
        <is>
          <t>REQ01618</t>
        </is>
      </c>
      <c r="B1619" t="inlineStr">
        <is>
          <t>2138005PEWGG2AXYJX90</t>
        </is>
      </c>
      <c r="C1619" t="inlineStr">
        <is>
          <t>document_refresh</t>
        </is>
      </c>
      <c r="D1619" s="2" t="n">
        <v>46321.71111111111</v>
      </c>
      <c r="E1619" s="2" t="n">
        <v>46323.46111111111</v>
      </c>
      <c r="F1619" t="inlineStr">
        <is>
          <t>M3</t>
        </is>
      </c>
      <c r="G1619" t="inlineStr">
        <is>
          <t>C3</t>
        </is>
      </c>
      <c r="H1619" s="2" t="n">
        <v>46321.72708333333</v>
      </c>
      <c r="I1619" s="2" t="n">
        <v>46321.73958333334</v>
      </c>
      <c r="J1619" t="inlineStr">
        <is>
          <t>Completed</t>
        </is>
      </c>
      <c r="K1619" t="n">
        <v>0.68</v>
      </c>
      <c r="L1619" t="n">
        <v>12</v>
      </c>
      <c r="M1619" t="b">
        <v>0</v>
      </c>
      <c r="N1619" t="n">
        <v>0</v>
      </c>
      <c r="O1619" t="b">
        <v>1</v>
      </c>
      <c r="P1619" t="b">
        <v>0</v>
      </c>
      <c r="Q1619" t="b">
        <v>0</v>
      </c>
    </row>
    <row r="1620">
      <c r="A1620" t="inlineStr">
        <is>
          <t>REQ01619</t>
        </is>
      </c>
      <c r="B1620" t="inlineStr">
        <is>
          <t>724500L72A3VWYSW4837</t>
        </is>
      </c>
      <c r="C1620" t="inlineStr">
        <is>
          <t>data_amendment</t>
        </is>
      </c>
      <c r="D1620" s="2" t="n">
        <v>46321.71458333333</v>
      </c>
      <c r="E1620" s="2" t="n">
        <v>46322.67291666667</v>
      </c>
      <c r="F1620" t="inlineStr">
        <is>
          <t>M6</t>
        </is>
      </c>
      <c r="G1620" t="inlineStr">
        <is>
          <t>C1</t>
        </is>
      </c>
      <c r="H1620" s="2" t="n">
        <v>46321.72708333333</v>
      </c>
      <c r="I1620" s="2" t="n">
        <v>46321.74166666667</v>
      </c>
      <c r="J1620" t="inlineStr">
        <is>
          <t>Completed</t>
        </is>
      </c>
      <c r="K1620" t="n">
        <v>0.65</v>
      </c>
      <c r="L1620" t="n">
        <v>8</v>
      </c>
      <c r="M1620" t="b">
        <v>0</v>
      </c>
      <c r="N1620" t="n">
        <v>1</v>
      </c>
      <c r="O1620" t="b">
        <v>0</v>
      </c>
      <c r="P1620" t="b">
        <v>1</v>
      </c>
      <c r="Q1620" t="b">
        <v>0</v>
      </c>
    </row>
    <row r="1621">
      <c r="A1621" t="inlineStr">
        <is>
          <t>REQ01620</t>
        </is>
      </c>
      <c r="B1621" t="inlineStr">
        <is>
          <t>335800RVKRY1AHQPZ809</t>
        </is>
      </c>
      <c r="C1621" t="inlineStr">
        <is>
          <t>document_refresh</t>
        </is>
      </c>
      <c r="D1621" s="2" t="n">
        <v>46321.71875</v>
      </c>
      <c r="E1621" s="2" t="n">
        <v>46323.46875</v>
      </c>
      <c r="F1621" t="inlineStr">
        <is>
          <t>M1</t>
        </is>
      </c>
      <c r="G1621" t="inlineStr">
        <is>
          <t>C1</t>
        </is>
      </c>
      <c r="H1621" s="2" t="n">
        <v>46321.73055555556</v>
      </c>
      <c r="I1621" s="2" t="n">
        <v>46321.73888888889</v>
      </c>
      <c r="J1621" t="inlineStr">
        <is>
          <t>Completed</t>
        </is>
      </c>
      <c r="K1621" t="n">
        <v>0.49</v>
      </c>
      <c r="L1621" t="n">
        <v>12</v>
      </c>
      <c r="M1621" t="b">
        <v>0</v>
      </c>
      <c r="N1621" t="n">
        <v>0</v>
      </c>
      <c r="O1621" t="b">
        <v>1</v>
      </c>
      <c r="P1621" t="b">
        <v>0</v>
      </c>
      <c r="Q1621" t="b">
        <v>0</v>
      </c>
    </row>
    <row r="1622">
      <c r="A1622" t="inlineStr">
        <is>
          <t>REQ01621</t>
        </is>
      </c>
      <c r="B1622" t="inlineStr">
        <is>
          <t>549300MKDEE27O3RSE66</t>
        </is>
      </c>
      <c r="C1622" t="inlineStr">
        <is>
          <t>document_refresh</t>
        </is>
      </c>
      <c r="D1622" s="2" t="n">
        <v>46321.73125</v>
      </c>
      <c r="E1622" s="2" t="n">
        <v>46323.48125</v>
      </c>
      <c r="F1622" t="inlineStr">
        <is>
          <t>M5</t>
        </is>
      </c>
      <c r="G1622" t="inlineStr">
        <is>
          <t>C3</t>
        </is>
      </c>
      <c r="H1622" s="2" t="n">
        <v>46321.74583333333</v>
      </c>
      <c r="I1622" s="2" t="n">
        <v>46322.51180555556</v>
      </c>
      <c r="J1622" t="inlineStr">
        <is>
          <t>Completed</t>
        </is>
      </c>
      <c r="K1622" t="n">
        <v>3.73</v>
      </c>
      <c r="L1622" t="n">
        <v>12</v>
      </c>
      <c r="M1622" t="b">
        <v>0</v>
      </c>
      <c r="N1622" t="n">
        <v>0</v>
      </c>
      <c r="O1622" t="b">
        <v>1</v>
      </c>
      <c r="P1622" t="b">
        <v>0</v>
      </c>
      <c r="Q1622" t="b">
        <v>1</v>
      </c>
    </row>
    <row r="1623">
      <c r="A1623" t="inlineStr">
        <is>
          <t>REQ01622</t>
        </is>
      </c>
      <c r="B1623" t="inlineStr">
        <is>
          <t>969500EZ5YNHAFDM4W42</t>
        </is>
      </c>
      <c r="C1623" t="inlineStr">
        <is>
          <t>data_amendment</t>
        </is>
      </c>
      <c r="D1623" s="2" t="n">
        <v>46321.73125</v>
      </c>
      <c r="E1623" s="2" t="n">
        <v>46322.68958333333</v>
      </c>
      <c r="F1623" t="inlineStr">
        <is>
          <t>M4</t>
        </is>
      </c>
      <c r="G1623" t="inlineStr">
        <is>
          <t>C2</t>
        </is>
      </c>
      <c r="H1623" s="2" t="n">
        <v>46321.74097222222</v>
      </c>
      <c r="I1623" s="2" t="n">
        <v>46322.5625</v>
      </c>
      <c r="J1623" t="inlineStr">
        <is>
          <t>Completed</t>
        </is>
      </c>
      <c r="K1623" t="n">
        <v>4.96</v>
      </c>
      <c r="L1623" t="n">
        <v>8</v>
      </c>
      <c r="M1623" t="b">
        <v>0</v>
      </c>
      <c r="N1623" t="n">
        <v>0</v>
      </c>
      <c r="O1623" t="b">
        <v>1</v>
      </c>
      <c r="P1623" t="b">
        <v>0</v>
      </c>
      <c r="Q1623" t="b">
        <v>1</v>
      </c>
    </row>
    <row r="1624">
      <c r="A1624" t="inlineStr">
        <is>
          <t>REQ01623</t>
        </is>
      </c>
      <c r="B1624" t="inlineStr">
        <is>
          <t>984500KA7A7075BD9997</t>
        </is>
      </c>
      <c r="C1624" t="inlineStr">
        <is>
          <t>signatory_change</t>
        </is>
      </c>
      <c r="D1624" s="2" t="n">
        <v>46321.73263888889</v>
      </c>
      <c r="E1624" s="2" t="n">
        <v>46322.69097222222</v>
      </c>
      <c r="F1624" t="inlineStr">
        <is>
          <t>M2</t>
        </is>
      </c>
      <c r="G1624" t="inlineStr">
        <is>
          <t>C1</t>
        </is>
      </c>
      <c r="H1624" s="2" t="n">
        <v>46321.74861111111</v>
      </c>
      <c r="I1624" s="2" t="n">
        <v>46322.37986111111</v>
      </c>
      <c r="J1624" t="inlineStr">
        <is>
          <t>Completed</t>
        </is>
      </c>
      <c r="K1624" t="n">
        <v>0.54</v>
      </c>
      <c r="L1624" t="n">
        <v>8</v>
      </c>
      <c r="M1624" t="b">
        <v>0</v>
      </c>
      <c r="N1624" t="n">
        <v>0</v>
      </c>
      <c r="O1624" t="b">
        <v>1</v>
      </c>
      <c r="P1624" t="b">
        <v>0</v>
      </c>
      <c r="Q1624" t="b">
        <v>0</v>
      </c>
    </row>
    <row r="1625">
      <c r="A1625" t="inlineStr">
        <is>
          <t>REQ01624</t>
        </is>
      </c>
      <c r="B1625" t="inlineStr">
        <is>
          <t>5299006B0TJW7EMLUI17</t>
        </is>
      </c>
      <c r="C1625" t="inlineStr">
        <is>
          <t>new_account</t>
        </is>
      </c>
      <c r="D1625" s="2" t="n">
        <v>46321.73333333333</v>
      </c>
      <c r="E1625" s="2" t="n">
        <v>46323.65</v>
      </c>
      <c r="F1625" t="inlineStr">
        <is>
          <t>M6</t>
        </is>
      </c>
      <c r="G1625" t="inlineStr">
        <is>
          <t>C2</t>
        </is>
      </c>
      <c r="H1625" s="2" t="n">
        <v>46322.38680555556</v>
      </c>
      <c r="I1625" s="2" t="n">
        <v>46322.58541666667</v>
      </c>
      <c r="J1625" t="inlineStr">
        <is>
          <t>Completed</t>
        </is>
      </c>
      <c r="K1625" t="n">
        <v>5.46</v>
      </c>
      <c r="L1625" t="n">
        <v>16</v>
      </c>
      <c r="M1625" t="b">
        <v>0</v>
      </c>
      <c r="N1625" t="n">
        <v>0</v>
      </c>
      <c r="O1625" t="b">
        <v>1</v>
      </c>
      <c r="P1625" t="b">
        <v>0</v>
      </c>
      <c r="Q1625" t="b">
        <v>1</v>
      </c>
    </row>
    <row r="1626">
      <c r="A1626" t="inlineStr">
        <is>
          <t>REQ01625</t>
        </is>
      </c>
      <c r="B1626" t="inlineStr">
        <is>
          <t>391200BBEXXTN4FLMM13</t>
        </is>
      </c>
      <c r="C1626" t="inlineStr">
        <is>
          <t>signatory_change</t>
        </is>
      </c>
      <c r="D1626" s="2" t="n">
        <v>46321.73472222222</v>
      </c>
      <c r="E1626" s="2" t="n">
        <v>46322.69305555556</v>
      </c>
      <c r="F1626" t="inlineStr">
        <is>
          <t>M3</t>
        </is>
      </c>
      <c r="G1626" t="inlineStr">
        <is>
          <t>C3</t>
        </is>
      </c>
      <c r="H1626" s="2" t="n">
        <v>46322.375</v>
      </c>
      <c r="I1626" s="2" t="n">
        <v>46322.37986111111</v>
      </c>
      <c r="J1626" t="inlineStr">
        <is>
          <t>Completed</t>
        </is>
      </c>
      <c r="K1626" t="n">
        <v>0.49</v>
      </c>
      <c r="L1626" t="n">
        <v>8</v>
      </c>
      <c r="M1626" t="b">
        <v>0</v>
      </c>
      <c r="N1626" t="n">
        <v>0</v>
      </c>
      <c r="O1626" t="b">
        <v>1</v>
      </c>
      <c r="P1626" t="b">
        <v>0</v>
      </c>
      <c r="Q1626" t="b">
        <v>0</v>
      </c>
    </row>
    <row r="1627">
      <c r="A1627" t="inlineStr">
        <is>
          <t>REQ01626</t>
        </is>
      </c>
      <c r="B1627" t="inlineStr">
        <is>
          <t>8945008V0Y7IUIMQOA89</t>
        </is>
      </c>
      <c r="C1627" t="inlineStr">
        <is>
          <t>new_account</t>
        </is>
      </c>
      <c r="D1627" s="2" t="n">
        <v>46321.73472222222</v>
      </c>
      <c r="E1627" s="2" t="n">
        <v>46323.65138888889</v>
      </c>
      <c r="F1627" t="inlineStr">
        <is>
          <t>M1</t>
        </is>
      </c>
      <c r="G1627" t="inlineStr">
        <is>
          <t>C1</t>
        </is>
      </c>
      <c r="H1627" s="2" t="n">
        <v>46322.38680555556</v>
      </c>
      <c r="I1627" s="2" t="n">
        <v>46322.51736111111</v>
      </c>
      <c r="J1627" t="inlineStr">
        <is>
          <t>Completed</t>
        </is>
      </c>
      <c r="K1627" t="n">
        <v>3.79</v>
      </c>
      <c r="L1627" t="n">
        <v>16</v>
      </c>
      <c r="M1627" t="b">
        <v>0</v>
      </c>
      <c r="N1627" t="n">
        <v>0</v>
      </c>
      <c r="O1627" t="b">
        <v>1</v>
      </c>
      <c r="P1627" t="b">
        <v>0</v>
      </c>
      <c r="Q1627" t="b">
        <v>1</v>
      </c>
    </row>
    <row r="1628">
      <c r="A1628" t="inlineStr">
        <is>
          <t>REQ01627</t>
        </is>
      </c>
      <c r="B1628" t="inlineStr">
        <is>
          <t>9695001GBB4MHKFVJK39</t>
        </is>
      </c>
      <c r="C1628" t="inlineStr">
        <is>
          <t>signatory_change</t>
        </is>
      </c>
      <c r="D1628" s="2" t="n">
        <v>46321.73541666667</v>
      </c>
      <c r="E1628" s="2" t="n">
        <v>46322.69375</v>
      </c>
      <c r="F1628" t="inlineStr">
        <is>
          <t>M4</t>
        </is>
      </c>
      <c r="G1628" t="inlineStr">
        <is>
          <t>C2</t>
        </is>
      </c>
      <c r="H1628" s="2" t="n">
        <v>46322.38125</v>
      </c>
      <c r="I1628" s="2" t="n">
        <v>46322.55555555555</v>
      </c>
      <c r="J1628" t="inlineStr">
        <is>
          <t>Completed</t>
        </is>
      </c>
      <c r="K1628" t="n">
        <v>4.69</v>
      </c>
      <c r="L1628" t="n">
        <v>8</v>
      </c>
      <c r="M1628" t="b">
        <v>0</v>
      </c>
      <c r="N1628" t="n">
        <v>0</v>
      </c>
      <c r="O1628" t="b">
        <v>1</v>
      </c>
      <c r="P1628" t="b">
        <v>0</v>
      </c>
      <c r="Q1628" t="b">
        <v>1</v>
      </c>
    </row>
    <row r="1629">
      <c r="A1629" t="inlineStr">
        <is>
          <t>REQ01628</t>
        </is>
      </c>
      <c r="B1629" t="inlineStr">
        <is>
          <t>7245001WOW2HR5717722</t>
        </is>
      </c>
      <c r="C1629" t="inlineStr">
        <is>
          <t>document_refresh</t>
        </is>
      </c>
      <c r="D1629" s="2" t="n">
        <v>46321.73888888889</v>
      </c>
      <c r="E1629" s="2" t="n">
        <v>46323.48888888889</v>
      </c>
      <c r="F1629" t="inlineStr">
        <is>
          <t>M5</t>
        </is>
      </c>
      <c r="G1629" t="inlineStr">
        <is>
          <t>C1</t>
        </is>
      </c>
      <c r="H1629" s="2" t="n">
        <v>46322.38125</v>
      </c>
      <c r="I1629" s="2" t="n">
        <v>46322.39375</v>
      </c>
      <c r="J1629" t="inlineStr">
        <is>
          <t>Completed</t>
        </is>
      </c>
      <c r="K1629" t="n">
        <v>0.72</v>
      </c>
      <c r="L1629" t="n">
        <v>12</v>
      </c>
      <c r="M1629" t="b">
        <v>0</v>
      </c>
      <c r="N1629" t="n">
        <v>1</v>
      </c>
      <c r="O1629" t="b">
        <v>0</v>
      </c>
      <c r="P1629" t="b">
        <v>1</v>
      </c>
      <c r="Q1629" t="b">
        <v>0</v>
      </c>
    </row>
    <row r="1630">
      <c r="A1630" t="inlineStr">
        <is>
          <t>REQ01629</t>
        </is>
      </c>
      <c r="B1630" t="inlineStr">
        <is>
          <t>549300M9ZK0IKU2WOJ39</t>
        </is>
      </c>
      <c r="C1630" t="inlineStr">
        <is>
          <t>document_refresh</t>
        </is>
      </c>
      <c r="D1630" s="2" t="n">
        <v>46321.74513888889</v>
      </c>
      <c r="E1630" s="2" t="n">
        <v>46323.49513888889</v>
      </c>
      <c r="F1630" t="inlineStr">
        <is>
          <t>M2</t>
        </is>
      </c>
      <c r="G1630" t="inlineStr">
        <is>
          <t>C1</t>
        </is>
      </c>
      <c r="H1630" s="2" t="n">
        <v>46322.39097222222</v>
      </c>
      <c r="I1630" s="2" t="n">
        <v>46322.40625</v>
      </c>
      <c r="J1630" t="inlineStr">
        <is>
          <t>Completed</t>
        </is>
      </c>
      <c r="K1630" t="n">
        <v>0.86</v>
      </c>
      <c r="L1630" t="n">
        <v>12</v>
      </c>
      <c r="M1630" t="b">
        <v>0</v>
      </c>
      <c r="N1630" t="n">
        <v>0</v>
      </c>
      <c r="O1630" t="b">
        <v>1</v>
      </c>
      <c r="P1630" t="b">
        <v>0</v>
      </c>
      <c r="Q1630" t="b">
        <v>0</v>
      </c>
    </row>
    <row r="1631">
      <c r="A1631" t="inlineStr">
        <is>
          <t>REQ01630</t>
        </is>
      </c>
      <c r="B1631" t="inlineStr">
        <is>
          <t>5493002RPRHCSJQ5MZ46</t>
        </is>
      </c>
      <c r="C1631" t="inlineStr">
        <is>
          <t>new_account</t>
        </is>
      </c>
      <c r="D1631" s="2" t="n">
        <v>46321.74513888889</v>
      </c>
      <c r="E1631" s="2" t="n">
        <v>46323.66180555556</v>
      </c>
      <c r="F1631" t="inlineStr">
        <is>
          <t>M3</t>
        </is>
      </c>
      <c r="G1631" t="inlineStr">
        <is>
          <t>C3</t>
        </is>
      </c>
      <c r="H1631" s="2" t="n">
        <v>46322.39722222222</v>
      </c>
      <c r="I1631" s="2" t="n">
        <v>46322.57083333333</v>
      </c>
      <c r="J1631" t="inlineStr">
        <is>
          <t>Completed</t>
        </is>
      </c>
      <c r="K1631" t="n">
        <v>4.82</v>
      </c>
      <c r="L1631" t="n">
        <v>16</v>
      </c>
      <c r="M1631" t="b">
        <v>0</v>
      </c>
      <c r="N1631" t="n">
        <v>0</v>
      </c>
      <c r="O1631" t="b">
        <v>1</v>
      </c>
      <c r="P1631" t="b">
        <v>0</v>
      </c>
      <c r="Q1631" t="b">
        <v>1</v>
      </c>
    </row>
    <row r="1632">
      <c r="A1632" t="inlineStr">
        <is>
          <t>REQ01631</t>
        </is>
      </c>
      <c r="B1632" t="inlineStr">
        <is>
          <t>5493003X4K2FSNX7GI42</t>
        </is>
      </c>
      <c r="C1632" t="inlineStr">
        <is>
          <t>new_account</t>
        </is>
      </c>
      <c r="D1632" s="2" t="n">
        <v>46322.37777777778</v>
      </c>
      <c r="E1632" s="2" t="n">
        <v>46323.66944444444</v>
      </c>
      <c r="F1632" t="inlineStr">
        <is>
          <t>M5</t>
        </is>
      </c>
      <c r="G1632" t="inlineStr">
        <is>
          <t>C3</t>
        </is>
      </c>
      <c r="H1632" s="2" t="n">
        <v>46322.40694444445</v>
      </c>
      <c r="I1632" s="2" t="n">
        <v>46322.59930555556</v>
      </c>
      <c r="J1632" t="inlineStr">
        <is>
          <t>Completed</t>
        </is>
      </c>
      <c r="K1632" t="n">
        <v>5.32</v>
      </c>
      <c r="L1632" t="n">
        <v>16</v>
      </c>
      <c r="M1632" t="b">
        <v>0</v>
      </c>
      <c r="N1632" t="n">
        <v>0</v>
      </c>
      <c r="O1632" t="b">
        <v>1</v>
      </c>
      <c r="P1632" t="b">
        <v>0</v>
      </c>
      <c r="Q1632" t="b">
        <v>1</v>
      </c>
    </row>
    <row r="1633">
      <c r="A1633" t="inlineStr">
        <is>
          <t>REQ01632</t>
        </is>
      </c>
      <c r="B1633" t="inlineStr">
        <is>
          <t>5493003LHXYXZNNXCZ24</t>
        </is>
      </c>
      <c r="C1633" t="inlineStr">
        <is>
          <t>data_amendment</t>
        </is>
      </c>
      <c r="D1633" s="2" t="n">
        <v>46322.37777777778</v>
      </c>
      <c r="E1633" s="2" t="n">
        <v>46322.71111111111</v>
      </c>
      <c r="F1633" t="inlineStr">
        <is>
          <t>M4</t>
        </is>
      </c>
      <c r="G1633" t="inlineStr">
        <is>
          <t>C3</t>
        </is>
      </c>
      <c r="H1633" s="2" t="n">
        <v>46322.39097222222</v>
      </c>
      <c r="I1633" s="2" t="n">
        <v>46322.40277777778</v>
      </c>
      <c r="J1633" t="inlineStr">
        <is>
          <t>Completed</t>
        </is>
      </c>
      <c r="K1633" t="n">
        <v>0.61</v>
      </c>
      <c r="L1633" t="n">
        <v>8</v>
      </c>
      <c r="M1633" t="b">
        <v>0</v>
      </c>
      <c r="N1633" t="n">
        <v>0</v>
      </c>
      <c r="O1633" t="b">
        <v>1</v>
      </c>
      <c r="P1633" t="b">
        <v>0</v>
      </c>
      <c r="Q1633" t="b">
        <v>0</v>
      </c>
    </row>
    <row r="1634">
      <c r="A1634" t="inlineStr">
        <is>
          <t>REQ01633</t>
        </is>
      </c>
      <c r="B1634" t="inlineStr">
        <is>
          <t>3912007AKJQMC1G40717</t>
        </is>
      </c>
      <c r="C1634" t="inlineStr">
        <is>
          <t>document_refresh</t>
        </is>
      </c>
      <c r="D1634" s="2" t="n">
        <v>46322.39583333334</v>
      </c>
      <c r="E1634" s="2" t="n">
        <v>46323.52083333334</v>
      </c>
      <c r="F1634" t="inlineStr">
        <is>
          <t>M6</t>
        </is>
      </c>
      <c r="G1634" t="inlineStr">
        <is>
          <t>C2</t>
        </is>
      </c>
      <c r="H1634" s="2" t="n">
        <v>46322.40625</v>
      </c>
      <c r="I1634" s="2" t="n">
        <v>46322.4125</v>
      </c>
      <c r="J1634" t="inlineStr">
        <is>
          <t>Completed</t>
        </is>
      </c>
      <c r="K1634" t="n">
        <v>0.39</v>
      </c>
      <c r="L1634" t="n">
        <v>12</v>
      </c>
      <c r="M1634" t="b">
        <v>0</v>
      </c>
      <c r="N1634" t="n">
        <v>0</v>
      </c>
      <c r="O1634" t="b">
        <v>1</v>
      </c>
      <c r="P1634" t="b">
        <v>0</v>
      </c>
      <c r="Q1634" t="b">
        <v>0</v>
      </c>
    </row>
    <row r="1635">
      <c r="A1635" t="inlineStr">
        <is>
          <t>REQ01634</t>
        </is>
      </c>
      <c r="B1635" t="inlineStr">
        <is>
          <t>213800A3CWPTNHFY4J44</t>
        </is>
      </c>
      <c r="C1635" t="inlineStr">
        <is>
          <t>document_refresh</t>
        </is>
      </c>
      <c r="D1635" s="2" t="n">
        <v>46322.40069444444</v>
      </c>
      <c r="E1635" s="2" t="n">
        <v>46323.52569444444</v>
      </c>
      <c r="F1635" t="inlineStr">
        <is>
          <t>M1</t>
        </is>
      </c>
      <c r="G1635" t="inlineStr">
        <is>
          <t>C1</t>
        </is>
      </c>
      <c r="H1635" s="2" t="n">
        <v>46322.41458333333</v>
      </c>
      <c r="I1635" s="2" t="n">
        <v>46322.42083333333</v>
      </c>
      <c r="J1635" t="inlineStr">
        <is>
          <t>Completed</t>
        </is>
      </c>
      <c r="K1635" t="n">
        <v>0.48</v>
      </c>
      <c r="L1635" t="n">
        <v>12</v>
      </c>
      <c r="M1635" t="b">
        <v>0</v>
      </c>
      <c r="N1635" t="n">
        <v>0</v>
      </c>
      <c r="O1635" t="b">
        <v>1</v>
      </c>
      <c r="P1635" t="b">
        <v>0</v>
      </c>
      <c r="Q1635" t="b">
        <v>0</v>
      </c>
    </row>
    <row r="1636">
      <c r="A1636" t="inlineStr">
        <is>
          <t>REQ01635</t>
        </is>
      </c>
      <c r="B1636" t="inlineStr">
        <is>
          <t>391200UQJAIULF4FLQ88</t>
        </is>
      </c>
      <c r="C1636" t="inlineStr">
        <is>
          <t>new_account</t>
        </is>
      </c>
      <c r="D1636" s="2" t="n">
        <v>46322.40277777778</v>
      </c>
      <c r="E1636" s="2" t="n">
        <v>46323.69444444445</v>
      </c>
      <c r="F1636" t="inlineStr">
        <is>
          <t>M4</t>
        </is>
      </c>
      <c r="G1636" t="inlineStr">
        <is>
          <t>C1</t>
        </is>
      </c>
      <c r="H1636" s="2" t="n">
        <v>46322.42777777778</v>
      </c>
      <c r="I1636" s="2" t="n">
        <v>46322.57708333333</v>
      </c>
      <c r="J1636" t="inlineStr">
        <is>
          <t>Completed</t>
        </is>
      </c>
      <c r="K1636" t="n">
        <v>4.18</v>
      </c>
      <c r="L1636" t="n">
        <v>16</v>
      </c>
      <c r="M1636" t="b">
        <v>0</v>
      </c>
      <c r="N1636" t="n">
        <v>1</v>
      </c>
      <c r="O1636" t="b">
        <v>0</v>
      </c>
      <c r="P1636" t="b">
        <v>1</v>
      </c>
      <c r="Q1636" t="b">
        <v>1</v>
      </c>
    </row>
    <row r="1637">
      <c r="A1637" t="inlineStr">
        <is>
          <t>REQ01636</t>
        </is>
      </c>
      <c r="B1637" t="inlineStr">
        <is>
          <t>549300RFC1YIISY5CL75</t>
        </is>
      </c>
      <c r="C1637" t="inlineStr">
        <is>
          <t>document_refresh</t>
        </is>
      </c>
      <c r="D1637" s="2" t="n">
        <v>46322.40416666667</v>
      </c>
      <c r="E1637" s="2" t="n">
        <v>46323.52916666667</v>
      </c>
      <c r="F1637" t="inlineStr">
        <is>
          <t>M2</t>
        </is>
      </c>
      <c r="G1637" t="inlineStr">
        <is>
          <t>C1</t>
        </is>
      </c>
      <c r="H1637" s="2" t="n">
        <v>46322.42083333333</v>
      </c>
      <c r="I1637" s="2" t="n">
        <v>46322.5375</v>
      </c>
      <c r="J1637" t="inlineStr">
        <is>
          <t>Completed</t>
        </is>
      </c>
      <c r="K1637" t="n">
        <v>3.19</v>
      </c>
      <c r="L1637" t="n">
        <v>12</v>
      </c>
      <c r="M1637" t="b">
        <v>0</v>
      </c>
      <c r="N1637" t="n">
        <v>0</v>
      </c>
      <c r="O1637" t="b">
        <v>1</v>
      </c>
      <c r="P1637" t="b">
        <v>0</v>
      </c>
      <c r="Q1637" t="b">
        <v>1</v>
      </c>
    </row>
    <row r="1638">
      <c r="A1638" t="inlineStr">
        <is>
          <t>REQ01637</t>
        </is>
      </c>
      <c r="B1638" t="inlineStr">
        <is>
          <t>529900XL4KHBWGE6VG79</t>
        </is>
      </c>
      <c r="C1638" t="inlineStr">
        <is>
          <t>signatory_change</t>
        </is>
      </c>
      <c r="D1638" s="2" t="n">
        <v>46322.42083333333</v>
      </c>
      <c r="E1638" s="2" t="n">
        <v>46323.37916666667</v>
      </c>
      <c r="F1638" t="inlineStr">
        <is>
          <t>M3</t>
        </is>
      </c>
      <c r="G1638" t="inlineStr">
        <is>
          <t>C2</t>
        </is>
      </c>
      <c r="H1638" s="2" t="n">
        <v>46322.44027777778</v>
      </c>
      <c r="I1638" s="2" t="n">
        <v>46322.45138888889</v>
      </c>
      <c r="J1638" t="inlineStr">
        <is>
          <t>Completed</t>
        </is>
      </c>
      <c r="K1638" t="n">
        <v>0.73</v>
      </c>
      <c r="L1638" t="n">
        <v>8</v>
      </c>
      <c r="M1638" t="b">
        <v>0</v>
      </c>
      <c r="N1638" t="n">
        <v>0</v>
      </c>
      <c r="O1638" t="b">
        <v>1</v>
      </c>
      <c r="P1638" t="b">
        <v>0</v>
      </c>
      <c r="Q1638" t="b">
        <v>0</v>
      </c>
    </row>
    <row r="1639">
      <c r="A1639" t="inlineStr">
        <is>
          <t>REQ01638</t>
        </is>
      </c>
      <c r="B1639" t="inlineStr">
        <is>
          <t>213800C4TEYANSJIQJ51</t>
        </is>
      </c>
      <c r="C1639" t="inlineStr">
        <is>
          <t>data_amendment</t>
        </is>
      </c>
      <c r="D1639" s="2" t="n">
        <v>46322.42222222222</v>
      </c>
      <c r="E1639" s="2" t="n">
        <v>46323.38055555556</v>
      </c>
      <c r="F1639" t="inlineStr">
        <is>
          <t>M6</t>
        </is>
      </c>
      <c r="G1639" t="inlineStr">
        <is>
          <t>C2</t>
        </is>
      </c>
      <c r="H1639" s="2" t="n">
        <v>46322.43541666667</v>
      </c>
      <c r="I1639" s="2" t="n">
        <v>46322.58888888889</v>
      </c>
      <c r="J1639" t="inlineStr">
        <is>
          <t>Completed</t>
        </is>
      </c>
      <c r="K1639" t="n">
        <v>4</v>
      </c>
      <c r="L1639" t="n">
        <v>8</v>
      </c>
      <c r="M1639" t="b">
        <v>0</v>
      </c>
      <c r="N1639" t="n">
        <v>0</v>
      </c>
      <c r="O1639" t="b">
        <v>1</v>
      </c>
      <c r="P1639" t="b">
        <v>0</v>
      </c>
      <c r="Q1639" t="b">
        <v>1</v>
      </c>
    </row>
    <row r="1640">
      <c r="A1640" t="inlineStr">
        <is>
          <t>REQ01639</t>
        </is>
      </c>
      <c r="B1640" t="inlineStr">
        <is>
          <t>98450067B36A3748FB44</t>
        </is>
      </c>
      <c r="C1640" t="inlineStr">
        <is>
          <t>document_refresh</t>
        </is>
      </c>
      <c r="D1640" s="2" t="n">
        <v>46322.43194444444</v>
      </c>
      <c r="E1640" s="2" t="n">
        <v>46323.55694444444</v>
      </c>
      <c r="F1640" t="inlineStr">
        <is>
          <t>M5</t>
        </is>
      </c>
      <c r="G1640" t="inlineStr">
        <is>
          <t>C1</t>
        </is>
      </c>
      <c r="H1640" s="2" t="n">
        <v>46322.44583333333</v>
      </c>
      <c r="I1640" s="2" t="n">
        <v>46322.45069444444</v>
      </c>
      <c r="J1640" t="inlineStr">
        <is>
          <t>Completed</t>
        </is>
      </c>
      <c r="K1640" t="n">
        <v>0.46</v>
      </c>
      <c r="L1640" t="n">
        <v>12</v>
      </c>
      <c r="M1640" t="b">
        <v>0</v>
      </c>
      <c r="N1640" t="n">
        <v>0</v>
      </c>
      <c r="O1640" t="b">
        <v>1</v>
      </c>
      <c r="P1640" t="b">
        <v>0</v>
      </c>
      <c r="Q1640" t="b">
        <v>0</v>
      </c>
    </row>
    <row r="1641">
      <c r="A1641" t="inlineStr">
        <is>
          <t>REQ01640</t>
        </is>
      </c>
      <c r="B1641" t="inlineStr">
        <is>
          <t>894500VX92UKUCI3CM02</t>
        </is>
      </c>
      <c r="C1641" t="inlineStr">
        <is>
          <t>data_amendment</t>
        </is>
      </c>
      <c r="D1641" s="2" t="n">
        <v>46322.44166666667</v>
      </c>
      <c r="E1641" s="2" t="n">
        <v>46323.4</v>
      </c>
      <c r="F1641" t="inlineStr">
        <is>
          <t>M1</t>
        </is>
      </c>
      <c r="G1641" t="inlineStr">
        <is>
          <t>C1</t>
        </is>
      </c>
      <c r="H1641" s="2" t="n">
        <v>46322.44930555556</v>
      </c>
      <c r="I1641" s="2" t="n">
        <v>46322.45555555556</v>
      </c>
      <c r="J1641" t="inlineStr">
        <is>
          <t>Completed</t>
        </is>
      </c>
      <c r="K1641" t="n">
        <v>0.33</v>
      </c>
      <c r="L1641" t="n">
        <v>8</v>
      </c>
      <c r="M1641" t="b">
        <v>0</v>
      </c>
      <c r="N1641" t="n">
        <v>0</v>
      </c>
      <c r="O1641" t="b">
        <v>1</v>
      </c>
      <c r="P1641" t="b">
        <v>0</v>
      </c>
      <c r="Q1641" t="b">
        <v>0</v>
      </c>
    </row>
    <row r="1642">
      <c r="A1642" t="inlineStr">
        <is>
          <t>REQ01641</t>
        </is>
      </c>
      <c r="B1642" t="inlineStr">
        <is>
          <t>984500PDG0547BF58C21</t>
        </is>
      </c>
      <c r="C1642" t="inlineStr">
        <is>
          <t>new_account</t>
        </is>
      </c>
      <c r="D1642" s="2" t="n">
        <v>46322.44513888889</v>
      </c>
      <c r="E1642" s="2" t="n">
        <v>46323.73680555556</v>
      </c>
      <c r="F1642" t="inlineStr">
        <is>
          <t>M2</t>
        </is>
      </c>
      <c r="G1642" t="inlineStr">
        <is>
          <t>C3</t>
        </is>
      </c>
      <c r="H1642" s="2" t="n">
        <v>46322.46875</v>
      </c>
      <c r="I1642" s="2" t="n">
        <v>46322.7375</v>
      </c>
      <c r="J1642" t="inlineStr">
        <is>
          <t>Completed</t>
        </is>
      </c>
      <c r="K1642" t="n">
        <v>7.02</v>
      </c>
      <c r="L1642" t="n">
        <v>16</v>
      </c>
      <c r="M1642" t="b">
        <v>0</v>
      </c>
      <c r="N1642" t="n">
        <v>1</v>
      </c>
      <c r="O1642" t="b">
        <v>0</v>
      </c>
      <c r="P1642" t="b">
        <v>1</v>
      </c>
      <c r="Q1642" t="b">
        <v>1</v>
      </c>
    </row>
    <row r="1643">
      <c r="A1643" t="inlineStr">
        <is>
          <t>REQ01642</t>
        </is>
      </c>
      <c r="B1643" t="inlineStr">
        <is>
          <t>549300EQG2BU8HM4IB67</t>
        </is>
      </c>
      <c r="C1643" t="inlineStr">
        <is>
          <t>new_account</t>
        </is>
      </c>
      <c r="D1643" s="2" t="n">
        <v>46322.44722222222</v>
      </c>
      <c r="E1643" s="2" t="n">
        <v>46323.73888888889</v>
      </c>
      <c r="F1643" t="inlineStr">
        <is>
          <t>M4</t>
        </is>
      </c>
      <c r="G1643" t="inlineStr">
        <is>
          <t>C3</t>
        </is>
      </c>
      <c r="H1643" s="2" t="n">
        <v>46322.47569444445</v>
      </c>
      <c r="I1643" s="2" t="n">
        <v>46322.65</v>
      </c>
      <c r="J1643" t="inlineStr">
        <is>
          <t>Completed</t>
        </is>
      </c>
      <c r="K1643" t="n">
        <v>4.87</v>
      </c>
      <c r="L1643" t="n">
        <v>16</v>
      </c>
      <c r="M1643" t="b">
        <v>0</v>
      </c>
      <c r="N1643" t="n">
        <v>0</v>
      </c>
      <c r="O1643" t="b">
        <v>1</v>
      </c>
      <c r="P1643" t="b">
        <v>0</v>
      </c>
      <c r="Q1643" t="b">
        <v>1</v>
      </c>
    </row>
    <row r="1644">
      <c r="A1644" t="inlineStr">
        <is>
          <t>REQ01643</t>
        </is>
      </c>
      <c r="B1644" t="inlineStr">
        <is>
          <t>2138006KODR214TPYI64</t>
        </is>
      </c>
      <c r="C1644" t="inlineStr">
        <is>
          <t>document_refresh</t>
        </is>
      </c>
      <c r="D1644" s="2" t="n">
        <v>46322.45208333333</v>
      </c>
      <c r="E1644" s="2" t="n">
        <v>46323.57708333333</v>
      </c>
      <c r="F1644" t="inlineStr">
        <is>
          <t>M6</t>
        </is>
      </c>
      <c r="G1644" t="inlineStr">
        <is>
          <t>C1</t>
        </is>
      </c>
      <c r="H1644" s="2" t="n">
        <v>46322.46319444444</v>
      </c>
      <c r="I1644" s="2" t="n">
        <v>46322.57777777778</v>
      </c>
      <c r="J1644" t="inlineStr">
        <is>
          <t>Completed</t>
        </is>
      </c>
      <c r="K1644" t="n">
        <v>3.01</v>
      </c>
      <c r="L1644" t="n">
        <v>12</v>
      </c>
      <c r="M1644" t="b">
        <v>0</v>
      </c>
      <c r="N1644" t="n">
        <v>0</v>
      </c>
      <c r="O1644" t="b">
        <v>1</v>
      </c>
      <c r="P1644" t="b">
        <v>0</v>
      </c>
      <c r="Q1644" t="b">
        <v>1</v>
      </c>
    </row>
    <row r="1645">
      <c r="A1645" t="inlineStr">
        <is>
          <t>REQ01644</t>
        </is>
      </c>
      <c r="B1645" t="inlineStr">
        <is>
          <t>549300U0ZT5IHBGMYR45</t>
        </is>
      </c>
      <c r="C1645" t="inlineStr">
        <is>
          <t>new_account</t>
        </is>
      </c>
      <c r="D1645" s="2" t="n">
        <v>46322.45416666667</v>
      </c>
      <c r="E1645" s="2" t="n">
        <v>46323.74583333333</v>
      </c>
      <c r="F1645" t="inlineStr">
        <is>
          <t>M3</t>
        </is>
      </c>
      <c r="G1645" t="inlineStr">
        <is>
          <t>C2</t>
        </is>
      </c>
      <c r="H1645" s="2" t="n">
        <v>46322.47708333333</v>
      </c>
      <c r="I1645" s="2" t="n">
        <v>46322.73541666667</v>
      </c>
      <c r="J1645" t="inlineStr">
        <is>
          <t>Completed</t>
        </is>
      </c>
      <c r="K1645" t="n">
        <v>6.74</v>
      </c>
      <c r="L1645" t="n">
        <v>16</v>
      </c>
      <c r="M1645" t="b">
        <v>0</v>
      </c>
      <c r="N1645" t="n">
        <v>0</v>
      </c>
      <c r="O1645" t="b">
        <v>1</v>
      </c>
      <c r="P1645" t="b">
        <v>0</v>
      </c>
      <c r="Q1645" t="b">
        <v>1</v>
      </c>
    </row>
    <row r="1646">
      <c r="A1646" t="inlineStr">
        <is>
          <t>REQ01645</t>
        </is>
      </c>
      <c r="B1646" t="inlineStr">
        <is>
          <t>3912004Y6VJXHNF6OH72</t>
        </is>
      </c>
      <c r="C1646" t="inlineStr">
        <is>
          <t>document_refresh</t>
        </is>
      </c>
      <c r="D1646" s="2" t="n">
        <v>46322.45555555556</v>
      </c>
      <c r="E1646" s="2" t="n">
        <v>46323.58055555556</v>
      </c>
      <c r="F1646" t="inlineStr">
        <is>
          <t>M5</t>
        </is>
      </c>
      <c r="G1646" t="inlineStr">
        <is>
          <t>C3</t>
        </is>
      </c>
      <c r="H1646" s="2" t="n">
        <v>46322.47013888889</v>
      </c>
      <c r="I1646" s="2" t="n">
        <v>46322.47430555556</v>
      </c>
      <c r="J1646" t="inlineStr">
        <is>
          <t>Completed</t>
        </is>
      </c>
      <c r="K1646" t="n">
        <v>0.45</v>
      </c>
      <c r="L1646" t="n">
        <v>12</v>
      </c>
      <c r="M1646" t="b">
        <v>0</v>
      </c>
      <c r="N1646" t="n">
        <v>0</v>
      </c>
      <c r="O1646" t="b">
        <v>1</v>
      </c>
      <c r="P1646" t="b">
        <v>0</v>
      </c>
      <c r="Q1646" t="b">
        <v>0</v>
      </c>
    </row>
    <row r="1647">
      <c r="A1647" t="inlineStr">
        <is>
          <t>REQ01646</t>
        </is>
      </c>
      <c r="B1647" t="inlineStr">
        <is>
          <t>549300X3G7W5S2BVNY03</t>
        </is>
      </c>
      <c r="C1647" t="inlineStr">
        <is>
          <t>signatory_change</t>
        </is>
      </c>
      <c r="D1647" s="2" t="n">
        <v>46322.46180555555</v>
      </c>
      <c r="E1647" s="2" t="n">
        <v>46323.42013888889</v>
      </c>
      <c r="F1647" t="inlineStr">
        <is>
          <t>M1</t>
        </is>
      </c>
      <c r="G1647" t="inlineStr">
        <is>
          <t>C1</t>
        </is>
      </c>
      <c r="H1647" s="2" t="n">
        <v>46322.47847222222</v>
      </c>
      <c r="I1647" s="2" t="n">
        <v>46322.71527777778</v>
      </c>
      <c r="J1647" t="inlineStr">
        <is>
          <t>Completed</t>
        </is>
      </c>
      <c r="K1647" t="n">
        <v>6.08</v>
      </c>
      <c r="L1647" t="n">
        <v>8</v>
      </c>
      <c r="M1647" t="b">
        <v>0</v>
      </c>
      <c r="N1647" t="n">
        <v>0</v>
      </c>
      <c r="O1647" t="b">
        <v>1</v>
      </c>
      <c r="P1647" t="b">
        <v>0</v>
      </c>
      <c r="Q1647" t="b">
        <v>1</v>
      </c>
    </row>
    <row r="1648">
      <c r="A1648" t="inlineStr">
        <is>
          <t>REQ01647</t>
        </is>
      </c>
      <c r="B1648" t="inlineStr">
        <is>
          <t>5299007PWCFTBVPWW094</t>
        </is>
      </c>
      <c r="C1648" t="inlineStr">
        <is>
          <t>signatory_change</t>
        </is>
      </c>
      <c r="D1648" s="2" t="n">
        <v>46322.47013888889</v>
      </c>
      <c r="E1648" s="2" t="n">
        <v>46323.42847222222</v>
      </c>
      <c r="F1648" t="inlineStr">
        <is>
          <t>M6</t>
        </is>
      </c>
      <c r="G1648" t="inlineStr">
        <is>
          <t>C3</t>
        </is>
      </c>
      <c r="H1648" s="2" t="n">
        <v>46322.49583333333</v>
      </c>
      <c r="I1648" s="2" t="n">
        <v>46322.58819444444</v>
      </c>
      <c r="J1648" t="inlineStr">
        <is>
          <t>Completed</t>
        </is>
      </c>
      <c r="K1648" t="n">
        <v>2.84</v>
      </c>
      <c r="L1648" t="n">
        <v>8</v>
      </c>
      <c r="M1648" t="b">
        <v>0</v>
      </c>
      <c r="N1648" t="n">
        <v>0</v>
      </c>
      <c r="O1648" t="b">
        <v>1</v>
      </c>
      <c r="P1648" t="b">
        <v>0</v>
      </c>
      <c r="Q1648" t="b">
        <v>1</v>
      </c>
    </row>
    <row r="1649">
      <c r="A1649" t="inlineStr">
        <is>
          <t>REQ01648</t>
        </is>
      </c>
      <c r="B1649" t="inlineStr">
        <is>
          <t>7245000NJG041806AB45</t>
        </is>
      </c>
      <c r="C1649" t="inlineStr">
        <is>
          <t>signatory_change</t>
        </is>
      </c>
      <c r="D1649" s="2" t="n">
        <v>46322.47986111111</v>
      </c>
      <c r="E1649" s="2" t="n">
        <v>46323.43819444445</v>
      </c>
      <c r="F1649" t="inlineStr">
        <is>
          <t>M2</t>
        </is>
      </c>
      <c r="G1649" t="inlineStr">
        <is>
          <t>C3</t>
        </is>
      </c>
      <c r="H1649" s="2" t="n">
        <v>46322.49722222222</v>
      </c>
      <c r="I1649" s="2" t="n">
        <v>46322.51666666667</v>
      </c>
      <c r="J1649" t="inlineStr">
        <is>
          <t>Completed</t>
        </is>
      </c>
      <c r="K1649" t="n">
        <v>0.88</v>
      </c>
      <c r="L1649" t="n">
        <v>8</v>
      </c>
      <c r="M1649" t="b">
        <v>0</v>
      </c>
      <c r="N1649" t="n">
        <v>1</v>
      </c>
      <c r="O1649" t="b">
        <v>0</v>
      </c>
      <c r="P1649" t="b">
        <v>1</v>
      </c>
      <c r="Q1649" t="b">
        <v>0</v>
      </c>
    </row>
    <row r="1650">
      <c r="A1650" t="inlineStr">
        <is>
          <t>REQ01649</t>
        </is>
      </c>
      <c r="B1650" t="inlineStr">
        <is>
          <t>549300M17PYIVUHIKN62</t>
        </is>
      </c>
      <c r="C1650" t="inlineStr">
        <is>
          <t>document_refresh</t>
        </is>
      </c>
      <c r="D1650" s="2" t="n">
        <v>46322.48541666667</v>
      </c>
      <c r="E1650" s="2" t="n">
        <v>46323.61041666667</v>
      </c>
      <c r="F1650" t="inlineStr">
        <is>
          <t>M5</t>
        </is>
      </c>
      <c r="G1650" t="inlineStr">
        <is>
          <t>C3</t>
        </is>
      </c>
      <c r="H1650" s="2" t="n">
        <v>46322.49513888889</v>
      </c>
      <c r="I1650" s="2" t="n">
        <v>46322.65972222222</v>
      </c>
      <c r="J1650" t="inlineStr">
        <is>
          <t>Completed</t>
        </is>
      </c>
      <c r="K1650" t="n">
        <v>4.19</v>
      </c>
      <c r="L1650" t="n">
        <v>12</v>
      </c>
      <c r="M1650" t="b">
        <v>0</v>
      </c>
      <c r="N1650" t="n">
        <v>0</v>
      </c>
      <c r="O1650" t="b">
        <v>1</v>
      </c>
      <c r="P1650" t="b">
        <v>0</v>
      </c>
      <c r="Q1650" t="b">
        <v>1</v>
      </c>
    </row>
    <row r="1651">
      <c r="A1651" t="inlineStr">
        <is>
          <t>REQ01650</t>
        </is>
      </c>
      <c r="B1651" t="inlineStr">
        <is>
          <t>984500B14AB73DV36115</t>
        </is>
      </c>
      <c r="C1651" t="inlineStr">
        <is>
          <t>document_refresh</t>
        </is>
      </c>
      <c r="D1651" s="2" t="n">
        <v>46322.4875</v>
      </c>
      <c r="E1651" s="2" t="n">
        <v>46323.6125</v>
      </c>
      <c r="F1651" t="inlineStr">
        <is>
          <t>M4</t>
        </is>
      </c>
      <c r="G1651" t="inlineStr">
        <is>
          <t>C2</t>
        </is>
      </c>
      <c r="H1651" s="2" t="n">
        <v>46322.50138888889</v>
      </c>
      <c r="I1651" s="2" t="n">
        <v>46322.50625</v>
      </c>
      <c r="J1651" t="inlineStr">
        <is>
          <t>Completed</t>
        </is>
      </c>
      <c r="K1651" t="n">
        <v>0.44</v>
      </c>
      <c r="L1651" t="n">
        <v>12</v>
      </c>
      <c r="M1651" t="b">
        <v>0</v>
      </c>
      <c r="N1651" t="n">
        <v>0</v>
      </c>
      <c r="O1651" t="b">
        <v>1</v>
      </c>
      <c r="P1651" t="b">
        <v>0</v>
      </c>
      <c r="Q1651" t="b">
        <v>0</v>
      </c>
    </row>
    <row r="1652">
      <c r="A1652" t="inlineStr">
        <is>
          <t>REQ01651</t>
        </is>
      </c>
      <c r="B1652" t="inlineStr">
        <is>
          <t>984500E1C5EB7508FB72</t>
        </is>
      </c>
      <c r="C1652" t="inlineStr">
        <is>
          <t>document_refresh</t>
        </is>
      </c>
      <c r="D1652" s="2" t="n">
        <v>46322.49722222222</v>
      </c>
      <c r="E1652" s="2" t="n">
        <v>46323.62222222222</v>
      </c>
      <c r="F1652" t="inlineStr">
        <is>
          <t>M3</t>
        </is>
      </c>
      <c r="G1652" t="inlineStr">
        <is>
          <t>C2</t>
        </is>
      </c>
      <c r="H1652" s="2" t="n">
        <v>46322.51458333333</v>
      </c>
      <c r="I1652" s="2" t="n">
        <v>46322.51944444444</v>
      </c>
      <c r="J1652" t="inlineStr">
        <is>
          <t>Completed</t>
        </is>
      </c>
      <c r="K1652" t="n">
        <v>0.54</v>
      </c>
      <c r="L1652" t="n">
        <v>12</v>
      </c>
      <c r="M1652" t="b">
        <v>0</v>
      </c>
      <c r="N1652" t="n">
        <v>0</v>
      </c>
      <c r="O1652" t="b">
        <v>1</v>
      </c>
      <c r="P1652" t="b">
        <v>0</v>
      </c>
      <c r="Q1652" t="b">
        <v>0</v>
      </c>
    </row>
    <row r="1653">
      <c r="A1653" t="inlineStr">
        <is>
          <t>REQ01652</t>
        </is>
      </c>
      <c r="B1653" t="inlineStr">
        <is>
          <t>2138002E5AZ3MBMYHL39</t>
        </is>
      </c>
      <c r="C1653" t="inlineStr">
        <is>
          <t>new_account</t>
        </is>
      </c>
      <c r="D1653" s="2" t="n">
        <v>46322.49722222222</v>
      </c>
      <c r="E1653" s="2" t="n">
        <v>46324.41388888889</v>
      </c>
      <c r="F1653" t="inlineStr">
        <is>
          <t>M1</t>
        </is>
      </c>
      <c r="G1653" t="inlineStr">
        <is>
          <t>C1</t>
        </is>
      </c>
      <c r="H1653" s="2" t="n">
        <v>46322.53611111111</v>
      </c>
      <c r="I1653" s="2" t="n">
        <v>46322.65833333333</v>
      </c>
      <c r="J1653" t="inlineStr">
        <is>
          <t>Completed</t>
        </is>
      </c>
      <c r="K1653" t="n">
        <v>3.87</v>
      </c>
      <c r="L1653" t="n">
        <v>16</v>
      </c>
      <c r="M1653" t="b">
        <v>0</v>
      </c>
      <c r="N1653" t="n">
        <v>0</v>
      </c>
      <c r="O1653" t="b">
        <v>1</v>
      </c>
      <c r="P1653" t="b">
        <v>0</v>
      </c>
      <c r="Q1653" t="b">
        <v>1</v>
      </c>
    </row>
    <row r="1654">
      <c r="A1654" t="inlineStr">
        <is>
          <t>REQ01653</t>
        </is>
      </c>
      <c r="B1654" t="inlineStr">
        <is>
          <t>391200OQWIHPYIGUEC92</t>
        </is>
      </c>
      <c r="C1654" t="inlineStr">
        <is>
          <t>data_amendment</t>
        </is>
      </c>
      <c r="D1654" s="2" t="n">
        <v>46322.49861111111</v>
      </c>
      <c r="E1654" s="2" t="n">
        <v>46323.45694444444</v>
      </c>
      <c r="F1654" t="inlineStr">
        <is>
          <t>M5</t>
        </is>
      </c>
      <c r="G1654" t="inlineStr">
        <is>
          <t>C2</t>
        </is>
      </c>
      <c r="H1654" s="2" t="n">
        <v>46322.50694444445</v>
      </c>
      <c r="I1654" s="2" t="n">
        <v>46322.51041666666</v>
      </c>
      <c r="J1654" t="inlineStr">
        <is>
          <t>Completed</t>
        </is>
      </c>
      <c r="K1654" t="n">
        <v>0.29</v>
      </c>
      <c r="L1654" t="n">
        <v>8</v>
      </c>
      <c r="M1654" t="b">
        <v>0</v>
      </c>
      <c r="N1654" t="n">
        <v>0</v>
      </c>
      <c r="O1654" t="b">
        <v>1</v>
      </c>
      <c r="P1654" t="b">
        <v>0</v>
      </c>
      <c r="Q1654" t="b">
        <v>0</v>
      </c>
    </row>
    <row r="1655">
      <c r="A1655" t="inlineStr">
        <is>
          <t>REQ01654</t>
        </is>
      </c>
      <c r="B1655" t="inlineStr">
        <is>
          <t>9845007BFCF368F96D71</t>
        </is>
      </c>
      <c r="C1655" t="inlineStr">
        <is>
          <t>new_account</t>
        </is>
      </c>
      <c r="D1655" s="2" t="n">
        <v>46322.50347222222</v>
      </c>
      <c r="E1655" s="2" t="n">
        <v>46324.42013888889</v>
      </c>
      <c r="F1655" t="inlineStr">
        <is>
          <t>M6</t>
        </is>
      </c>
      <c r="G1655" t="inlineStr">
        <is>
          <t>C3</t>
        </is>
      </c>
      <c r="H1655" s="2" t="n">
        <v>46322.54097222222</v>
      </c>
      <c r="I1655" s="2" t="n">
        <v>46322.55138888889</v>
      </c>
      <c r="J1655" t="inlineStr">
        <is>
          <t>Completed</t>
        </is>
      </c>
      <c r="K1655" t="n">
        <v>1.15</v>
      </c>
      <c r="L1655" t="n">
        <v>16</v>
      </c>
      <c r="M1655" t="b">
        <v>0</v>
      </c>
      <c r="N1655" t="n">
        <v>0</v>
      </c>
      <c r="O1655" t="b">
        <v>1</v>
      </c>
      <c r="P1655" t="b">
        <v>0</v>
      </c>
      <c r="Q1655" t="b">
        <v>0</v>
      </c>
    </row>
    <row r="1656">
      <c r="A1656" t="inlineStr">
        <is>
          <t>REQ01655</t>
        </is>
      </c>
      <c r="B1656" t="inlineStr">
        <is>
          <t>213800RKF1ND8RSGRA46</t>
        </is>
      </c>
      <c r="C1656" t="inlineStr">
        <is>
          <t>document_refresh</t>
        </is>
      </c>
      <c r="D1656" s="2" t="n">
        <v>46322.50694444445</v>
      </c>
      <c r="E1656" s="2" t="n">
        <v>46323.63194444445</v>
      </c>
      <c r="F1656" t="inlineStr">
        <is>
          <t>M2</t>
        </is>
      </c>
      <c r="G1656" t="inlineStr">
        <is>
          <t>C1</t>
        </is>
      </c>
      <c r="H1656" s="2" t="n">
        <v>46322.51944444444</v>
      </c>
      <c r="I1656" s="2" t="n">
        <v>46322.52361111111</v>
      </c>
      <c r="J1656" t="inlineStr">
        <is>
          <t>Completed</t>
        </is>
      </c>
      <c r="K1656" t="n">
        <v>0.4</v>
      </c>
      <c r="L1656" t="n">
        <v>12</v>
      </c>
      <c r="M1656" t="b">
        <v>0</v>
      </c>
      <c r="N1656" t="n">
        <v>0</v>
      </c>
      <c r="O1656" t="b">
        <v>1</v>
      </c>
      <c r="P1656" t="b">
        <v>0</v>
      </c>
      <c r="Q1656" t="b">
        <v>0</v>
      </c>
    </row>
    <row r="1657">
      <c r="A1657" t="inlineStr">
        <is>
          <t>REQ01656</t>
        </is>
      </c>
      <c r="B1657" t="inlineStr">
        <is>
          <t>969500AYBU9PTTHUEC42</t>
        </is>
      </c>
      <c r="C1657" t="inlineStr">
        <is>
          <t>document_refresh</t>
        </is>
      </c>
      <c r="D1657" s="2" t="n">
        <v>46322.51527777778</v>
      </c>
      <c r="E1657" s="2" t="n">
        <v>46323.64027777778</v>
      </c>
      <c r="F1657" t="inlineStr">
        <is>
          <t>M4</t>
        </is>
      </c>
      <c r="G1657" t="inlineStr">
        <is>
          <t>C2</t>
        </is>
      </c>
      <c r="H1657" s="2" t="n">
        <v>46322.52847222222</v>
      </c>
      <c r="I1657" s="2" t="n">
        <v>46322.53263888889</v>
      </c>
      <c r="J1657" t="inlineStr">
        <is>
          <t>Completed</t>
        </is>
      </c>
      <c r="K1657" t="n">
        <v>0.42</v>
      </c>
      <c r="L1657" t="n">
        <v>12</v>
      </c>
      <c r="M1657" t="b">
        <v>0</v>
      </c>
      <c r="N1657" t="n">
        <v>0</v>
      </c>
      <c r="O1657" t="b">
        <v>1</v>
      </c>
      <c r="P1657" t="b">
        <v>0</v>
      </c>
      <c r="Q1657" t="b">
        <v>0</v>
      </c>
    </row>
    <row r="1658">
      <c r="A1658" t="inlineStr">
        <is>
          <t>REQ01657</t>
        </is>
      </c>
      <c r="B1658" t="inlineStr">
        <is>
          <t>98450011443NYBD97540</t>
        </is>
      </c>
      <c r="C1658" t="inlineStr">
        <is>
          <t>document_refresh</t>
        </is>
      </c>
      <c r="D1658" s="2" t="n">
        <v>46322.51805555556</v>
      </c>
      <c r="E1658" s="2" t="n">
        <v>46323.64305555556</v>
      </c>
      <c r="F1658" t="inlineStr">
        <is>
          <t>M5</t>
        </is>
      </c>
      <c r="G1658" t="inlineStr">
        <is>
          <t>C1</t>
        </is>
      </c>
      <c r="H1658" s="2" t="n">
        <v>46322.53402777778</v>
      </c>
      <c r="I1658" s="2" t="n">
        <v>46322.68402777778</v>
      </c>
      <c r="J1658" t="inlineStr">
        <is>
          <t>Completed</t>
        </is>
      </c>
      <c r="K1658" t="n">
        <v>3.99</v>
      </c>
      <c r="L1658" t="n">
        <v>12</v>
      </c>
      <c r="M1658" t="b">
        <v>0</v>
      </c>
      <c r="N1658" t="n">
        <v>0</v>
      </c>
      <c r="O1658" t="b">
        <v>1</v>
      </c>
      <c r="P1658" t="b">
        <v>0</v>
      </c>
      <c r="Q1658" t="b">
        <v>1</v>
      </c>
    </row>
    <row r="1659">
      <c r="A1659" t="inlineStr">
        <is>
          <t>REQ01658</t>
        </is>
      </c>
      <c r="B1659" t="inlineStr">
        <is>
          <t>3358004ZT92FFFITMI10</t>
        </is>
      </c>
      <c r="C1659" t="inlineStr">
        <is>
          <t>new_account</t>
        </is>
      </c>
      <c r="D1659" s="2" t="n">
        <v>46322.52222222222</v>
      </c>
      <c r="E1659" s="2" t="n">
        <v>46324.43888888889</v>
      </c>
      <c r="F1659" t="inlineStr">
        <is>
          <t>M3</t>
        </is>
      </c>
      <c r="G1659" t="inlineStr">
        <is>
          <t>C2</t>
        </is>
      </c>
      <c r="H1659" s="2" t="n">
        <v>46322.55902777778</v>
      </c>
      <c r="I1659" s="2" t="n">
        <v>46323.39166666667</v>
      </c>
      <c r="J1659" t="inlineStr">
        <is>
          <t>Completed</t>
        </is>
      </c>
      <c r="K1659" t="n">
        <v>5.86</v>
      </c>
      <c r="L1659" t="n">
        <v>16</v>
      </c>
      <c r="M1659" t="b">
        <v>0</v>
      </c>
      <c r="N1659" t="n">
        <v>0</v>
      </c>
      <c r="O1659" t="b">
        <v>1</v>
      </c>
      <c r="P1659" t="b">
        <v>0</v>
      </c>
      <c r="Q1659" t="b">
        <v>1</v>
      </c>
    </row>
    <row r="1660">
      <c r="A1660" t="inlineStr">
        <is>
          <t>REQ01659</t>
        </is>
      </c>
      <c r="B1660" t="inlineStr">
        <is>
          <t>529900V6PABMWON9QX53</t>
        </is>
      </c>
      <c r="C1660" t="inlineStr">
        <is>
          <t>document_refresh</t>
        </is>
      </c>
      <c r="D1660" s="2" t="n">
        <v>46322.52291666667</v>
      </c>
      <c r="E1660" s="2" t="n">
        <v>46323.64791666667</v>
      </c>
      <c r="F1660" t="inlineStr">
        <is>
          <t>M2</t>
        </is>
      </c>
      <c r="G1660" t="inlineStr">
        <is>
          <t>C3</t>
        </is>
      </c>
      <c r="H1660" s="2" t="n">
        <v>46322.53402777778</v>
      </c>
      <c r="I1660" s="2" t="n">
        <v>46322.54027777778</v>
      </c>
      <c r="J1660" t="inlineStr">
        <is>
          <t>Completed</t>
        </is>
      </c>
      <c r="K1660" t="n">
        <v>0.42</v>
      </c>
      <c r="L1660" t="n">
        <v>12</v>
      </c>
      <c r="M1660" t="b">
        <v>0</v>
      </c>
      <c r="N1660" t="n">
        <v>0</v>
      </c>
      <c r="O1660" t="b">
        <v>1</v>
      </c>
      <c r="P1660" t="b">
        <v>0</v>
      </c>
      <c r="Q1660" t="b">
        <v>0</v>
      </c>
    </row>
    <row r="1661">
      <c r="A1661" t="inlineStr">
        <is>
          <t>REQ01660</t>
        </is>
      </c>
      <c r="B1661" t="inlineStr">
        <is>
          <t>335800WGVZYEL05D3I90</t>
        </is>
      </c>
      <c r="C1661" t="inlineStr">
        <is>
          <t>document_refresh</t>
        </is>
      </c>
      <c r="D1661" s="2" t="n">
        <v>46322.52291666667</v>
      </c>
      <c r="E1661" s="2" t="n">
        <v>46323.64791666667</v>
      </c>
      <c r="F1661" t="inlineStr">
        <is>
          <t>M4</t>
        </is>
      </c>
      <c r="G1661" t="inlineStr">
        <is>
          <t>C1</t>
        </is>
      </c>
      <c r="H1661" s="2" t="n">
        <v>46322.53888888889</v>
      </c>
      <c r="I1661" s="2" t="n">
        <v>46322.54305555556</v>
      </c>
      <c r="J1661" t="inlineStr">
        <is>
          <t>Completed</t>
        </is>
      </c>
      <c r="K1661" t="n">
        <v>0.49</v>
      </c>
      <c r="L1661" t="n">
        <v>12</v>
      </c>
      <c r="M1661" t="b">
        <v>0</v>
      </c>
      <c r="N1661" t="n">
        <v>0</v>
      </c>
      <c r="O1661" t="b">
        <v>1</v>
      </c>
      <c r="P1661" t="b">
        <v>0</v>
      </c>
      <c r="Q1661" t="b">
        <v>0</v>
      </c>
    </row>
    <row r="1662">
      <c r="A1662" t="inlineStr">
        <is>
          <t>REQ01661</t>
        </is>
      </c>
      <c r="B1662" t="inlineStr">
        <is>
          <t>549300E44HPFLH7PM717</t>
        </is>
      </c>
      <c r="C1662" t="inlineStr">
        <is>
          <t>document_refresh</t>
        </is>
      </c>
      <c r="D1662" s="2" t="n">
        <v>46322.52361111111</v>
      </c>
      <c r="E1662" s="2" t="n">
        <v>46323.64861111111</v>
      </c>
      <c r="F1662" t="inlineStr">
        <is>
          <t>M2</t>
        </is>
      </c>
      <c r="G1662" t="inlineStr">
        <is>
          <t>C3</t>
        </is>
      </c>
      <c r="H1662" s="2" t="n">
        <v>46322.55069444444</v>
      </c>
      <c r="I1662" s="2" t="n">
        <v>46322.67222222222</v>
      </c>
      <c r="J1662" t="inlineStr">
        <is>
          <t>Completed</t>
        </is>
      </c>
      <c r="K1662" t="n">
        <v>3.57</v>
      </c>
      <c r="L1662" t="n">
        <v>12</v>
      </c>
      <c r="M1662" t="b">
        <v>0</v>
      </c>
      <c r="N1662" t="n">
        <v>0</v>
      </c>
      <c r="O1662" t="b">
        <v>1</v>
      </c>
      <c r="P1662" t="b">
        <v>0</v>
      </c>
      <c r="Q1662" t="b">
        <v>1</v>
      </c>
    </row>
    <row r="1663">
      <c r="A1663" t="inlineStr">
        <is>
          <t>REQ01662</t>
        </is>
      </c>
      <c r="B1663" t="inlineStr">
        <is>
          <t>64885PHU8NE4D275Z741</t>
        </is>
      </c>
      <c r="C1663" t="inlineStr">
        <is>
          <t>signatory_change</t>
        </is>
      </c>
      <c r="D1663" s="2" t="n">
        <v>46322.5375</v>
      </c>
      <c r="E1663" s="2" t="n">
        <v>46323.49583333333</v>
      </c>
      <c r="F1663" t="inlineStr">
        <is>
          <t>M5</t>
        </is>
      </c>
      <c r="G1663" t="inlineStr">
        <is>
          <t>C2</t>
        </is>
      </c>
      <c r="H1663" s="2" t="n">
        <v>46322.56458333333</v>
      </c>
      <c r="I1663" s="2" t="n">
        <v>46322.73819444444</v>
      </c>
      <c r="J1663" t="inlineStr">
        <is>
          <t>Completed</t>
        </is>
      </c>
      <c r="K1663" t="n">
        <v>4.82</v>
      </c>
      <c r="L1663" t="n">
        <v>8</v>
      </c>
      <c r="M1663" t="b">
        <v>0</v>
      </c>
      <c r="N1663" t="n">
        <v>1</v>
      </c>
      <c r="O1663" t="b">
        <v>0</v>
      </c>
      <c r="P1663" t="b">
        <v>1</v>
      </c>
      <c r="Q1663" t="b">
        <v>1</v>
      </c>
    </row>
    <row r="1664">
      <c r="A1664" t="inlineStr">
        <is>
          <t>REQ01663</t>
        </is>
      </c>
      <c r="B1664" t="inlineStr">
        <is>
          <t>529900XNQCZBV2VE2B21</t>
        </is>
      </c>
      <c r="C1664" t="inlineStr">
        <is>
          <t>data_amendment</t>
        </is>
      </c>
      <c r="D1664" s="2" t="n">
        <v>46322.53958333333</v>
      </c>
      <c r="E1664" s="2" t="n">
        <v>46323.49791666667</v>
      </c>
      <c r="F1664" t="inlineStr">
        <is>
          <t>M1</t>
        </is>
      </c>
      <c r="G1664" t="inlineStr">
        <is>
          <t>C3</t>
        </is>
      </c>
      <c r="H1664" s="2" t="n">
        <v>46322.55138888889</v>
      </c>
      <c r="I1664" s="2" t="n">
        <v>46322.55625</v>
      </c>
      <c r="J1664" t="inlineStr">
        <is>
          <t>Completed</t>
        </is>
      </c>
      <c r="K1664" t="n">
        <v>0.39</v>
      </c>
      <c r="L1664" t="n">
        <v>8</v>
      </c>
      <c r="M1664" t="b">
        <v>0</v>
      </c>
      <c r="N1664" t="n">
        <v>0</v>
      </c>
      <c r="O1664" t="b">
        <v>1</v>
      </c>
      <c r="P1664" t="b">
        <v>0</v>
      </c>
      <c r="Q1664" t="b">
        <v>0</v>
      </c>
    </row>
    <row r="1665">
      <c r="A1665" t="inlineStr">
        <is>
          <t>REQ01664</t>
        </is>
      </c>
      <c r="B1665" t="inlineStr">
        <is>
          <t>549300R6YVBGK54C3Y45</t>
        </is>
      </c>
      <c r="C1665" t="inlineStr">
        <is>
          <t>signatory_change</t>
        </is>
      </c>
      <c r="D1665" s="2" t="n">
        <v>46322.54305555556</v>
      </c>
      <c r="E1665" s="2" t="n">
        <v>46323.50138888889</v>
      </c>
      <c r="F1665" t="inlineStr">
        <is>
          <t>M4</t>
        </is>
      </c>
      <c r="G1665" t="inlineStr">
        <is>
          <t>C3</t>
        </is>
      </c>
      <c r="H1665" s="2" t="n">
        <v>46322.56111111111</v>
      </c>
      <c r="I1665" s="2" t="n">
        <v>46322.68819444445</v>
      </c>
      <c r="J1665" t="inlineStr">
        <is>
          <t>Completed</t>
        </is>
      </c>
      <c r="K1665" t="n">
        <v>3.48</v>
      </c>
      <c r="L1665" t="n">
        <v>8</v>
      </c>
      <c r="M1665" t="b">
        <v>0</v>
      </c>
      <c r="N1665" t="n">
        <v>0</v>
      </c>
      <c r="O1665" t="b">
        <v>1</v>
      </c>
      <c r="P1665" t="b">
        <v>0</v>
      </c>
      <c r="Q1665" t="b">
        <v>1</v>
      </c>
    </row>
    <row r="1666">
      <c r="A1666" t="inlineStr">
        <is>
          <t>REQ01665</t>
        </is>
      </c>
      <c r="B1666" t="inlineStr">
        <is>
          <t>5299009W1H6MJ43E6285</t>
        </is>
      </c>
      <c r="C1666" t="inlineStr">
        <is>
          <t>document_refresh</t>
        </is>
      </c>
      <c r="D1666" s="2" t="n">
        <v>46322.55277777778</v>
      </c>
      <c r="E1666" s="2" t="n">
        <v>46323.67777777778</v>
      </c>
      <c r="F1666" t="inlineStr">
        <is>
          <t>M6</t>
        </is>
      </c>
      <c r="G1666" t="inlineStr">
        <is>
          <t>C1</t>
        </is>
      </c>
      <c r="H1666" s="2" t="n">
        <v>46322.56666666667</v>
      </c>
      <c r="I1666" s="2" t="n">
        <v>46322.57083333333</v>
      </c>
      <c r="J1666" t="inlineStr">
        <is>
          <t>Completed</t>
        </is>
      </c>
      <c r="K1666" t="n">
        <v>0.44</v>
      </c>
      <c r="L1666" t="n">
        <v>12</v>
      </c>
      <c r="M1666" t="b">
        <v>0</v>
      </c>
      <c r="N1666" t="n">
        <v>0</v>
      </c>
      <c r="O1666" t="b">
        <v>1</v>
      </c>
      <c r="P1666" t="b">
        <v>0</v>
      </c>
      <c r="Q1666" t="b">
        <v>0</v>
      </c>
    </row>
    <row r="1667">
      <c r="A1667" t="inlineStr">
        <is>
          <t>REQ01666</t>
        </is>
      </c>
      <c r="B1667" t="inlineStr">
        <is>
          <t>335800J2QGSQBGOQJ492</t>
        </is>
      </c>
      <c r="C1667" t="inlineStr">
        <is>
          <t>document_refresh</t>
        </is>
      </c>
      <c r="D1667" s="2" t="n">
        <v>46322.55277777778</v>
      </c>
      <c r="E1667" s="2" t="n">
        <v>46323.67777777778</v>
      </c>
      <c r="F1667" t="inlineStr">
        <is>
          <t>M2</t>
        </is>
      </c>
      <c r="G1667" t="inlineStr">
        <is>
          <t>C2</t>
        </is>
      </c>
      <c r="H1667" s="2" t="n">
        <v>46322.56805555556</v>
      </c>
      <c r="I1667" s="2" t="n">
        <v>46322.58680555555</v>
      </c>
      <c r="J1667" t="inlineStr">
        <is>
          <t>Completed</t>
        </is>
      </c>
      <c r="K1667" t="n">
        <v>0.8100000000000001</v>
      </c>
      <c r="L1667" t="n">
        <v>12</v>
      </c>
      <c r="M1667" t="b">
        <v>0</v>
      </c>
      <c r="N1667" t="n">
        <v>1</v>
      </c>
      <c r="O1667" t="b">
        <v>0</v>
      </c>
      <c r="P1667" t="b">
        <v>1</v>
      </c>
      <c r="Q1667" t="b">
        <v>0</v>
      </c>
    </row>
    <row r="1668">
      <c r="A1668" t="inlineStr">
        <is>
          <t>REQ01667</t>
        </is>
      </c>
      <c r="B1668" t="inlineStr">
        <is>
          <t>5299002VW065JJPCYQ72</t>
        </is>
      </c>
      <c r="C1668" t="inlineStr">
        <is>
          <t>document_refresh</t>
        </is>
      </c>
      <c r="D1668" s="2" t="n">
        <v>46322.55347222222</v>
      </c>
      <c r="E1668" s="2" t="n">
        <v>46323.67847222222</v>
      </c>
      <c r="F1668" t="inlineStr">
        <is>
          <t>M1</t>
        </is>
      </c>
      <c r="G1668" t="inlineStr">
        <is>
          <t>C3</t>
        </is>
      </c>
      <c r="H1668" s="2" t="n">
        <v>46322.56597222222</v>
      </c>
      <c r="I1668" s="2" t="n">
        <v>46323.40763888889</v>
      </c>
      <c r="J1668" t="inlineStr">
        <is>
          <t>Completed</t>
        </is>
      </c>
      <c r="K1668" t="n">
        <v>5.5</v>
      </c>
      <c r="L1668" t="n">
        <v>12</v>
      </c>
      <c r="M1668" t="b">
        <v>0</v>
      </c>
      <c r="N1668" t="n">
        <v>0</v>
      </c>
      <c r="O1668" t="b">
        <v>1</v>
      </c>
      <c r="P1668" t="b">
        <v>0</v>
      </c>
      <c r="Q1668" t="b">
        <v>1</v>
      </c>
    </row>
    <row r="1669">
      <c r="A1669" t="inlineStr">
        <is>
          <t>REQ01668</t>
        </is>
      </c>
      <c r="B1669" t="inlineStr">
        <is>
          <t>984500E0E961A441E336</t>
        </is>
      </c>
      <c r="C1669" t="inlineStr">
        <is>
          <t>signatory_change</t>
        </is>
      </c>
      <c r="D1669" s="2" t="n">
        <v>46322.55763888889</v>
      </c>
      <c r="E1669" s="2" t="n">
        <v>46323.51597222222</v>
      </c>
      <c r="F1669" t="inlineStr">
        <is>
          <t>M3</t>
        </is>
      </c>
      <c r="G1669" t="inlineStr">
        <is>
          <t>C1</t>
        </is>
      </c>
      <c r="H1669" s="2" t="n">
        <v>46322.57847222222</v>
      </c>
      <c r="I1669" s="2" t="n">
        <v>46322.58680555555</v>
      </c>
      <c r="J1669" t="inlineStr">
        <is>
          <t>Completed</t>
        </is>
      </c>
      <c r="K1669" t="n">
        <v>0.71</v>
      </c>
      <c r="L1669" t="n">
        <v>8</v>
      </c>
      <c r="M1669" t="b">
        <v>0</v>
      </c>
      <c r="N1669" t="n">
        <v>0</v>
      </c>
      <c r="O1669" t="b">
        <v>1</v>
      </c>
      <c r="P1669" t="b">
        <v>0</v>
      </c>
      <c r="Q1669" t="b">
        <v>0</v>
      </c>
    </row>
    <row r="1670">
      <c r="A1670" t="inlineStr">
        <is>
          <t>REQ01669</t>
        </is>
      </c>
      <c r="B1670" t="inlineStr">
        <is>
          <t>335800C18H6AB47VJW69</t>
        </is>
      </c>
      <c r="C1670" t="inlineStr">
        <is>
          <t>document_refresh</t>
        </is>
      </c>
      <c r="D1670" s="2" t="n">
        <v>46322.55763888889</v>
      </c>
      <c r="E1670" s="2" t="n">
        <v>46323.68263888889</v>
      </c>
      <c r="F1670" t="inlineStr">
        <is>
          <t>M4</t>
        </is>
      </c>
      <c r="G1670" t="inlineStr">
        <is>
          <t>C3</t>
        </is>
      </c>
      <c r="H1670" s="2" t="n">
        <v>46322.57291666666</v>
      </c>
      <c r="I1670" s="2" t="n">
        <v>46322.57986111111</v>
      </c>
      <c r="J1670" t="inlineStr">
        <is>
          <t>Completed</t>
        </is>
      </c>
      <c r="K1670" t="n">
        <v>0.53</v>
      </c>
      <c r="L1670" t="n">
        <v>12</v>
      </c>
      <c r="M1670" t="b">
        <v>0</v>
      </c>
      <c r="N1670" t="n">
        <v>0</v>
      </c>
      <c r="O1670" t="b">
        <v>1</v>
      </c>
      <c r="P1670" t="b">
        <v>0</v>
      </c>
      <c r="Q1670" t="b">
        <v>0</v>
      </c>
    </row>
    <row r="1671">
      <c r="A1671" t="inlineStr">
        <is>
          <t>REQ01670</t>
        </is>
      </c>
      <c r="B1671" t="inlineStr">
        <is>
          <t>894500XC80X92NNXXQ45</t>
        </is>
      </c>
      <c r="C1671" t="inlineStr">
        <is>
          <t>document_refresh</t>
        </is>
      </c>
      <c r="D1671" s="2" t="n">
        <v>46322.57083333333</v>
      </c>
      <c r="E1671" s="2" t="n">
        <v>46323.69583333333</v>
      </c>
      <c r="F1671" t="inlineStr">
        <is>
          <t>M5</t>
        </is>
      </c>
      <c r="G1671" t="inlineStr">
        <is>
          <t>C1</t>
        </is>
      </c>
      <c r="H1671" s="2" t="n">
        <v>46322.58611111111</v>
      </c>
      <c r="I1671" s="2" t="n">
        <v>46322.59097222222</v>
      </c>
      <c r="J1671" t="inlineStr">
        <is>
          <t>Completed</t>
        </is>
      </c>
      <c r="K1671" t="n">
        <v>0.49</v>
      </c>
      <c r="L1671" t="n">
        <v>12</v>
      </c>
      <c r="M1671" t="b">
        <v>0</v>
      </c>
      <c r="N1671" t="n">
        <v>0</v>
      </c>
      <c r="O1671" t="b">
        <v>1</v>
      </c>
      <c r="P1671" t="b">
        <v>0</v>
      </c>
      <c r="Q1671" t="b">
        <v>0</v>
      </c>
    </row>
    <row r="1672">
      <c r="A1672" t="inlineStr">
        <is>
          <t>REQ01671</t>
        </is>
      </c>
      <c r="B1672" t="inlineStr">
        <is>
          <t>6488ZFUK99JZ78472N12</t>
        </is>
      </c>
      <c r="C1672" t="inlineStr">
        <is>
          <t>document_refresh</t>
        </is>
      </c>
      <c r="D1672" s="2" t="n">
        <v>46322.57777777778</v>
      </c>
      <c r="E1672" s="2" t="n">
        <v>46323.70277777778</v>
      </c>
      <c r="F1672" t="inlineStr">
        <is>
          <t>M1</t>
        </is>
      </c>
      <c r="G1672" t="inlineStr">
        <is>
          <t>C2</t>
        </is>
      </c>
      <c r="H1672" s="2" t="n">
        <v>46322.58958333333</v>
      </c>
      <c r="I1672" s="2" t="n">
        <v>46322.59722222222</v>
      </c>
      <c r="J1672" t="inlineStr">
        <is>
          <t>Completed</t>
        </is>
      </c>
      <c r="K1672" t="n">
        <v>0.46</v>
      </c>
      <c r="L1672" t="n">
        <v>12</v>
      </c>
      <c r="M1672" t="b">
        <v>0</v>
      </c>
      <c r="N1672" t="n">
        <v>0</v>
      </c>
      <c r="O1672" t="b">
        <v>1</v>
      </c>
      <c r="P1672" t="b">
        <v>0</v>
      </c>
      <c r="Q1672" t="b">
        <v>0</v>
      </c>
    </row>
    <row r="1673">
      <c r="A1673" t="inlineStr">
        <is>
          <t>REQ01672</t>
        </is>
      </c>
      <c r="B1673" t="inlineStr">
        <is>
          <t>9845002D695T090LW997</t>
        </is>
      </c>
      <c r="C1673" t="inlineStr">
        <is>
          <t>signatory_change</t>
        </is>
      </c>
      <c r="D1673" s="2" t="n">
        <v>46322.58611111111</v>
      </c>
      <c r="E1673" s="2" t="n">
        <v>46323.54444444444</v>
      </c>
      <c r="F1673" t="inlineStr">
        <is>
          <t>M6</t>
        </is>
      </c>
      <c r="G1673" t="inlineStr">
        <is>
          <t>C1</t>
        </is>
      </c>
      <c r="H1673" s="2" t="n">
        <v>46322.60694444444</v>
      </c>
      <c r="I1673" s="2" t="n">
        <v>46322.61388888889</v>
      </c>
      <c r="J1673" t="inlineStr">
        <is>
          <t>Completed</t>
        </is>
      </c>
      <c r="K1673" t="n">
        <v>0.66</v>
      </c>
      <c r="L1673" t="n">
        <v>8</v>
      </c>
      <c r="M1673" t="b">
        <v>0</v>
      </c>
      <c r="N1673" t="n">
        <v>0</v>
      </c>
      <c r="O1673" t="b">
        <v>1</v>
      </c>
      <c r="P1673" t="b">
        <v>0</v>
      </c>
      <c r="Q1673" t="b">
        <v>0</v>
      </c>
    </row>
    <row r="1674">
      <c r="A1674" t="inlineStr">
        <is>
          <t>REQ01673</t>
        </is>
      </c>
      <c r="B1674" t="inlineStr">
        <is>
          <t>549300RBSFSK50GK6J18</t>
        </is>
      </c>
      <c r="C1674" t="inlineStr">
        <is>
          <t>document_refresh</t>
        </is>
      </c>
      <c r="D1674" s="2" t="n">
        <v>46322.5875</v>
      </c>
      <c r="E1674" s="2" t="n">
        <v>46323.7125</v>
      </c>
      <c r="F1674" t="inlineStr">
        <is>
          <t>M2</t>
        </is>
      </c>
      <c r="G1674" t="inlineStr">
        <is>
          <t>C2</t>
        </is>
      </c>
      <c r="H1674" s="2" t="n">
        <v>46322.60069444445</v>
      </c>
      <c r="I1674" s="2" t="n">
        <v>46323.41805555556</v>
      </c>
      <c r="J1674" t="inlineStr">
        <is>
          <t>Completed</t>
        </is>
      </c>
      <c r="K1674" t="n">
        <v>4.93</v>
      </c>
      <c r="L1674" t="n">
        <v>12</v>
      </c>
      <c r="M1674" t="b">
        <v>0</v>
      </c>
      <c r="N1674" t="n">
        <v>0</v>
      </c>
      <c r="O1674" t="b">
        <v>1</v>
      </c>
      <c r="P1674" t="b">
        <v>0</v>
      </c>
      <c r="Q1674" t="b">
        <v>1</v>
      </c>
    </row>
    <row r="1675">
      <c r="A1675" t="inlineStr">
        <is>
          <t>REQ01674</t>
        </is>
      </c>
      <c r="B1675" t="inlineStr">
        <is>
          <t>254900XHOH6PYOSR2P42</t>
        </is>
      </c>
      <c r="C1675" t="inlineStr">
        <is>
          <t>data_amendment</t>
        </is>
      </c>
      <c r="D1675" s="2" t="n">
        <v>46322.58888888889</v>
      </c>
      <c r="E1675" s="2" t="n">
        <v>46323.54722222222</v>
      </c>
      <c r="F1675" t="inlineStr">
        <is>
          <t>M4</t>
        </is>
      </c>
      <c r="G1675" t="inlineStr">
        <is>
          <t>C1</t>
        </is>
      </c>
      <c r="H1675" s="2" t="n">
        <v>46322.60138888889</v>
      </c>
      <c r="I1675" s="2" t="n">
        <v>46322.73888888889</v>
      </c>
      <c r="J1675" t="inlineStr">
        <is>
          <t>Completed</t>
        </is>
      </c>
      <c r="K1675" t="n">
        <v>3.61</v>
      </c>
      <c r="L1675" t="n">
        <v>8</v>
      </c>
      <c r="M1675" t="b">
        <v>0</v>
      </c>
      <c r="N1675" t="n">
        <v>0</v>
      </c>
      <c r="O1675" t="b">
        <v>1</v>
      </c>
      <c r="P1675" t="b">
        <v>0</v>
      </c>
      <c r="Q1675" t="b">
        <v>1</v>
      </c>
    </row>
    <row r="1676">
      <c r="A1676" t="inlineStr">
        <is>
          <t>REQ01675</t>
        </is>
      </c>
      <c r="B1676" t="inlineStr">
        <is>
          <t>5067001P37OCC6IJS343</t>
        </is>
      </c>
      <c r="C1676" t="inlineStr">
        <is>
          <t>document_refresh</t>
        </is>
      </c>
      <c r="D1676" s="2" t="n">
        <v>46322.59375</v>
      </c>
      <c r="E1676" s="2" t="n">
        <v>46323.71875</v>
      </c>
      <c r="F1676" t="inlineStr">
        <is>
          <t>M3</t>
        </is>
      </c>
      <c r="G1676" t="inlineStr">
        <is>
          <t>C1</t>
        </is>
      </c>
      <c r="H1676" s="2" t="n">
        <v>46322.60694444444</v>
      </c>
      <c r="I1676" s="2" t="n">
        <v>46323.40416666667</v>
      </c>
      <c r="J1676" t="inlineStr">
        <is>
          <t>Completed</t>
        </is>
      </c>
      <c r="K1676" t="n">
        <v>4.44</v>
      </c>
      <c r="L1676" t="n">
        <v>12</v>
      </c>
      <c r="M1676" t="b">
        <v>0</v>
      </c>
      <c r="N1676" t="n">
        <v>0</v>
      </c>
      <c r="O1676" t="b">
        <v>1</v>
      </c>
      <c r="P1676" t="b">
        <v>0</v>
      </c>
      <c r="Q1676" t="b">
        <v>1</v>
      </c>
    </row>
    <row r="1677">
      <c r="A1677" t="inlineStr">
        <is>
          <t>REQ01676</t>
        </is>
      </c>
      <c r="B1677" t="inlineStr">
        <is>
          <t>984500A6HA1F1E23FF32</t>
        </is>
      </c>
      <c r="C1677" t="inlineStr">
        <is>
          <t>document_refresh</t>
        </is>
      </c>
      <c r="D1677" s="2" t="n">
        <v>46322.60069444445</v>
      </c>
      <c r="E1677" s="2" t="n">
        <v>46323.72569444445</v>
      </c>
      <c r="F1677" t="inlineStr">
        <is>
          <t>M5</t>
        </is>
      </c>
      <c r="G1677" t="inlineStr">
        <is>
          <t>C2</t>
        </is>
      </c>
      <c r="H1677" s="2" t="n">
        <v>46322.6125</v>
      </c>
      <c r="I1677" s="2" t="n">
        <v>46322.62569444445</v>
      </c>
      <c r="J1677" t="inlineStr">
        <is>
          <t>Completed</t>
        </is>
      </c>
      <c r="K1677" t="n">
        <v>0.6</v>
      </c>
      <c r="L1677" t="n">
        <v>12</v>
      </c>
      <c r="M1677" t="b">
        <v>0</v>
      </c>
      <c r="N1677" t="n">
        <v>1</v>
      </c>
      <c r="O1677" t="b">
        <v>0</v>
      </c>
      <c r="P1677" t="b">
        <v>1</v>
      </c>
      <c r="Q1677" t="b">
        <v>0</v>
      </c>
    </row>
    <row r="1678">
      <c r="A1678" t="inlineStr">
        <is>
          <t>REQ01677</t>
        </is>
      </c>
      <c r="B1678" t="inlineStr">
        <is>
          <t>6488U84R8Z5I8ZBY0278</t>
        </is>
      </c>
      <c r="C1678" t="inlineStr">
        <is>
          <t>document_refresh</t>
        </is>
      </c>
      <c r="D1678" s="2" t="n">
        <v>46322.60208333333</v>
      </c>
      <c r="E1678" s="2" t="n">
        <v>46323.72708333333</v>
      </c>
      <c r="F1678" t="inlineStr">
        <is>
          <t>M1</t>
        </is>
      </c>
      <c r="G1678" t="inlineStr">
        <is>
          <t>C3</t>
        </is>
      </c>
      <c r="H1678" s="2" t="n">
        <v>46322.61875</v>
      </c>
      <c r="I1678" s="2" t="n">
        <v>46322.62361111111</v>
      </c>
      <c r="J1678" t="inlineStr">
        <is>
          <t>Completed</t>
        </is>
      </c>
      <c r="K1678" t="n">
        <v>0.52</v>
      </c>
      <c r="L1678" t="n">
        <v>12</v>
      </c>
      <c r="M1678" t="b">
        <v>0</v>
      </c>
      <c r="N1678" t="n">
        <v>0</v>
      </c>
      <c r="O1678" t="b">
        <v>1</v>
      </c>
      <c r="P1678" t="b">
        <v>0</v>
      </c>
      <c r="Q1678" t="b">
        <v>0</v>
      </c>
    </row>
    <row r="1679">
      <c r="A1679" t="inlineStr">
        <is>
          <t>REQ01678</t>
        </is>
      </c>
      <c r="B1679" t="inlineStr">
        <is>
          <t>8945001STIIFSFG9YT39</t>
        </is>
      </c>
      <c r="C1679" t="inlineStr">
        <is>
          <t>new_account</t>
        </is>
      </c>
      <c r="D1679" s="2" t="n">
        <v>46322.60277777778</v>
      </c>
      <c r="E1679" s="2" t="n">
        <v>46324.51944444444</v>
      </c>
      <c r="F1679" t="inlineStr">
        <is>
          <t>M2</t>
        </is>
      </c>
      <c r="G1679" t="inlineStr">
        <is>
          <t>C1</t>
        </is>
      </c>
      <c r="H1679" s="2" t="n">
        <v>46322.62569444445</v>
      </c>
      <c r="I1679" s="2" t="n">
        <v>46322.6375</v>
      </c>
      <c r="J1679" t="inlineStr">
        <is>
          <t>Completed</t>
        </is>
      </c>
      <c r="K1679" t="n">
        <v>0.84</v>
      </c>
      <c r="L1679" t="n">
        <v>16</v>
      </c>
      <c r="M1679" t="b">
        <v>0</v>
      </c>
      <c r="N1679" t="n">
        <v>0</v>
      </c>
      <c r="O1679" t="b">
        <v>1</v>
      </c>
      <c r="P1679" t="b">
        <v>0</v>
      </c>
      <c r="Q1679" t="b">
        <v>0</v>
      </c>
    </row>
    <row r="1680">
      <c r="A1680" t="inlineStr">
        <is>
          <t>REQ01679</t>
        </is>
      </c>
      <c r="B1680" t="inlineStr">
        <is>
          <t>9845003761468B6BB203</t>
        </is>
      </c>
      <c r="C1680" t="inlineStr">
        <is>
          <t>new_account</t>
        </is>
      </c>
      <c r="D1680" s="2" t="n">
        <v>46322.60486111111</v>
      </c>
      <c r="E1680" s="2" t="n">
        <v>46324.52152777778</v>
      </c>
      <c r="F1680" t="inlineStr">
        <is>
          <t>M4</t>
        </is>
      </c>
      <c r="G1680" t="inlineStr">
        <is>
          <t>C2</t>
        </is>
      </c>
      <c r="H1680" s="2" t="n">
        <v>46322.64097222222</v>
      </c>
      <c r="I1680" s="2" t="n">
        <v>46322.65625</v>
      </c>
      <c r="J1680" t="inlineStr">
        <is>
          <t>Completed</t>
        </is>
      </c>
      <c r="K1680" t="n">
        <v>1.23</v>
      </c>
      <c r="L1680" t="n">
        <v>16</v>
      </c>
      <c r="M1680" t="b">
        <v>0</v>
      </c>
      <c r="N1680" t="n">
        <v>0</v>
      </c>
      <c r="O1680" t="b">
        <v>1</v>
      </c>
      <c r="P1680" t="b">
        <v>0</v>
      </c>
      <c r="Q1680" t="b">
        <v>0</v>
      </c>
    </row>
    <row r="1681">
      <c r="A1681" t="inlineStr">
        <is>
          <t>REQ01680</t>
        </is>
      </c>
      <c r="B1681" t="inlineStr">
        <is>
          <t>724500KHBM10MIBGJN47</t>
        </is>
      </c>
      <c r="C1681" t="inlineStr">
        <is>
          <t>data_amendment</t>
        </is>
      </c>
      <c r="D1681" s="2" t="n">
        <v>46322.61458333334</v>
      </c>
      <c r="E1681" s="2" t="n">
        <v>46323.57291666666</v>
      </c>
      <c r="F1681" t="inlineStr">
        <is>
          <t>M3</t>
        </is>
      </c>
      <c r="G1681" t="inlineStr">
        <is>
          <t>C2</t>
        </is>
      </c>
      <c r="H1681" s="2" t="n">
        <v>46322.62638888889</v>
      </c>
      <c r="I1681" s="2" t="n">
        <v>46322.63125</v>
      </c>
      <c r="J1681" t="inlineStr">
        <is>
          <t>Completed</t>
        </is>
      </c>
      <c r="K1681" t="n">
        <v>0.4</v>
      </c>
      <c r="L1681" t="n">
        <v>8</v>
      </c>
      <c r="M1681" t="b">
        <v>0</v>
      </c>
      <c r="N1681" t="n">
        <v>0</v>
      </c>
      <c r="O1681" t="b">
        <v>1</v>
      </c>
      <c r="P1681" t="b">
        <v>0</v>
      </c>
      <c r="Q1681" t="b">
        <v>0</v>
      </c>
    </row>
    <row r="1682">
      <c r="A1682" t="inlineStr">
        <is>
          <t>REQ01681</t>
        </is>
      </c>
      <c r="B1682" t="inlineStr">
        <is>
          <t>529900L1FKMKT5U3SD92</t>
        </is>
      </c>
      <c r="C1682" t="inlineStr">
        <is>
          <t>document_refresh</t>
        </is>
      </c>
      <c r="D1682" s="2" t="n">
        <v>46322.62152777778</v>
      </c>
      <c r="E1682" s="2" t="n">
        <v>46323.74652777778</v>
      </c>
      <c r="F1682" t="inlineStr">
        <is>
          <t>M6</t>
        </is>
      </c>
      <c r="G1682" t="inlineStr">
        <is>
          <t>C1</t>
        </is>
      </c>
      <c r="H1682" s="2" t="n">
        <v>46322.63888888889</v>
      </c>
      <c r="I1682" s="2" t="n">
        <v>46322.64513888889</v>
      </c>
      <c r="J1682" t="inlineStr">
        <is>
          <t>Completed</t>
        </is>
      </c>
      <c r="K1682" t="n">
        <v>0.57</v>
      </c>
      <c r="L1682" t="n">
        <v>12</v>
      </c>
      <c r="M1682" t="b">
        <v>0</v>
      </c>
      <c r="N1682" t="n">
        <v>0</v>
      </c>
      <c r="O1682" t="b">
        <v>1</v>
      </c>
      <c r="P1682" t="b">
        <v>0</v>
      </c>
      <c r="Q1682" t="b">
        <v>0</v>
      </c>
    </row>
    <row r="1683">
      <c r="A1683" t="inlineStr">
        <is>
          <t>REQ01682</t>
        </is>
      </c>
      <c r="B1683" t="inlineStr">
        <is>
          <t>984500E44AXCFEZ70E43</t>
        </is>
      </c>
      <c r="C1683" t="inlineStr">
        <is>
          <t>document_refresh</t>
        </is>
      </c>
      <c r="D1683" s="2" t="n">
        <v>46322.62361111111</v>
      </c>
      <c r="E1683" s="2" t="n">
        <v>46323.74861111111</v>
      </c>
      <c r="F1683" t="inlineStr">
        <is>
          <t>M5</t>
        </is>
      </c>
      <c r="G1683" t="inlineStr">
        <is>
          <t>C2</t>
        </is>
      </c>
      <c r="H1683" s="2" t="n">
        <v>46322.6375</v>
      </c>
      <c r="I1683" s="2" t="n">
        <v>46322.65555555555</v>
      </c>
      <c r="J1683" t="inlineStr">
        <is>
          <t>Completed</t>
        </is>
      </c>
      <c r="K1683" t="n">
        <v>0.77</v>
      </c>
      <c r="L1683" t="n">
        <v>12</v>
      </c>
      <c r="M1683" t="b">
        <v>0</v>
      </c>
      <c r="N1683" t="n">
        <v>1</v>
      </c>
      <c r="O1683" t="b">
        <v>0</v>
      </c>
      <c r="P1683" t="b">
        <v>1</v>
      </c>
      <c r="Q1683" t="b">
        <v>0</v>
      </c>
    </row>
    <row r="1684">
      <c r="A1684" t="inlineStr">
        <is>
          <t>REQ01683</t>
        </is>
      </c>
      <c r="B1684" t="inlineStr">
        <is>
          <t>529900UQ6X3JJVRQTW02</t>
        </is>
      </c>
      <c r="C1684" t="inlineStr">
        <is>
          <t>new_account</t>
        </is>
      </c>
      <c r="D1684" s="2" t="n">
        <v>46322.62638888889</v>
      </c>
      <c r="E1684" s="2" t="n">
        <v>46324.54305555556</v>
      </c>
      <c r="F1684" t="inlineStr">
        <is>
          <t>M1</t>
        </is>
      </c>
      <c r="G1684" t="inlineStr">
        <is>
          <t>C2</t>
        </is>
      </c>
      <c r="H1684" s="2" t="n">
        <v>46322.65208333333</v>
      </c>
      <c r="I1684" s="2" t="n">
        <v>46322.66736111111</v>
      </c>
      <c r="J1684" t="inlineStr">
        <is>
          <t>Completed</t>
        </is>
      </c>
      <c r="K1684" t="n">
        <v>0.99</v>
      </c>
      <c r="L1684" t="n">
        <v>16</v>
      </c>
      <c r="M1684" t="b">
        <v>0</v>
      </c>
      <c r="N1684" t="n">
        <v>0</v>
      </c>
      <c r="O1684" t="b">
        <v>1</v>
      </c>
      <c r="P1684" t="b">
        <v>0</v>
      </c>
      <c r="Q1684" t="b">
        <v>0</v>
      </c>
    </row>
    <row r="1685">
      <c r="A1685" t="inlineStr">
        <is>
          <t>REQ01684</t>
        </is>
      </c>
      <c r="B1685" t="inlineStr">
        <is>
          <t>8945001KHVNZHS2R1U68</t>
        </is>
      </c>
      <c r="C1685" t="inlineStr">
        <is>
          <t>signatory_change</t>
        </is>
      </c>
      <c r="D1685" s="2" t="n">
        <v>46322.62986111111</v>
      </c>
      <c r="E1685" s="2" t="n">
        <v>46323.58819444444</v>
      </c>
      <c r="F1685" t="inlineStr">
        <is>
          <t>M2</t>
        </is>
      </c>
      <c r="G1685" t="inlineStr">
        <is>
          <t>C2</t>
        </is>
      </c>
      <c r="H1685" s="2" t="n">
        <v>46322.64791666667</v>
      </c>
      <c r="I1685" s="2" t="n">
        <v>46323.43958333333</v>
      </c>
      <c r="J1685" t="inlineStr">
        <is>
          <t>Completed</t>
        </is>
      </c>
      <c r="K1685" t="n">
        <v>4.43</v>
      </c>
      <c r="L1685" t="n">
        <v>8</v>
      </c>
      <c r="M1685" t="b">
        <v>0</v>
      </c>
      <c r="N1685" t="n">
        <v>0</v>
      </c>
      <c r="O1685" t="b">
        <v>1</v>
      </c>
      <c r="P1685" t="b">
        <v>0</v>
      </c>
      <c r="Q1685" t="b">
        <v>1</v>
      </c>
    </row>
    <row r="1686">
      <c r="A1686" t="inlineStr">
        <is>
          <t>REQ01685</t>
        </is>
      </c>
      <c r="B1686" t="inlineStr">
        <is>
          <t>254900AQP1XGND48CY70</t>
        </is>
      </c>
      <c r="C1686" t="inlineStr">
        <is>
          <t>new_account</t>
        </is>
      </c>
      <c r="D1686" s="2" t="n">
        <v>46322.63263888889</v>
      </c>
      <c r="E1686" s="2" t="n">
        <v>46324.54930555556</v>
      </c>
      <c r="F1686" t="inlineStr">
        <is>
          <t>M3</t>
        </is>
      </c>
      <c r="G1686" t="inlineStr">
        <is>
          <t>C2</t>
        </is>
      </c>
      <c r="H1686" s="2" t="n">
        <v>46322.66875</v>
      </c>
      <c r="I1686" s="2" t="n">
        <v>46322.67847222222</v>
      </c>
      <c r="J1686" t="inlineStr">
        <is>
          <t>Completed</t>
        </is>
      </c>
      <c r="K1686" t="n">
        <v>1.1</v>
      </c>
      <c r="L1686" t="n">
        <v>16</v>
      </c>
      <c r="M1686" t="b">
        <v>0</v>
      </c>
      <c r="N1686" t="n">
        <v>0</v>
      </c>
      <c r="O1686" t="b">
        <v>1</v>
      </c>
      <c r="P1686" t="b">
        <v>0</v>
      </c>
      <c r="Q1686" t="b">
        <v>0</v>
      </c>
    </row>
    <row r="1687">
      <c r="A1687" t="inlineStr">
        <is>
          <t>REQ01686</t>
        </is>
      </c>
      <c r="B1687" t="inlineStr">
        <is>
          <t>549300YKB6JD5B8Q8463</t>
        </is>
      </c>
      <c r="C1687" t="inlineStr">
        <is>
          <t>data_amendment</t>
        </is>
      </c>
      <c r="D1687" s="2" t="n">
        <v>46322.63402777778</v>
      </c>
      <c r="E1687" s="2" t="n">
        <v>46323.59236111111</v>
      </c>
      <c r="F1687" t="inlineStr">
        <is>
          <t>M5</t>
        </is>
      </c>
      <c r="G1687" t="inlineStr">
        <is>
          <t>C3</t>
        </is>
      </c>
      <c r="H1687" s="2" t="n">
        <v>46322.65069444444</v>
      </c>
      <c r="I1687" s="2" t="n">
        <v>46322.65347222222</v>
      </c>
      <c r="J1687" t="inlineStr">
        <is>
          <t>Completed</t>
        </is>
      </c>
      <c r="K1687" t="n">
        <v>0.47</v>
      </c>
      <c r="L1687" t="n">
        <v>8</v>
      </c>
      <c r="M1687" t="b">
        <v>0</v>
      </c>
      <c r="N1687" t="n">
        <v>0</v>
      </c>
      <c r="O1687" t="b">
        <v>1</v>
      </c>
      <c r="P1687" t="b">
        <v>0</v>
      </c>
      <c r="Q1687" t="b">
        <v>0</v>
      </c>
    </row>
    <row r="1688">
      <c r="A1688" t="inlineStr">
        <is>
          <t>REQ01687</t>
        </is>
      </c>
      <c r="B1688" t="inlineStr">
        <is>
          <t>2549007REOYHAS52ZO68</t>
        </is>
      </c>
      <c r="C1688" t="inlineStr">
        <is>
          <t>data_amendment</t>
        </is>
      </c>
      <c r="D1688" s="2" t="n">
        <v>46322.64861111111</v>
      </c>
      <c r="E1688" s="2" t="n">
        <v>46323.60694444444</v>
      </c>
      <c r="F1688" t="inlineStr">
        <is>
          <t>M6</t>
        </is>
      </c>
      <c r="G1688" t="inlineStr">
        <is>
          <t>C1</t>
        </is>
      </c>
      <c r="H1688" s="2" t="n">
        <v>46322.66111111111</v>
      </c>
      <c r="I1688" s="2" t="n">
        <v>46322.66527777778</v>
      </c>
      <c r="J1688" t="inlineStr">
        <is>
          <t>Completed</t>
        </is>
      </c>
      <c r="K1688" t="n">
        <v>0.41</v>
      </c>
      <c r="L1688" t="n">
        <v>8</v>
      </c>
      <c r="M1688" t="b">
        <v>0</v>
      </c>
      <c r="N1688" t="n">
        <v>0</v>
      </c>
      <c r="O1688" t="b">
        <v>1</v>
      </c>
      <c r="P1688" t="b">
        <v>0</v>
      </c>
      <c r="Q1688" t="b">
        <v>0</v>
      </c>
    </row>
    <row r="1689">
      <c r="A1689" t="inlineStr">
        <is>
          <t>REQ01688</t>
        </is>
      </c>
      <c r="B1689" t="inlineStr">
        <is>
          <t>391200I0BU5VDGMR0H63</t>
        </is>
      </c>
      <c r="C1689" t="inlineStr">
        <is>
          <t>signatory_change</t>
        </is>
      </c>
      <c r="D1689" s="2" t="n">
        <v>46322.64930555555</v>
      </c>
      <c r="E1689" s="2" t="n">
        <v>46323.60763888889</v>
      </c>
      <c r="F1689" t="inlineStr">
        <is>
          <t>M4</t>
        </is>
      </c>
      <c r="G1689" t="inlineStr">
        <is>
          <t>C1</t>
        </is>
      </c>
      <c r="H1689" s="2" t="n">
        <v>46322.67152777778</v>
      </c>
      <c r="I1689" s="2" t="n">
        <v>46322.68055555555</v>
      </c>
      <c r="J1689" t="inlineStr">
        <is>
          <t>Completed</t>
        </is>
      </c>
      <c r="K1689" t="n">
        <v>0.75</v>
      </c>
      <c r="L1689" t="n">
        <v>8</v>
      </c>
      <c r="M1689" t="b">
        <v>0</v>
      </c>
      <c r="N1689" t="n">
        <v>0</v>
      </c>
      <c r="O1689" t="b">
        <v>1</v>
      </c>
      <c r="P1689" t="b">
        <v>0</v>
      </c>
      <c r="Q1689" t="b">
        <v>0</v>
      </c>
    </row>
    <row r="1690">
      <c r="A1690" t="inlineStr">
        <is>
          <t>REQ01689</t>
        </is>
      </c>
      <c r="B1690" t="inlineStr">
        <is>
          <t>549300NYZ343WIDYKP63</t>
        </is>
      </c>
      <c r="C1690" t="inlineStr">
        <is>
          <t>signatory_change</t>
        </is>
      </c>
      <c r="D1690" s="2" t="n">
        <v>46322.65347222222</v>
      </c>
      <c r="E1690" s="2" t="n">
        <v>46323.61180555556</v>
      </c>
      <c r="F1690" t="inlineStr">
        <is>
          <t>M2</t>
        </is>
      </c>
      <c r="G1690" t="inlineStr">
        <is>
          <t>C1</t>
        </is>
      </c>
      <c r="H1690" s="2" t="n">
        <v>46322.675</v>
      </c>
      <c r="I1690" s="2" t="n">
        <v>46323.39027777778</v>
      </c>
      <c r="J1690" t="inlineStr">
        <is>
          <t>Completed</t>
        </is>
      </c>
      <c r="K1690" t="n">
        <v>2.69</v>
      </c>
      <c r="L1690" t="n">
        <v>8</v>
      </c>
      <c r="M1690" t="b">
        <v>0</v>
      </c>
      <c r="N1690" t="n">
        <v>0</v>
      </c>
      <c r="O1690" t="b">
        <v>1</v>
      </c>
      <c r="P1690" t="b">
        <v>0</v>
      </c>
      <c r="Q1690" t="b">
        <v>1</v>
      </c>
    </row>
    <row r="1691">
      <c r="A1691" t="inlineStr">
        <is>
          <t>REQ01690</t>
        </is>
      </c>
      <c r="B1691" t="inlineStr">
        <is>
          <t>6488POG55Y0C50O32G98</t>
        </is>
      </c>
      <c r="C1691" t="inlineStr">
        <is>
          <t>document_refresh</t>
        </is>
      </c>
      <c r="D1691" s="2" t="n">
        <v>46322.65486111111</v>
      </c>
      <c r="E1691" s="2" t="n">
        <v>46324.40486111111</v>
      </c>
      <c r="F1691" t="inlineStr">
        <is>
          <t>M5</t>
        </is>
      </c>
      <c r="G1691" t="inlineStr">
        <is>
          <t>C1</t>
        </is>
      </c>
      <c r="H1691" s="2" t="n">
        <v>46322.66597222222</v>
      </c>
      <c r="I1691" s="2" t="n">
        <v>46322.67013888889</v>
      </c>
      <c r="J1691" t="inlineStr">
        <is>
          <t>Completed</t>
        </is>
      </c>
      <c r="K1691" t="n">
        <v>0.37</v>
      </c>
      <c r="L1691" t="n">
        <v>12</v>
      </c>
      <c r="M1691" t="b">
        <v>0</v>
      </c>
      <c r="N1691" t="n">
        <v>0</v>
      </c>
      <c r="O1691" t="b">
        <v>1</v>
      </c>
      <c r="P1691" t="b">
        <v>0</v>
      </c>
      <c r="Q1691" t="b">
        <v>0</v>
      </c>
    </row>
    <row r="1692">
      <c r="A1692" t="inlineStr">
        <is>
          <t>REQ01691</t>
        </is>
      </c>
      <c r="B1692" t="inlineStr">
        <is>
          <t>335800B4L9BT7Q74BU18</t>
        </is>
      </c>
      <c r="C1692" t="inlineStr">
        <is>
          <t>signatory_change</t>
        </is>
      </c>
      <c r="D1692" s="2" t="n">
        <v>46322.65555555555</v>
      </c>
      <c r="E1692" s="2" t="n">
        <v>46323.61388888889</v>
      </c>
      <c r="F1692" t="inlineStr">
        <is>
          <t>M1</t>
        </is>
      </c>
      <c r="G1692" t="inlineStr">
        <is>
          <t>C3</t>
        </is>
      </c>
      <c r="H1692" s="2" t="n">
        <v>46322.67430555556</v>
      </c>
      <c r="I1692" s="2" t="n">
        <v>46322.68194444444</v>
      </c>
      <c r="J1692" t="inlineStr">
        <is>
          <t>Completed</t>
        </is>
      </c>
      <c r="K1692" t="n">
        <v>0.64</v>
      </c>
      <c r="L1692" t="n">
        <v>8</v>
      </c>
      <c r="M1692" t="b">
        <v>0</v>
      </c>
      <c r="N1692" t="n">
        <v>0</v>
      </c>
      <c r="O1692" t="b">
        <v>1</v>
      </c>
      <c r="P1692" t="b">
        <v>0</v>
      </c>
      <c r="Q1692" t="b">
        <v>0</v>
      </c>
    </row>
    <row r="1693">
      <c r="A1693" t="inlineStr">
        <is>
          <t>REQ01692</t>
        </is>
      </c>
      <c r="B1693" t="inlineStr">
        <is>
          <t>213800AM87FIO8TE9337</t>
        </is>
      </c>
      <c r="C1693" t="inlineStr">
        <is>
          <t>signatory_change</t>
        </is>
      </c>
      <c r="D1693" s="2" t="n">
        <v>46322.65625</v>
      </c>
      <c r="E1693" s="2" t="n">
        <v>46323.61458333334</v>
      </c>
      <c r="F1693" t="inlineStr">
        <is>
          <t>M6</t>
        </is>
      </c>
      <c r="G1693" t="inlineStr">
        <is>
          <t>C2</t>
        </is>
      </c>
      <c r="H1693" s="2" t="n">
        <v>46322.68055555555</v>
      </c>
      <c r="I1693" s="2" t="n">
        <v>46323.40555555555</v>
      </c>
      <c r="J1693" t="inlineStr">
        <is>
          <t>Completed</t>
        </is>
      </c>
      <c r="K1693" t="n">
        <v>2.98</v>
      </c>
      <c r="L1693" t="n">
        <v>8</v>
      </c>
      <c r="M1693" t="b">
        <v>0</v>
      </c>
      <c r="N1693" t="n">
        <v>0</v>
      </c>
      <c r="O1693" t="b">
        <v>1</v>
      </c>
      <c r="P1693" t="b">
        <v>0</v>
      </c>
      <c r="Q1693" t="b">
        <v>1</v>
      </c>
    </row>
    <row r="1694">
      <c r="A1694" t="inlineStr">
        <is>
          <t>REQ01693</t>
        </is>
      </c>
      <c r="B1694" t="inlineStr">
        <is>
          <t>967600PBY9K76S0M3Y64</t>
        </is>
      </c>
      <c r="C1694" t="inlineStr">
        <is>
          <t>data_amendment</t>
        </is>
      </c>
      <c r="D1694" s="2" t="n">
        <v>46322.66180555556</v>
      </c>
      <c r="E1694" s="2" t="n">
        <v>46323.62013888889</v>
      </c>
      <c r="F1694" t="inlineStr">
        <is>
          <t>M5</t>
        </is>
      </c>
      <c r="G1694" t="inlineStr">
        <is>
          <t>C2</t>
        </is>
      </c>
      <c r="H1694" s="2" t="n">
        <v>46322.675</v>
      </c>
      <c r="I1694" s="2" t="n">
        <v>46322.68263888889</v>
      </c>
      <c r="J1694" t="inlineStr">
        <is>
          <t>Completed</t>
        </is>
      </c>
      <c r="K1694" t="n">
        <v>0.49</v>
      </c>
      <c r="L1694" t="n">
        <v>8</v>
      </c>
      <c r="M1694" t="b">
        <v>0</v>
      </c>
      <c r="N1694" t="n">
        <v>0</v>
      </c>
      <c r="O1694" t="b">
        <v>1</v>
      </c>
      <c r="P1694" t="b">
        <v>0</v>
      </c>
      <c r="Q1694" t="b">
        <v>0</v>
      </c>
    </row>
    <row r="1695">
      <c r="A1695" t="inlineStr">
        <is>
          <t>REQ01694</t>
        </is>
      </c>
      <c r="B1695" t="inlineStr">
        <is>
          <t>529900VY2HMZAF2R0982</t>
        </is>
      </c>
      <c r="C1695" t="inlineStr">
        <is>
          <t>document_refresh</t>
        </is>
      </c>
      <c r="D1695" s="2" t="n">
        <v>46322.67222222222</v>
      </c>
      <c r="E1695" s="2" t="n">
        <v>46324.42222222222</v>
      </c>
      <c r="F1695" t="inlineStr">
        <is>
          <t>M3</t>
        </is>
      </c>
      <c r="G1695" t="inlineStr">
        <is>
          <t>C3</t>
        </is>
      </c>
      <c r="H1695" s="2" t="n">
        <v>46322.68333333333</v>
      </c>
      <c r="I1695" s="2" t="n">
        <v>46323.50555555556</v>
      </c>
      <c r="J1695" t="inlineStr">
        <is>
          <t>Completed</t>
        </is>
      </c>
      <c r="K1695" t="n">
        <v>5.01</v>
      </c>
      <c r="L1695" t="n">
        <v>12</v>
      </c>
      <c r="M1695" t="b">
        <v>0</v>
      </c>
      <c r="N1695" t="n">
        <v>0</v>
      </c>
      <c r="O1695" t="b">
        <v>1</v>
      </c>
      <c r="P1695" t="b">
        <v>0</v>
      </c>
      <c r="Q1695" t="b">
        <v>1</v>
      </c>
    </row>
    <row r="1696">
      <c r="A1696" t="inlineStr">
        <is>
          <t>REQ01695</t>
        </is>
      </c>
      <c r="B1696" t="inlineStr">
        <is>
          <t>254900PK4YWJ0SA0RG26</t>
        </is>
      </c>
      <c r="C1696" t="inlineStr">
        <is>
          <t>new_account</t>
        </is>
      </c>
      <c r="D1696" s="2" t="n">
        <v>46322.67430555556</v>
      </c>
      <c r="E1696" s="2" t="n">
        <v>46324.59097222222</v>
      </c>
      <c r="F1696" t="inlineStr">
        <is>
          <t>M4</t>
        </is>
      </c>
      <c r="G1696" t="inlineStr">
        <is>
          <t>C2</t>
        </is>
      </c>
      <c r="H1696" s="2" t="n">
        <v>46322.7</v>
      </c>
      <c r="I1696" s="2" t="n">
        <v>46323.49444444444</v>
      </c>
      <c r="J1696" t="inlineStr">
        <is>
          <t>Completed</t>
        </is>
      </c>
      <c r="K1696" t="n">
        <v>4.69</v>
      </c>
      <c r="L1696" t="n">
        <v>16</v>
      </c>
      <c r="M1696" t="b">
        <v>0</v>
      </c>
      <c r="N1696" t="n">
        <v>0</v>
      </c>
      <c r="O1696" t="b">
        <v>1</v>
      </c>
      <c r="P1696" t="b">
        <v>0</v>
      </c>
      <c r="Q1696" t="b">
        <v>1</v>
      </c>
    </row>
    <row r="1697">
      <c r="A1697" t="inlineStr">
        <is>
          <t>REQ01696</t>
        </is>
      </c>
      <c r="B1697" t="inlineStr">
        <is>
          <t>98450010E71E1ACEGC60</t>
        </is>
      </c>
      <c r="C1697" t="inlineStr">
        <is>
          <t>data_amendment</t>
        </is>
      </c>
      <c r="D1697" s="2" t="n">
        <v>46322.675</v>
      </c>
      <c r="E1697" s="2" t="n">
        <v>46323.63333333333</v>
      </c>
      <c r="F1697" t="inlineStr">
        <is>
          <t>M1</t>
        </is>
      </c>
      <c r="G1697" t="inlineStr">
        <is>
          <t>C2</t>
        </is>
      </c>
      <c r="H1697" s="2" t="n">
        <v>46322.68402777778</v>
      </c>
      <c r="I1697" s="2" t="n">
        <v>46322.6875</v>
      </c>
      <c r="J1697" t="inlineStr">
        <is>
          <t>Completed</t>
        </is>
      </c>
      <c r="K1697" t="n">
        <v>0.3</v>
      </c>
      <c r="L1697" t="n">
        <v>8</v>
      </c>
      <c r="M1697" t="b">
        <v>0</v>
      </c>
      <c r="N1697" t="n">
        <v>0</v>
      </c>
      <c r="O1697" t="b">
        <v>1</v>
      </c>
      <c r="P1697" t="b">
        <v>0</v>
      </c>
      <c r="Q1697" t="b">
        <v>0</v>
      </c>
    </row>
    <row r="1698">
      <c r="A1698" t="inlineStr">
        <is>
          <t>REQ01697</t>
        </is>
      </c>
      <c r="B1698" t="inlineStr">
        <is>
          <t>21380044Z4WGRZ4BYM88</t>
        </is>
      </c>
      <c r="C1698" t="inlineStr">
        <is>
          <t>new_account</t>
        </is>
      </c>
      <c r="D1698" s="2" t="n">
        <v>46322.67638888889</v>
      </c>
      <c r="E1698" s="2" t="n">
        <v>46324.59305555555</v>
      </c>
      <c r="F1698" t="inlineStr">
        <is>
          <t>M5</t>
        </is>
      </c>
      <c r="G1698" t="inlineStr">
        <is>
          <t>C1</t>
        </is>
      </c>
      <c r="H1698" s="2" t="n">
        <v>46322.70277777778</v>
      </c>
      <c r="I1698" s="2" t="n">
        <v>46323.51319444444</v>
      </c>
      <c r="J1698" t="inlineStr">
        <is>
          <t>Completed</t>
        </is>
      </c>
      <c r="K1698" t="n">
        <v>5.09</v>
      </c>
      <c r="L1698" t="n">
        <v>16</v>
      </c>
      <c r="M1698" t="b">
        <v>0</v>
      </c>
      <c r="N1698" t="n">
        <v>0</v>
      </c>
      <c r="O1698" t="b">
        <v>1</v>
      </c>
      <c r="P1698" t="b">
        <v>0</v>
      </c>
      <c r="Q1698" t="b">
        <v>1</v>
      </c>
    </row>
    <row r="1699">
      <c r="A1699" t="inlineStr">
        <is>
          <t>REQ01698</t>
        </is>
      </c>
      <c r="B1699" t="inlineStr">
        <is>
          <t>549300C6NK68DTXQI735</t>
        </is>
      </c>
      <c r="C1699" t="inlineStr">
        <is>
          <t>new_account</t>
        </is>
      </c>
      <c r="D1699" s="2" t="n">
        <v>46322.68263888889</v>
      </c>
      <c r="E1699" s="2" t="n">
        <v>46324.59930555556</v>
      </c>
      <c r="F1699" t="inlineStr">
        <is>
          <t>M2</t>
        </is>
      </c>
      <c r="G1699" t="inlineStr">
        <is>
          <t>C3</t>
        </is>
      </c>
      <c r="H1699" s="2" t="n">
        <v>46322.72291666667</v>
      </c>
      <c r="I1699" s="2" t="n">
        <v>46323.53680555556</v>
      </c>
      <c r="J1699" t="inlineStr">
        <is>
          <t>Completed</t>
        </is>
      </c>
      <c r="K1699" t="n">
        <v>5.49</v>
      </c>
      <c r="L1699" t="n">
        <v>16</v>
      </c>
      <c r="M1699" t="b">
        <v>0</v>
      </c>
      <c r="N1699" t="n">
        <v>0</v>
      </c>
      <c r="O1699" t="b">
        <v>1</v>
      </c>
      <c r="P1699" t="b">
        <v>0</v>
      </c>
      <c r="Q1699" t="b">
        <v>1</v>
      </c>
    </row>
    <row r="1700">
      <c r="A1700" t="inlineStr">
        <is>
          <t>REQ01699</t>
        </is>
      </c>
      <c r="B1700" t="inlineStr">
        <is>
          <t>529900MBB2F6SI86CX56</t>
        </is>
      </c>
      <c r="C1700" t="inlineStr">
        <is>
          <t>document_refresh</t>
        </is>
      </c>
      <c r="D1700" s="2" t="n">
        <v>46322.68472222222</v>
      </c>
      <c r="E1700" s="2" t="n">
        <v>46324.43472222222</v>
      </c>
      <c r="F1700" t="inlineStr">
        <is>
          <t>M6</t>
        </is>
      </c>
      <c r="G1700" t="inlineStr">
        <is>
          <t>C1</t>
        </is>
      </c>
      <c r="H1700" s="2" t="n">
        <v>46322.69791666666</v>
      </c>
      <c r="I1700" s="2" t="n">
        <v>46322.70347222222</v>
      </c>
      <c r="J1700" t="inlineStr">
        <is>
          <t>Completed</t>
        </is>
      </c>
      <c r="K1700" t="n">
        <v>0.45</v>
      </c>
      <c r="L1700" t="n">
        <v>12</v>
      </c>
      <c r="M1700" t="b">
        <v>0</v>
      </c>
      <c r="N1700" t="n">
        <v>0</v>
      </c>
      <c r="O1700" t="b">
        <v>1</v>
      </c>
      <c r="P1700" t="b">
        <v>0</v>
      </c>
      <c r="Q1700" t="b">
        <v>0</v>
      </c>
    </row>
    <row r="1701">
      <c r="A1701" t="inlineStr">
        <is>
          <t>REQ01700</t>
        </is>
      </c>
      <c r="B1701" t="inlineStr">
        <is>
          <t>724500FIORZJ1B830N95</t>
        </is>
      </c>
      <c r="C1701" t="inlineStr">
        <is>
          <t>document_refresh</t>
        </is>
      </c>
      <c r="D1701" s="2" t="n">
        <v>46322.68680555555</v>
      </c>
      <c r="E1701" s="2" t="n">
        <v>46324.43680555555</v>
      </c>
      <c r="F1701" t="inlineStr">
        <is>
          <t>M3</t>
        </is>
      </c>
      <c r="G1701" t="inlineStr">
        <is>
          <t>C3</t>
        </is>
      </c>
      <c r="H1701" s="2" t="n">
        <v>46322.70347222222</v>
      </c>
      <c r="I1701" s="2" t="n">
        <v>46323.54236111111</v>
      </c>
      <c r="J1701" t="inlineStr">
        <is>
          <t>Completed</t>
        </is>
      </c>
      <c r="K1701" t="n">
        <v>5.53</v>
      </c>
      <c r="L1701" t="n">
        <v>12</v>
      </c>
      <c r="M1701" t="b">
        <v>0</v>
      </c>
      <c r="N1701" t="n">
        <v>0</v>
      </c>
      <c r="O1701" t="b">
        <v>1</v>
      </c>
      <c r="P1701" t="b">
        <v>0</v>
      </c>
      <c r="Q1701" t="b">
        <v>1</v>
      </c>
    </row>
    <row r="1702">
      <c r="A1702" t="inlineStr">
        <is>
          <t>REQ01701</t>
        </is>
      </c>
      <c r="B1702" t="inlineStr">
        <is>
          <t>724500WTYTIHRTEUYZ70</t>
        </is>
      </c>
      <c r="C1702" t="inlineStr">
        <is>
          <t>document_refresh</t>
        </is>
      </c>
      <c r="D1702" s="2" t="n">
        <v>46322.69236111111</v>
      </c>
      <c r="E1702" s="2" t="n">
        <v>46324.44236111111</v>
      </c>
      <c r="F1702" t="inlineStr">
        <is>
          <t>M1</t>
        </is>
      </c>
      <c r="G1702" t="inlineStr">
        <is>
          <t>C2</t>
        </is>
      </c>
      <c r="H1702" s="2" t="n">
        <v>46322.70277777778</v>
      </c>
      <c r="I1702" s="2" t="n">
        <v>46322.70972222222</v>
      </c>
      <c r="J1702" t="inlineStr">
        <is>
          <t>Completed</t>
        </is>
      </c>
      <c r="K1702" t="n">
        <v>0.41</v>
      </c>
      <c r="L1702" t="n">
        <v>12</v>
      </c>
      <c r="M1702" t="b">
        <v>0</v>
      </c>
      <c r="N1702" t="n">
        <v>0</v>
      </c>
      <c r="O1702" t="b">
        <v>1</v>
      </c>
      <c r="P1702" t="b">
        <v>0</v>
      </c>
      <c r="Q1702" t="b">
        <v>0</v>
      </c>
    </row>
    <row r="1703">
      <c r="A1703" t="inlineStr">
        <is>
          <t>REQ01702</t>
        </is>
      </c>
      <c r="B1703" t="inlineStr">
        <is>
          <t>724500AUHS7D83WENU65</t>
        </is>
      </c>
      <c r="C1703" t="inlineStr">
        <is>
          <t>signatory_change</t>
        </is>
      </c>
      <c r="D1703" s="2" t="n">
        <v>46322.69583333333</v>
      </c>
      <c r="E1703" s="2" t="n">
        <v>46323.65416666667</v>
      </c>
      <c r="F1703" t="inlineStr">
        <is>
          <t>M6</t>
        </is>
      </c>
      <c r="G1703" t="inlineStr">
        <is>
          <t>C1</t>
        </is>
      </c>
      <c r="H1703" s="2" t="n">
        <v>46322.71527777778</v>
      </c>
      <c r="I1703" s="2" t="n">
        <v>46322.72638888889</v>
      </c>
      <c r="J1703" t="inlineStr">
        <is>
          <t>Completed</t>
        </is>
      </c>
      <c r="K1703" t="n">
        <v>0.74</v>
      </c>
      <c r="L1703" t="n">
        <v>8</v>
      </c>
      <c r="M1703" t="b">
        <v>0</v>
      </c>
      <c r="N1703" t="n">
        <v>0</v>
      </c>
      <c r="O1703" t="b">
        <v>1</v>
      </c>
      <c r="P1703" t="b">
        <v>0</v>
      </c>
      <c r="Q1703" t="b">
        <v>0</v>
      </c>
    </row>
    <row r="1704">
      <c r="A1704" t="inlineStr">
        <is>
          <t>REQ01703</t>
        </is>
      </c>
      <c r="B1704" t="inlineStr">
        <is>
          <t>894500ZPO7CSFUV52R07</t>
        </is>
      </c>
      <c r="C1704" t="inlineStr">
        <is>
          <t>document_refresh</t>
        </is>
      </c>
      <c r="D1704" s="2" t="n">
        <v>46322.69722222222</v>
      </c>
      <c r="E1704" s="2" t="n">
        <v>46324.44722222222</v>
      </c>
      <c r="F1704" t="inlineStr">
        <is>
          <t>M4</t>
        </is>
      </c>
      <c r="G1704" t="inlineStr">
        <is>
          <t>C1</t>
        </is>
      </c>
      <c r="H1704" s="2" t="n">
        <v>46322.71111111111</v>
      </c>
      <c r="I1704" s="2" t="n">
        <v>46322.72152777778</v>
      </c>
      <c r="J1704" t="inlineStr">
        <is>
          <t>Completed</t>
        </is>
      </c>
      <c r="K1704" t="n">
        <v>0.59</v>
      </c>
      <c r="L1704" t="n">
        <v>12</v>
      </c>
      <c r="M1704" t="b">
        <v>0</v>
      </c>
      <c r="N1704" t="n">
        <v>0</v>
      </c>
      <c r="O1704" t="b">
        <v>1</v>
      </c>
      <c r="P1704" t="b">
        <v>0</v>
      </c>
      <c r="Q1704" t="b">
        <v>0</v>
      </c>
    </row>
    <row r="1705">
      <c r="A1705" t="inlineStr">
        <is>
          <t>REQ01704</t>
        </is>
      </c>
      <c r="B1705" t="inlineStr">
        <is>
          <t>724500KIFFQ7CZ7E2349</t>
        </is>
      </c>
      <c r="C1705" t="inlineStr">
        <is>
          <t>data_amendment</t>
        </is>
      </c>
      <c r="D1705" s="2" t="n">
        <v>46322.7</v>
      </c>
      <c r="E1705" s="2" t="n">
        <v>46323.65833333333</v>
      </c>
      <c r="F1705" t="inlineStr">
        <is>
          <t>M1</t>
        </is>
      </c>
      <c r="G1705" t="inlineStr">
        <is>
          <t>C3</t>
        </is>
      </c>
      <c r="H1705" s="2" t="n">
        <v>46322.71388888889</v>
      </c>
      <c r="I1705" s="2" t="n">
        <v>46322.72222222222</v>
      </c>
      <c r="J1705" t="inlineStr">
        <is>
          <t>Completed</t>
        </is>
      </c>
      <c r="K1705" t="n">
        <v>0.53</v>
      </c>
      <c r="L1705" t="n">
        <v>8</v>
      </c>
      <c r="M1705" t="b">
        <v>0</v>
      </c>
      <c r="N1705" t="n">
        <v>0</v>
      </c>
      <c r="O1705" t="b">
        <v>1</v>
      </c>
      <c r="P1705" t="b">
        <v>0</v>
      </c>
      <c r="Q1705" t="b">
        <v>0</v>
      </c>
    </row>
    <row r="1706">
      <c r="A1706" t="inlineStr">
        <is>
          <t>REQ01705</t>
        </is>
      </c>
      <c r="B1706" t="inlineStr">
        <is>
          <t>549300WEVFGT7WEQ0X31</t>
        </is>
      </c>
      <c r="C1706" t="inlineStr">
        <is>
          <t>data_amendment</t>
        </is>
      </c>
      <c r="D1706" s="2" t="n">
        <v>46322.70694444444</v>
      </c>
      <c r="E1706" s="2" t="n">
        <v>46323.66527777778</v>
      </c>
      <c r="F1706" t="inlineStr">
        <is>
          <t>M5</t>
        </is>
      </c>
      <c r="G1706" t="inlineStr">
        <is>
          <t>C2</t>
        </is>
      </c>
      <c r="H1706" s="2" t="n">
        <v>46322.71458333333</v>
      </c>
      <c r="I1706" s="2" t="n">
        <v>46322.72222222222</v>
      </c>
      <c r="J1706" t="inlineStr">
        <is>
          <t>Completed</t>
        </is>
      </c>
      <c r="K1706" t="n">
        <v>0.36</v>
      </c>
      <c r="L1706" t="n">
        <v>8</v>
      </c>
      <c r="M1706" t="b">
        <v>0</v>
      </c>
      <c r="N1706" t="n">
        <v>0</v>
      </c>
      <c r="O1706" t="b">
        <v>1</v>
      </c>
      <c r="P1706" t="b">
        <v>0</v>
      </c>
      <c r="Q1706" t="b">
        <v>0</v>
      </c>
    </row>
    <row r="1707">
      <c r="A1707" t="inlineStr">
        <is>
          <t>REQ01706</t>
        </is>
      </c>
      <c r="B1707" t="inlineStr">
        <is>
          <t>213800OR32ZSY7934772</t>
        </is>
      </c>
      <c r="C1707" t="inlineStr">
        <is>
          <t>document_refresh</t>
        </is>
      </c>
      <c r="D1707" s="2" t="n">
        <v>46322.70902777778</v>
      </c>
      <c r="E1707" s="2" t="n">
        <v>46324.45902777778</v>
      </c>
      <c r="F1707" t="inlineStr">
        <is>
          <t>M3</t>
        </is>
      </c>
      <c r="G1707" t="inlineStr">
        <is>
          <t>C1</t>
        </is>
      </c>
      <c r="H1707" s="2" t="n">
        <v>46322.72013888889</v>
      </c>
      <c r="I1707" s="2" t="n">
        <v>46323.58125</v>
      </c>
      <c r="J1707" t="inlineStr">
        <is>
          <t>Completed</t>
        </is>
      </c>
      <c r="K1707" t="n">
        <v>5.93</v>
      </c>
      <c r="L1707" t="n">
        <v>12</v>
      </c>
      <c r="M1707" t="b">
        <v>0</v>
      </c>
      <c r="N1707" t="n">
        <v>0</v>
      </c>
      <c r="O1707" t="b">
        <v>1</v>
      </c>
      <c r="P1707" t="b">
        <v>0</v>
      </c>
      <c r="Q1707" t="b">
        <v>1</v>
      </c>
    </row>
    <row r="1708">
      <c r="A1708" t="inlineStr">
        <is>
          <t>REQ01707</t>
        </is>
      </c>
      <c r="B1708" t="inlineStr">
        <is>
          <t>549300WK8YHA3YYT5Q61</t>
        </is>
      </c>
      <c r="C1708" t="inlineStr">
        <is>
          <t>data_amendment</t>
        </is>
      </c>
      <c r="D1708" s="2" t="n">
        <v>46322.71458333333</v>
      </c>
      <c r="E1708" s="2" t="n">
        <v>46323.67291666667</v>
      </c>
      <c r="F1708" t="inlineStr">
        <is>
          <t>M4</t>
        </is>
      </c>
      <c r="G1708" t="inlineStr">
        <is>
          <t>C2</t>
        </is>
      </c>
      <c r="H1708" s="2" t="n">
        <v>46322.72291666667</v>
      </c>
      <c r="I1708" s="2" t="n">
        <v>46323.50347222222</v>
      </c>
      <c r="J1708" t="inlineStr">
        <is>
          <t>Completed</t>
        </is>
      </c>
      <c r="K1708" t="n">
        <v>3.93</v>
      </c>
      <c r="L1708" t="n">
        <v>8</v>
      </c>
      <c r="M1708" t="b">
        <v>0</v>
      </c>
      <c r="N1708" t="n">
        <v>0</v>
      </c>
      <c r="O1708" t="b">
        <v>1</v>
      </c>
      <c r="P1708" t="b">
        <v>0</v>
      </c>
      <c r="Q1708" t="b">
        <v>1</v>
      </c>
    </row>
    <row r="1709">
      <c r="A1709" t="inlineStr">
        <is>
          <t>REQ01708</t>
        </is>
      </c>
      <c r="B1709" t="inlineStr">
        <is>
          <t>213800SQNAAW2CESZG52</t>
        </is>
      </c>
      <c r="C1709" t="inlineStr">
        <is>
          <t>signatory_change</t>
        </is>
      </c>
      <c r="D1709" s="2" t="n">
        <v>46322.71805555555</v>
      </c>
      <c r="E1709" s="2" t="n">
        <v>46323.67638888889</v>
      </c>
      <c r="F1709" t="inlineStr">
        <is>
          <t>M1</t>
        </is>
      </c>
      <c r="G1709" t="inlineStr">
        <is>
          <t>C3</t>
        </is>
      </c>
      <c r="H1709" s="2" t="n">
        <v>46322.73611111111</v>
      </c>
      <c r="I1709" s="2" t="n">
        <v>46323.49097222222</v>
      </c>
      <c r="J1709" t="inlineStr">
        <is>
          <t>Completed</t>
        </is>
      </c>
      <c r="K1709" t="n">
        <v>3.55</v>
      </c>
      <c r="L1709" t="n">
        <v>8</v>
      </c>
      <c r="M1709" t="b">
        <v>0</v>
      </c>
      <c r="N1709" t="n">
        <v>0</v>
      </c>
      <c r="O1709" t="b">
        <v>1</v>
      </c>
      <c r="P1709" t="b">
        <v>0</v>
      </c>
      <c r="Q1709" t="b">
        <v>1</v>
      </c>
    </row>
    <row r="1710">
      <c r="A1710" t="inlineStr">
        <is>
          <t>REQ01709</t>
        </is>
      </c>
      <c r="B1710" t="inlineStr">
        <is>
          <t>2549004Q4AS5QQJYX703</t>
        </is>
      </c>
      <c r="C1710" t="inlineStr">
        <is>
          <t>data_amendment</t>
        </is>
      </c>
      <c r="D1710" s="2" t="n">
        <v>46322.71944444445</v>
      </c>
      <c r="E1710" s="2" t="n">
        <v>46323.67777777778</v>
      </c>
      <c r="F1710" t="inlineStr">
        <is>
          <t>M5</t>
        </is>
      </c>
      <c r="G1710" t="inlineStr">
        <is>
          <t>C3</t>
        </is>
      </c>
      <c r="H1710" s="2" t="n">
        <v>46322.72847222222</v>
      </c>
      <c r="I1710" s="2" t="n">
        <v>46322.73194444444</v>
      </c>
      <c r="J1710" t="inlineStr">
        <is>
          <t>Completed</t>
        </is>
      </c>
      <c r="K1710" t="n">
        <v>0.31</v>
      </c>
      <c r="L1710" t="n">
        <v>8</v>
      </c>
      <c r="M1710" t="b">
        <v>0</v>
      </c>
      <c r="N1710" t="n">
        <v>0</v>
      </c>
      <c r="O1710" t="b">
        <v>1</v>
      </c>
      <c r="P1710" t="b">
        <v>0</v>
      </c>
      <c r="Q1710" t="b">
        <v>0</v>
      </c>
    </row>
    <row r="1711">
      <c r="A1711" t="inlineStr">
        <is>
          <t>REQ01710</t>
        </is>
      </c>
      <c r="B1711" t="inlineStr">
        <is>
          <t>894500RBQ7OTP65MDO79</t>
        </is>
      </c>
      <c r="C1711" t="inlineStr">
        <is>
          <t>signatory_change</t>
        </is>
      </c>
      <c r="D1711" s="2" t="n">
        <v>46322.71944444445</v>
      </c>
      <c r="E1711" s="2" t="n">
        <v>46323.67777777778</v>
      </c>
      <c r="F1711" t="inlineStr">
        <is>
          <t>M6</t>
        </is>
      </c>
      <c r="G1711" t="inlineStr">
        <is>
          <t>C2</t>
        </is>
      </c>
      <c r="H1711" s="2" t="n">
        <v>46322.74375</v>
      </c>
      <c r="I1711" s="2" t="n">
        <v>46323.48541666667</v>
      </c>
      <c r="J1711" t="inlineStr">
        <is>
          <t>Completed</t>
        </is>
      </c>
      <c r="K1711" t="n">
        <v>3.39</v>
      </c>
      <c r="L1711" t="n">
        <v>8</v>
      </c>
      <c r="M1711" t="b">
        <v>0</v>
      </c>
      <c r="N1711" t="n">
        <v>0</v>
      </c>
      <c r="O1711" t="b">
        <v>1</v>
      </c>
      <c r="P1711" t="b">
        <v>0</v>
      </c>
      <c r="Q1711" t="b">
        <v>1</v>
      </c>
    </row>
    <row r="1712">
      <c r="A1712" t="inlineStr">
        <is>
          <t>REQ01711</t>
        </is>
      </c>
      <c r="B1712" t="inlineStr">
        <is>
          <t>6488U6HVOKW9O3460098</t>
        </is>
      </c>
      <c r="C1712" t="inlineStr">
        <is>
          <t>document_refresh</t>
        </is>
      </c>
      <c r="D1712" s="2" t="n">
        <v>46322.72291666667</v>
      </c>
      <c r="E1712" s="2" t="n">
        <v>46324.47291666667</v>
      </c>
      <c r="F1712" t="inlineStr">
        <is>
          <t>M3</t>
        </is>
      </c>
      <c r="G1712" t="inlineStr">
        <is>
          <t>C2</t>
        </is>
      </c>
      <c r="H1712" s="2" t="n">
        <v>46322.73958333334</v>
      </c>
      <c r="I1712" s="2" t="n">
        <v>46323.58472222222</v>
      </c>
      <c r="J1712" t="inlineStr">
        <is>
          <t>Completed</t>
        </is>
      </c>
      <c r="K1712" t="n">
        <v>5.69</v>
      </c>
      <c r="L1712" t="n">
        <v>12</v>
      </c>
      <c r="M1712" t="b">
        <v>0</v>
      </c>
      <c r="N1712" t="n">
        <v>0</v>
      </c>
      <c r="O1712" t="b">
        <v>1</v>
      </c>
      <c r="P1712" t="b">
        <v>0</v>
      </c>
      <c r="Q1712" t="b">
        <v>1</v>
      </c>
    </row>
    <row r="1713">
      <c r="A1713" t="inlineStr">
        <is>
          <t>REQ01712</t>
        </is>
      </c>
      <c r="B1713" t="inlineStr">
        <is>
          <t>89450022O5S4R1YB9R83</t>
        </is>
      </c>
      <c r="C1713" t="inlineStr">
        <is>
          <t>new_account</t>
        </is>
      </c>
      <c r="D1713" s="2" t="n">
        <v>46322.725</v>
      </c>
      <c r="E1713" s="2" t="n">
        <v>46324.64166666667</v>
      </c>
      <c r="F1713" t="inlineStr">
        <is>
          <t>M4</t>
        </is>
      </c>
      <c r="G1713" t="inlineStr">
        <is>
          <t>C2</t>
        </is>
      </c>
      <c r="H1713" s="2" t="n">
        <v>46323.38541666666</v>
      </c>
      <c r="I1713" s="2" t="n">
        <v>46323.54861111111</v>
      </c>
      <c r="J1713" t="inlineStr">
        <is>
          <t>Completed</t>
        </is>
      </c>
      <c r="K1713" t="n">
        <v>4.76</v>
      </c>
      <c r="L1713" t="n">
        <v>16</v>
      </c>
      <c r="M1713" t="b">
        <v>0</v>
      </c>
      <c r="N1713" t="n">
        <v>0</v>
      </c>
      <c r="O1713" t="b">
        <v>1</v>
      </c>
      <c r="P1713" t="b">
        <v>0</v>
      </c>
      <c r="Q1713" t="b">
        <v>1</v>
      </c>
    </row>
    <row r="1714">
      <c r="A1714" t="inlineStr">
        <is>
          <t>REQ01713</t>
        </is>
      </c>
      <c r="B1714" t="inlineStr">
        <is>
          <t>5493001YX5TJ4SSAGB67</t>
        </is>
      </c>
      <c r="C1714" t="inlineStr">
        <is>
          <t>data_amendment</t>
        </is>
      </c>
      <c r="D1714" s="2" t="n">
        <v>46322.73263888889</v>
      </c>
      <c r="E1714" s="2" t="n">
        <v>46323.69097222222</v>
      </c>
      <c r="F1714" t="inlineStr">
        <is>
          <t>M2</t>
        </is>
      </c>
      <c r="G1714" t="inlineStr">
        <is>
          <t>C3</t>
        </is>
      </c>
      <c r="H1714" s="2" t="n">
        <v>46322.74027777778</v>
      </c>
      <c r="I1714" s="2" t="n">
        <v>46322.74444444444</v>
      </c>
      <c r="J1714" t="inlineStr">
        <is>
          <t>Completed</t>
        </is>
      </c>
      <c r="K1714" t="n">
        <v>0.28</v>
      </c>
      <c r="L1714" t="n">
        <v>8</v>
      </c>
      <c r="M1714" t="b">
        <v>0</v>
      </c>
      <c r="N1714" t="n">
        <v>0</v>
      </c>
      <c r="O1714" t="b">
        <v>1</v>
      </c>
      <c r="P1714" t="b">
        <v>0</v>
      </c>
      <c r="Q1714" t="b">
        <v>0</v>
      </c>
    </row>
    <row r="1715">
      <c r="A1715" t="inlineStr">
        <is>
          <t>REQ01714</t>
        </is>
      </c>
      <c r="B1715" t="inlineStr">
        <is>
          <t>549300GLANC4J01GKL36</t>
        </is>
      </c>
      <c r="C1715" t="inlineStr">
        <is>
          <t>data_amendment</t>
        </is>
      </c>
      <c r="D1715" s="2" t="n">
        <v>46322.73472222222</v>
      </c>
      <c r="E1715" s="2" t="n">
        <v>46323.69305555556</v>
      </c>
      <c r="F1715" t="inlineStr">
        <is>
          <t>M5</t>
        </is>
      </c>
      <c r="G1715" t="inlineStr">
        <is>
          <t>C3</t>
        </is>
      </c>
      <c r="H1715" s="2" t="n">
        <v>46322.74375</v>
      </c>
      <c r="I1715" s="2" t="n">
        <v>46323.61875</v>
      </c>
      <c r="J1715" t="inlineStr">
        <is>
          <t>Completed</t>
        </is>
      </c>
      <c r="K1715" t="n">
        <v>6.22</v>
      </c>
      <c r="L1715" t="n">
        <v>8</v>
      </c>
      <c r="M1715" t="b">
        <v>0</v>
      </c>
      <c r="N1715" t="n">
        <v>0</v>
      </c>
      <c r="O1715" t="b">
        <v>1</v>
      </c>
      <c r="P1715" t="b">
        <v>0</v>
      </c>
      <c r="Q1715" t="b">
        <v>1</v>
      </c>
    </row>
    <row r="1716">
      <c r="A1716" t="inlineStr">
        <is>
          <t>REQ01715</t>
        </is>
      </c>
      <c r="B1716" t="inlineStr">
        <is>
          <t>894500895Y3Y3CE4C316</t>
        </is>
      </c>
      <c r="C1716" t="inlineStr">
        <is>
          <t>new_account</t>
        </is>
      </c>
      <c r="D1716" s="2" t="n">
        <v>46322.73888888889</v>
      </c>
      <c r="E1716" s="2" t="n">
        <v>46324.65555555555</v>
      </c>
      <c r="F1716" t="inlineStr">
        <is>
          <t>M1</t>
        </is>
      </c>
      <c r="G1716" t="inlineStr">
        <is>
          <t>C2</t>
        </is>
      </c>
      <c r="H1716" s="2" t="n">
        <v>46323.39236111111</v>
      </c>
      <c r="I1716" s="2" t="n">
        <v>46323.61666666667</v>
      </c>
      <c r="J1716" t="inlineStr">
        <is>
          <t>Completed</t>
        </is>
      </c>
      <c r="K1716" t="n">
        <v>6.07</v>
      </c>
      <c r="L1716" t="n">
        <v>16</v>
      </c>
      <c r="M1716" t="b">
        <v>0</v>
      </c>
      <c r="N1716" t="n">
        <v>0</v>
      </c>
      <c r="O1716" t="b">
        <v>1</v>
      </c>
      <c r="P1716" t="b">
        <v>0</v>
      </c>
      <c r="Q1716" t="b">
        <v>1</v>
      </c>
    </row>
    <row r="1717">
      <c r="A1717" t="inlineStr">
        <is>
          <t>REQ01716</t>
        </is>
      </c>
      <c r="B1717" t="inlineStr">
        <is>
          <t>213800KZPO22TTYYWD11</t>
        </is>
      </c>
      <c r="C1717" t="inlineStr">
        <is>
          <t>data_amendment</t>
        </is>
      </c>
      <c r="D1717" s="2" t="n">
        <v>46323.37638888889</v>
      </c>
      <c r="E1717" s="2" t="n">
        <v>46323.70972222222</v>
      </c>
      <c r="F1717" t="inlineStr">
        <is>
          <t>M3</t>
        </is>
      </c>
      <c r="G1717" t="inlineStr">
        <is>
          <t>C1</t>
        </is>
      </c>
      <c r="H1717" s="2" t="n">
        <v>46323.38888888889</v>
      </c>
      <c r="I1717" s="2" t="n">
        <v>46323.52847222222</v>
      </c>
      <c r="J1717" t="inlineStr">
        <is>
          <t>Completed</t>
        </is>
      </c>
      <c r="K1717" t="n">
        <v>3.65</v>
      </c>
      <c r="L1717" t="n">
        <v>8</v>
      </c>
      <c r="M1717" t="b">
        <v>0</v>
      </c>
      <c r="N1717" t="n">
        <v>0</v>
      </c>
      <c r="O1717" t="b">
        <v>1</v>
      </c>
      <c r="P1717" t="b">
        <v>0</v>
      </c>
      <c r="Q1717" t="b">
        <v>1</v>
      </c>
    </row>
    <row r="1718">
      <c r="A1718" t="inlineStr">
        <is>
          <t>REQ01717</t>
        </is>
      </c>
      <c r="B1718" t="inlineStr">
        <is>
          <t>549300SQAD8MJ0O1G566</t>
        </is>
      </c>
      <c r="C1718" t="inlineStr">
        <is>
          <t>data_amendment</t>
        </is>
      </c>
      <c r="D1718" s="2" t="n">
        <v>46323.38472222222</v>
      </c>
      <c r="E1718" s="2" t="n">
        <v>46323.71805555555</v>
      </c>
      <c r="F1718" t="inlineStr">
        <is>
          <t>M2</t>
        </is>
      </c>
      <c r="G1718" t="inlineStr">
        <is>
          <t>C3</t>
        </is>
      </c>
      <c r="H1718" s="2" t="n">
        <v>46323.39236111111</v>
      </c>
      <c r="I1718" s="2" t="n">
        <v>46323.39722222222</v>
      </c>
      <c r="J1718" t="inlineStr">
        <is>
          <t>Completed</t>
        </is>
      </c>
      <c r="K1718" t="n">
        <v>0.29</v>
      </c>
      <c r="L1718" t="n">
        <v>8</v>
      </c>
      <c r="M1718" t="b">
        <v>0</v>
      </c>
      <c r="N1718" t="n">
        <v>0</v>
      </c>
      <c r="O1718" t="b">
        <v>1</v>
      </c>
      <c r="P1718" t="b">
        <v>0</v>
      </c>
      <c r="Q1718" t="b">
        <v>0</v>
      </c>
    </row>
    <row r="1719">
      <c r="A1719" t="inlineStr">
        <is>
          <t>REQ01718</t>
        </is>
      </c>
      <c r="B1719" t="inlineStr">
        <is>
          <t>875500LJI1ZAXNJ5KY65</t>
        </is>
      </c>
      <c r="C1719" t="inlineStr">
        <is>
          <t>data_amendment</t>
        </is>
      </c>
      <c r="D1719" s="2" t="n">
        <v>46323.38541666666</v>
      </c>
      <c r="E1719" s="2" t="n">
        <v>46323.71875</v>
      </c>
      <c r="F1719" t="inlineStr">
        <is>
          <t>M6</t>
        </is>
      </c>
      <c r="G1719" t="inlineStr">
        <is>
          <t>C1</t>
        </is>
      </c>
      <c r="H1719" s="2" t="n">
        <v>46323.39652777778</v>
      </c>
      <c r="I1719" s="2" t="n">
        <v>46323.62013888889</v>
      </c>
      <c r="J1719" t="inlineStr">
        <is>
          <t>Completed</t>
        </is>
      </c>
      <c r="K1719" t="n">
        <v>5.63</v>
      </c>
      <c r="L1719" t="n">
        <v>8</v>
      </c>
      <c r="M1719" t="b">
        <v>0</v>
      </c>
      <c r="N1719" t="n">
        <v>0</v>
      </c>
      <c r="O1719" t="b">
        <v>1</v>
      </c>
      <c r="P1719" t="b">
        <v>0</v>
      </c>
      <c r="Q1719" t="b">
        <v>1</v>
      </c>
    </row>
    <row r="1720">
      <c r="A1720" t="inlineStr">
        <is>
          <t>REQ01719</t>
        </is>
      </c>
      <c r="B1720" t="inlineStr">
        <is>
          <t>335800PGRWB7WRMY8286</t>
        </is>
      </c>
      <c r="C1720" t="inlineStr">
        <is>
          <t>document_refresh</t>
        </is>
      </c>
      <c r="D1720" s="2" t="n">
        <v>46323.38611111111</v>
      </c>
      <c r="E1720" s="2" t="n">
        <v>46324.51111111111</v>
      </c>
      <c r="F1720" t="inlineStr">
        <is>
          <t>M5</t>
        </is>
      </c>
      <c r="G1720" t="inlineStr">
        <is>
          <t>C3</t>
        </is>
      </c>
      <c r="H1720" s="2" t="n">
        <v>46323.39861111111</v>
      </c>
      <c r="I1720" s="2" t="n">
        <v>46323.59375</v>
      </c>
      <c r="J1720" t="inlineStr">
        <is>
          <t>Completed</t>
        </is>
      </c>
      <c r="K1720" t="n">
        <v>4.98</v>
      </c>
      <c r="L1720" t="n">
        <v>12</v>
      </c>
      <c r="M1720" t="b">
        <v>0</v>
      </c>
      <c r="N1720" t="n">
        <v>0</v>
      </c>
      <c r="O1720" t="b">
        <v>1</v>
      </c>
      <c r="P1720" t="b">
        <v>0</v>
      </c>
      <c r="Q1720" t="b">
        <v>1</v>
      </c>
    </row>
    <row r="1721">
      <c r="A1721" t="inlineStr">
        <is>
          <t>REQ01720</t>
        </is>
      </c>
      <c r="B1721" t="inlineStr">
        <is>
          <t>549300JMWGEYZEC6GK98</t>
        </is>
      </c>
      <c r="C1721" t="inlineStr">
        <is>
          <t>signatory_change</t>
        </is>
      </c>
      <c r="D1721" s="2" t="n">
        <v>46323.38819444444</v>
      </c>
      <c r="E1721" s="2" t="n">
        <v>46323.72152777778</v>
      </c>
      <c r="F1721" t="inlineStr">
        <is>
          <t>M4</t>
        </is>
      </c>
      <c r="G1721" t="inlineStr">
        <is>
          <t>C1</t>
        </is>
      </c>
      <c r="H1721" s="2" t="n">
        <v>46323.40625</v>
      </c>
      <c r="I1721" s="2" t="n">
        <v>46323.41319444445</v>
      </c>
      <c r="J1721" t="inlineStr">
        <is>
          <t>Completed</t>
        </is>
      </c>
      <c r="K1721" t="n">
        <v>0.6</v>
      </c>
      <c r="L1721" t="n">
        <v>8</v>
      </c>
      <c r="M1721" t="b">
        <v>0</v>
      </c>
      <c r="N1721" t="n">
        <v>0</v>
      </c>
      <c r="O1721" t="b">
        <v>1</v>
      </c>
      <c r="P1721" t="b">
        <v>0</v>
      </c>
      <c r="Q1721" t="b">
        <v>0</v>
      </c>
    </row>
    <row r="1722">
      <c r="A1722" t="inlineStr">
        <is>
          <t>REQ01721</t>
        </is>
      </c>
      <c r="B1722" t="inlineStr">
        <is>
          <t>724500H1IVLQHNYZTV03</t>
        </is>
      </c>
      <c r="C1722" t="inlineStr">
        <is>
          <t>document_refresh</t>
        </is>
      </c>
      <c r="D1722" s="2" t="n">
        <v>46323.39027777778</v>
      </c>
      <c r="E1722" s="2" t="n">
        <v>46324.51527777778</v>
      </c>
      <c r="F1722" t="inlineStr">
        <is>
          <t>M3</t>
        </is>
      </c>
      <c r="G1722" t="inlineStr">
        <is>
          <t>C2</t>
        </is>
      </c>
      <c r="H1722" s="2" t="n">
        <v>46323.40625</v>
      </c>
      <c r="I1722" s="2" t="n">
        <v>46323.53680555556</v>
      </c>
      <c r="J1722" t="inlineStr">
        <is>
          <t>Completed</t>
        </is>
      </c>
      <c r="K1722" t="n">
        <v>3.52</v>
      </c>
      <c r="L1722" t="n">
        <v>12</v>
      </c>
      <c r="M1722" t="b">
        <v>0</v>
      </c>
      <c r="N1722" t="n">
        <v>0</v>
      </c>
      <c r="O1722" t="b">
        <v>1</v>
      </c>
      <c r="P1722" t="b">
        <v>0</v>
      </c>
      <c r="Q1722" t="b">
        <v>1</v>
      </c>
    </row>
    <row r="1723">
      <c r="A1723" t="inlineStr">
        <is>
          <t>REQ01722</t>
        </is>
      </c>
      <c r="B1723" t="inlineStr">
        <is>
          <t>54930067FEN6P75XLU69</t>
        </is>
      </c>
      <c r="C1723" t="inlineStr">
        <is>
          <t>signatory_change</t>
        </is>
      </c>
      <c r="D1723" s="2" t="n">
        <v>46323.40208333333</v>
      </c>
      <c r="E1723" s="2" t="n">
        <v>46323.73541666667</v>
      </c>
      <c r="F1723" t="inlineStr">
        <is>
          <t>M2</t>
        </is>
      </c>
      <c r="G1723" t="inlineStr">
        <is>
          <t>C1</t>
        </is>
      </c>
      <c r="H1723" s="2" t="n">
        <v>46323.42847222222</v>
      </c>
      <c r="I1723" s="2" t="n">
        <v>46323.43680555555</v>
      </c>
      <c r="J1723" t="inlineStr">
        <is>
          <t>Completed</t>
        </is>
      </c>
      <c r="K1723" t="n">
        <v>0.83</v>
      </c>
      <c r="L1723" t="n">
        <v>8</v>
      </c>
      <c r="M1723" t="b">
        <v>0</v>
      </c>
      <c r="N1723" t="n">
        <v>0</v>
      </c>
      <c r="O1723" t="b">
        <v>1</v>
      </c>
      <c r="P1723" t="b">
        <v>0</v>
      </c>
      <c r="Q1723" t="b">
        <v>0</v>
      </c>
    </row>
    <row r="1724">
      <c r="A1724" t="inlineStr">
        <is>
          <t>REQ01723</t>
        </is>
      </c>
      <c r="B1724" t="inlineStr">
        <is>
          <t>969500SFV0IMUQFEJG68</t>
        </is>
      </c>
      <c r="C1724" t="inlineStr">
        <is>
          <t>new_account</t>
        </is>
      </c>
      <c r="D1724" s="2" t="n">
        <v>46323.40416666667</v>
      </c>
      <c r="E1724" s="2" t="n">
        <v>46324.69583333333</v>
      </c>
      <c r="F1724" t="inlineStr">
        <is>
          <t>M1</t>
        </is>
      </c>
      <c r="G1724" t="inlineStr">
        <is>
          <t>C1</t>
        </is>
      </c>
      <c r="H1724" s="2" t="n">
        <v>46323.43472222222</v>
      </c>
      <c r="I1724" s="2" t="n">
        <v>46323.56388888889</v>
      </c>
      <c r="J1724" t="inlineStr">
        <is>
          <t>Completed</t>
        </is>
      </c>
      <c r="K1724" t="n">
        <v>3.83</v>
      </c>
      <c r="L1724" t="n">
        <v>16</v>
      </c>
      <c r="M1724" t="b">
        <v>0</v>
      </c>
      <c r="N1724" t="n">
        <v>0</v>
      </c>
      <c r="O1724" t="b">
        <v>1</v>
      </c>
      <c r="P1724" t="b">
        <v>0</v>
      </c>
      <c r="Q1724" t="b">
        <v>1</v>
      </c>
    </row>
    <row r="1725">
      <c r="A1725" t="inlineStr">
        <is>
          <t>REQ01724</t>
        </is>
      </c>
      <c r="B1725" t="inlineStr">
        <is>
          <t>213800L5SOS87G7SOJ25</t>
        </is>
      </c>
      <c r="C1725" t="inlineStr">
        <is>
          <t>document_refresh</t>
        </is>
      </c>
      <c r="D1725" s="2" t="n">
        <v>46323.40625</v>
      </c>
      <c r="E1725" s="2" t="n">
        <v>46324.53125</v>
      </c>
      <c r="F1725" t="inlineStr">
        <is>
          <t>M6</t>
        </is>
      </c>
      <c r="G1725" t="inlineStr">
        <is>
          <t>C3</t>
        </is>
      </c>
      <c r="H1725" s="2" t="n">
        <v>46323.41944444444</v>
      </c>
      <c r="I1725" s="2" t="n">
        <v>46323.42361111111</v>
      </c>
      <c r="J1725" t="inlineStr">
        <is>
          <t>Completed</t>
        </is>
      </c>
      <c r="K1725" t="n">
        <v>0.41</v>
      </c>
      <c r="L1725" t="n">
        <v>12</v>
      </c>
      <c r="M1725" t="b">
        <v>0</v>
      </c>
      <c r="N1725" t="n">
        <v>0</v>
      </c>
      <c r="O1725" t="b">
        <v>1</v>
      </c>
      <c r="P1725" t="b">
        <v>0</v>
      </c>
      <c r="Q1725" t="b">
        <v>0</v>
      </c>
    </row>
    <row r="1726">
      <c r="A1726" t="inlineStr">
        <is>
          <t>REQ01725</t>
        </is>
      </c>
      <c r="B1726" t="inlineStr">
        <is>
          <t>894500UL203U4ZLMZ277</t>
        </is>
      </c>
      <c r="C1726" t="inlineStr">
        <is>
          <t>document_refresh</t>
        </is>
      </c>
      <c r="D1726" s="2" t="n">
        <v>46323.41805555556</v>
      </c>
      <c r="E1726" s="2" t="n">
        <v>46324.54305555556</v>
      </c>
      <c r="F1726" t="inlineStr">
        <is>
          <t>M5</t>
        </is>
      </c>
      <c r="G1726" t="inlineStr">
        <is>
          <t>C3</t>
        </is>
      </c>
      <c r="H1726" s="2" t="n">
        <v>46323.42847222222</v>
      </c>
      <c r="I1726" s="2" t="n">
        <v>46323.54652777778</v>
      </c>
      <c r="J1726" t="inlineStr">
        <is>
          <t>Completed</t>
        </is>
      </c>
      <c r="K1726" t="n">
        <v>3.09</v>
      </c>
      <c r="L1726" t="n">
        <v>12</v>
      </c>
      <c r="M1726" t="b">
        <v>0</v>
      </c>
      <c r="N1726" t="n">
        <v>0</v>
      </c>
      <c r="O1726" t="b">
        <v>1</v>
      </c>
      <c r="P1726" t="b">
        <v>0</v>
      </c>
      <c r="Q1726" t="b">
        <v>1</v>
      </c>
    </row>
    <row r="1727">
      <c r="A1727" t="inlineStr">
        <is>
          <t>REQ01726</t>
        </is>
      </c>
      <c r="B1727" t="inlineStr">
        <is>
          <t>98450000615CEBNSBO11</t>
        </is>
      </c>
      <c r="C1727" t="inlineStr">
        <is>
          <t>document_refresh</t>
        </is>
      </c>
      <c r="D1727" s="2" t="n">
        <v>46323.41944444444</v>
      </c>
      <c r="E1727" s="2" t="n">
        <v>46324.54444444444</v>
      </c>
      <c r="F1727" t="inlineStr">
        <is>
          <t>M3</t>
        </is>
      </c>
      <c r="G1727" t="inlineStr">
        <is>
          <t>C2</t>
        </is>
      </c>
      <c r="H1727" s="2" t="n">
        <v>46323.43333333333</v>
      </c>
      <c r="I1727" s="2" t="n">
        <v>46323.6</v>
      </c>
      <c r="J1727" t="inlineStr">
        <is>
          <t>Completed</t>
        </is>
      </c>
      <c r="K1727" t="n">
        <v>4.33</v>
      </c>
      <c r="L1727" t="n">
        <v>12</v>
      </c>
      <c r="M1727" t="b">
        <v>0</v>
      </c>
      <c r="N1727" t="n">
        <v>0</v>
      </c>
      <c r="O1727" t="b">
        <v>1</v>
      </c>
      <c r="P1727" t="b">
        <v>0</v>
      </c>
      <c r="Q1727" t="b">
        <v>1</v>
      </c>
    </row>
    <row r="1728">
      <c r="A1728" t="inlineStr">
        <is>
          <t>REQ01727</t>
        </is>
      </c>
      <c r="B1728" t="inlineStr">
        <is>
          <t>894500JPCUDPXZORYM13</t>
        </is>
      </c>
      <c r="C1728" t="inlineStr">
        <is>
          <t>new_account</t>
        </is>
      </c>
      <c r="D1728" s="2" t="n">
        <v>46323.41944444444</v>
      </c>
      <c r="E1728" s="2" t="n">
        <v>46324.71111111111</v>
      </c>
      <c r="F1728" t="inlineStr">
        <is>
          <t>M4</t>
        </is>
      </c>
      <c r="G1728" t="inlineStr">
        <is>
          <t>C1</t>
        </is>
      </c>
      <c r="H1728" s="2" t="n">
        <v>46323.44861111111</v>
      </c>
      <c r="I1728" s="2" t="n">
        <v>46323.57430555556</v>
      </c>
      <c r="J1728" t="inlineStr">
        <is>
          <t>Completed</t>
        </is>
      </c>
      <c r="K1728" t="n">
        <v>3.71</v>
      </c>
      <c r="L1728" t="n">
        <v>16</v>
      </c>
      <c r="M1728" t="b">
        <v>0</v>
      </c>
      <c r="N1728" t="n">
        <v>0</v>
      </c>
      <c r="O1728" t="b">
        <v>1</v>
      </c>
      <c r="P1728" t="b">
        <v>0</v>
      </c>
      <c r="Q1728" t="b">
        <v>1</v>
      </c>
    </row>
    <row r="1729">
      <c r="A1729" t="inlineStr">
        <is>
          <t>REQ01728</t>
        </is>
      </c>
      <c r="B1729" t="inlineStr">
        <is>
          <t>549300W7BB1BEL78MJ93</t>
        </is>
      </c>
      <c r="C1729" t="inlineStr">
        <is>
          <t>document_refresh</t>
        </is>
      </c>
      <c r="D1729" s="2" t="n">
        <v>46323.42638888889</v>
      </c>
      <c r="E1729" s="2" t="n">
        <v>46324.55138888889</v>
      </c>
      <c r="F1729" t="inlineStr">
        <is>
          <t>M6</t>
        </is>
      </c>
      <c r="G1729" t="inlineStr">
        <is>
          <t>C1</t>
        </is>
      </c>
      <c r="H1729" s="2" t="n">
        <v>46323.43888888889</v>
      </c>
      <c r="I1729" s="2" t="n">
        <v>46323.64444444444</v>
      </c>
      <c r="J1729" t="inlineStr">
        <is>
          <t>Completed</t>
        </is>
      </c>
      <c r="K1729" t="n">
        <v>5.24</v>
      </c>
      <c r="L1729" t="n">
        <v>12</v>
      </c>
      <c r="M1729" t="b">
        <v>0</v>
      </c>
      <c r="N1729" t="n">
        <v>0</v>
      </c>
      <c r="O1729" t="b">
        <v>1</v>
      </c>
      <c r="P1729" t="b">
        <v>0</v>
      </c>
      <c r="Q1729" t="b">
        <v>1</v>
      </c>
    </row>
    <row r="1730">
      <c r="A1730" t="inlineStr">
        <is>
          <t>REQ01729</t>
        </is>
      </c>
      <c r="B1730" t="inlineStr">
        <is>
          <t>549300YMMW64T2N7CU17</t>
        </is>
      </c>
      <c r="C1730" t="inlineStr">
        <is>
          <t>signatory_change</t>
        </is>
      </c>
      <c r="D1730" s="2" t="n">
        <v>46323.43055555555</v>
      </c>
      <c r="E1730" s="2" t="n">
        <v>46324.38888888889</v>
      </c>
      <c r="F1730" t="inlineStr">
        <is>
          <t>M2</t>
        </is>
      </c>
      <c r="G1730" t="inlineStr">
        <is>
          <t>C2</t>
        </is>
      </c>
      <c r="H1730" s="2" t="n">
        <v>46323.44861111111</v>
      </c>
      <c r="I1730" s="2" t="n">
        <v>46323.70555555556</v>
      </c>
      <c r="J1730" t="inlineStr">
        <is>
          <t>Completed</t>
        </is>
      </c>
      <c r="K1730" t="n">
        <v>6.6</v>
      </c>
      <c r="L1730" t="n">
        <v>8</v>
      </c>
      <c r="M1730" t="b">
        <v>0</v>
      </c>
      <c r="N1730" t="n">
        <v>0</v>
      </c>
      <c r="O1730" t="b">
        <v>1</v>
      </c>
      <c r="P1730" t="b">
        <v>0</v>
      </c>
      <c r="Q1730" t="b">
        <v>1</v>
      </c>
    </row>
    <row r="1731">
      <c r="A1731" t="inlineStr">
        <is>
          <t>REQ01730</t>
        </is>
      </c>
      <c r="B1731" t="inlineStr">
        <is>
          <t>213800MRESSNX9H2D107</t>
        </is>
      </c>
      <c r="C1731" t="inlineStr">
        <is>
          <t>data_amendment</t>
        </is>
      </c>
      <c r="D1731" s="2" t="n">
        <v>46323.43680555555</v>
      </c>
      <c r="E1731" s="2" t="n">
        <v>46324.39513888889</v>
      </c>
      <c r="F1731" t="inlineStr">
        <is>
          <t>M5</t>
        </is>
      </c>
      <c r="G1731" t="inlineStr">
        <is>
          <t>C3</t>
        </is>
      </c>
      <c r="H1731" s="2" t="n">
        <v>46323.44652777778</v>
      </c>
      <c r="I1731" s="2" t="n">
        <v>46323.45138888889</v>
      </c>
      <c r="J1731" t="inlineStr">
        <is>
          <t>Completed</t>
        </is>
      </c>
      <c r="K1731" t="n">
        <v>0.35</v>
      </c>
      <c r="L1731" t="n">
        <v>8</v>
      </c>
      <c r="M1731" t="b">
        <v>0</v>
      </c>
      <c r="N1731" t="n">
        <v>0</v>
      </c>
      <c r="O1731" t="b">
        <v>1</v>
      </c>
      <c r="P1731" t="b">
        <v>0</v>
      </c>
      <c r="Q1731" t="b">
        <v>0</v>
      </c>
    </row>
    <row r="1732">
      <c r="A1732" t="inlineStr">
        <is>
          <t>REQ01731</t>
        </is>
      </c>
      <c r="B1732" t="inlineStr">
        <is>
          <t>3OQOCPKUZCQOP7F5Z687</t>
        </is>
      </c>
      <c r="C1732" t="inlineStr">
        <is>
          <t>document_refresh</t>
        </is>
      </c>
      <c r="D1732" s="2" t="n">
        <v>46323.43680555555</v>
      </c>
      <c r="E1732" s="2" t="n">
        <v>46324.56180555555</v>
      </c>
      <c r="F1732" t="inlineStr">
        <is>
          <t>M3</t>
        </is>
      </c>
      <c r="G1732" t="inlineStr">
        <is>
          <t>C1</t>
        </is>
      </c>
      <c r="H1732" s="2" t="n">
        <v>46323.45486111111</v>
      </c>
      <c r="I1732" s="2" t="n">
        <v>46323.55069444444</v>
      </c>
      <c r="J1732" t="inlineStr">
        <is>
          <t>Completed</t>
        </is>
      </c>
      <c r="K1732" t="n">
        <v>2.74</v>
      </c>
      <c r="L1732" t="n">
        <v>12</v>
      </c>
      <c r="M1732" t="b">
        <v>0</v>
      </c>
      <c r="N1732" t="n">
        <v>0</v>
      </c>
      <c r="O1732" t="b">
        <v>1</v>
      </c>
      <c r="P1732" t="b">
        <v>0</v>
      </c>
      <c r="Q1732" t="b">
        <v>1</v>
      </c>
    </row>
    <row r="1733">
      <c r="A1733" t="inlineStr">
        <is>
          <t>REQ01732</t>
        </is>
      </c>
      <c r="B1733" t="inlineStr">
        <is>
          <t>969500WS0E75B8QJH717</t>
        </is>
      </c>
      <c r="C1733" t="inlineStr">
        <is>
          <t>data_amendment</t>
        </is>
      </c>
      <c r="D1733" s="2" t="n">
        <v>46323.44097222222</v>
      </c>
      <c r="E1733" s="2" t="n">
        <v>46324.39930555555</v>
      </c>
      <c r="F1733" t="inlineStr">
        <is>
          <t>M1</t>
        </is>
      </c>
      <c r="G1733" t="inlineStr">
        <is>
          <t>C1</t>
        </is>
      </c>
      <c r="H1733" s="2" t="n">
        <v>46323.45277777778</v>
      </c>
      <c r="I1733" s="2" t="n">
        <v>46323.45694444444</v>
      </c>
      <c r="J1733" t="inlineStr">
        <is>
          <t>Completed</t>
        </is>
      </c>
      <c r="K1733" t="n">
        <v>0.39</v>
      </c>
      <c r="L1733" t="n">
        <v>8</v>
      </c>
      <c r="M1733" t="b">
        <v>0</v>
      </c>
      <c r="N1733" t="n">
        <v>0</v>
      </c>
      <c r="O1733" t="b">
        <v>1</v>
      </c>
      <c r="P1733" t="b">
        <v>0</v>
      </c>
      <c r="Q1733" t="b">
        <v>0</v>
      </c>
    </row>
    <row r="1734">
      <c r="A1734" t="inlineStr">
        <is>
          <t>REQ01733</t>
        </is>
      </c>
      <c r="B1734" t="inlineStr">
        <is>
          <t>969500SFV0IMUQFEJG68</t>
        </is>
      </c>
      <c r="C1734" t="inlineStr">
        <is>
          <t>document_refresh</t>
        </is>
      </c>
      <c r="D1734" s="2" t="n">
        <v>46323.44444444445</v>
      </c>
      <c r="E1734" s="2" t="n">
        <v>46324.56944444445</v>
      </c>
      <c r="F1734" t="inlineStr">
        <is>
          <t>M6</t>
        </is>
      </c>
      <c r="G1734" t="inlineStr">
        <is>
          <t>C2</t>
        </is>
      </c>
      <c r="H1734" s="2" t="n">
        <v>46323.46180555555</v>
      </c>
      <c r="I1734" s="2" t="n">
        <v>46323.55277777778</v>
      </c>
      <c r="J1734" t="inlineStr">
        <is>
          <t>Completed</t>
        </is>
      </c>
      <c r="K1734" t="n">
        <v>2.6</v>
      </c>
      <c r="L1734" t="n">
        <v>12</v>
      </c>
      <c r="M1734" t="b">
        <v>0</v>
      </c>
      <c r="N1734" t="n">
        <v>0</v>
      </c>
      <c r="O1734" t="b">
        <v>1</v>
      </c>
      <c r="P1734" t="b">
        <v>0</v>
      </c>
      <c r="Q1734" t="b">
        <v>1</v>
      </c>
    </row>
    <row r="1735">
      <c r="A1735" t="inlineStr">
        <is>
          <t>REQ01734</t>
        </is>
      </c>
      <c r="B1735" t="inlineStr">
        <is>
          <t>969500G2ATAMYGLCT423</t>
        </is>
      </c>
      <c r="C1735" t="inlineStr">
        <is>
          <t>document_refresh</t>
        </is>
      </c>
      <c r="D1735" s="2" t="n">
        <v>46323.44861111111</v>
      </c>
      <c r="E1735" s="2" t="n">
        <v>46324.57361111111</v>
      </c>
      <c r="F1735" t="inlineStr">
        <is>
          <t>M5</t>
        </is>
      </c>
      <c r="G1735" t="inlineStr">
        <is>
          <t>C2</t>
        </is>
      </c>
      <c r="H1735" s="2" t="n">
        <v>46323.45972222222</v>
      </c>
      <c r="I1735" s="2" t="n">
        <v>46323.46597222222</v>
      </c>
      <c r="J1735" t="inlineStr">
        <is>
          <t>Completed</t>
        </is>
      </c>
      <c r="K1735" t="n">
        <v>0.42</v>
      </c>
      <c r="L1735" t="n">
        <v>12</v>
      </c>
      <c r="M1735" t="b">
        <v>0</v>
      </c>
      <c r="N1735" t="n">
        <v>0</v>
      </c>
      <c r="O1735" t="b">
        <v>1</v>
      </c>
      <c r="P1735" t="b">
        <v>0</v>
      </c>
      <c r="Q1735" t="b">
        <v>0</v>
      </c>
    </row>
    <row r="1736">
      <c r="A1736" t="inlineStr">
        <is>
          <t>REQ01735</t>
        </is>
      </c>
      <c r="B1736" t="inlineStr">
        <is>
          <t>969500I5X6NVK21NYA62</t>
        </is>
      </c>
      <c r="C1736" t="inlineStr">
        <is>
          <t>new_account</t>
        </is>
      </c>
      <c r="D1736" s="2" t="n">
        <v>46323.45416666667</v>
      </c>
      <c r="E1736" s="2" t="n">
        <v>46324.74583333333</v>
      </c>
      <c r="F1736" t="inlineStr">
        <is>
          <t>M4</t>
        </is>
      </c>
      <c r="G1736" t="inlineStr">
        <is>
          <t>C2</t>
        </is>
      </c>
      <c r="H1736" s="2" t="n">
        <v>46323.48402777778</v>
      </c>
      <c r="I1736" s="2" t="n">
        <v>46323.57847222222</v>
      </c>
      <c r="J1736" t="inlineStr">
        <is>
          <t>Completed</t>
        </is>
      </c>
      <c r="K1736" t="n">
        <v>2.98</v>
      </c>
      <c r="L1736" t="n">
        <v>16</v>
      </c>
      <c r="M1736" t="b">
        <v>0</v>
      </c>
      <c r="N1736" t="n">
        <v>0</v>
      </c>
      <c r="O1736" t="b">
        <v>1</v>
      </c>
      <c r="P1736" t="b">
        <v>0</v>
      </c>
      <c r="Q1736" t="b">
        <v>1</v>
      </c>
    </row>
    <row r="1737">
      <c r="A1737" t="inlineStr">
        <is>
          <t>REQ01736</t>
        </is>
      </c>
      <c r="B1737" t="inlineStr">
        <is>
          <t>6354005F9NHHO7EY5Q48</t>
        </is>
      </c>
      <c r="C1737" t="inlineStr">
        <is>
          <t>signatory_change</t>
        </is>
      </c>
      <c r="D1737" s="2" t="n">
        <v>46323.45763888889</v>
      </c>
      <c r="E1737" s="2" t="n">
        <v>46324.41597222222</v>
      </c>
      <c r="F1737" t="inlineStr">
        <is>
          <t>M2</t>
        </is>
      </c>
      <c r="G1737" t="inlineStr">
        <is>
          <t>C3</t>
        </is>
      </c>
      <c r="H1737" s="2" t="n">
        <v>46323.475</v>
      </c>
      <c r="I1737" s="2" t="n">
        <v>46323.60625</v>
      </c>
      <c r="J1737" t="inlineStr">
        <is>
          <t>Completed</t>
        </is>
      </c>
      <c r="K1737" t="n">
        <v>3.56</v>
      </c>
      <c r="L1737" t="n">
        <v>8</v>
      </c>
      <c r="M1737" t="b">
        <v>0</v>
      </c>
      <c r="N1737" t="n">
        <v>0</v>
      </c>
      <c r="O1737" t="b">
        <v>1</v>
      </c>
      <c r="P1737" t="b">
        <v>0</v>
      </c>
      <c r="Q1737" t="b">
        <v>1</v>
      </c>
    </row>
    <row r="1738">
      <c r="A1738" t="inlineStr">
        <is>
          <t>REQ01737</t>
        </is>
      </c>
      <c r="B1738" t="inlineStr">
        <is>
          <t>335800UDHSR335CH1E88</t>
        </is>
      </c>
      <c r="C1738" t="inlineStr">
        <is>
          <t>new_account</t>
        </is>
      </c>
      <c r="D1738" s="2" t="n">
        <v>46323.45902777778</v>
      </c>
      <c r="E1738" s="2" t="n">
        <v>46325.37569444445</v>
      </c>
      <c r="F1738" t="inlineStr">
        <is>
          <t>M1</t>
        </is>
      </c>
      <c r="G1738" t="inlineStr">
        <is>
          <t>C1</t>
        </is>
      </c>
      <c r="H1738" s="2" t="n">
        <v>46323.49375</v>
      </c>
      <c r="I1738" s="2" t="n">
        <v>46323.50277777778</v>
      </c>
      <c r="J1738" t="inlineStr">
        <is>
          <t>Completed</t>
        </is>
      </c>
      <c r="K1738" t="n">
        <v>1.05</v>
      </c>
      <c r="L1738" t="n">
        <v>16</v>
      </c>
      <c r="M1738" t="b">
        <v>0</v>
      </c>
      <c r="N1738" t="n">
        <v>0</v>
      </c>
      <c r="O1738" t="b">
        <v>1</v>
      </c>
      <c r="P1738" t="b">
        <v>0</v>
      </c>
      <c r="Q1738" t="b">
        <v>0</v>
      </c>
    </row>
    <row r="1739">
      <c r="A1739" t="inlineStr">
        <is>
          <t>REQ01738</t>
        </is>
      </c>
      <c r="B1739" t="inlineStr">
        <is>
          <t>6354001HFHPH24WCCZ64</t>
        </is>
      </c>
      <c r="C1739" t="inlineStr">
        <is>
          <t>document_refresh</t>
        </is>
      </c>
      <c r="D1739" s="2" t="n">
        <v>46323.46041666667</v>
      </c>
      <c r="E1739" s="2" t="n">
        <v>46324.58541666667</v>
      </c>
      <c r="F1739" t="inlineStr">
        <is>
          <t>M3</t>
        </is>
      </c>
      <c r="G1739" t="inlineStr">
        <is>
          <t>C3</t>
        </is>
      </c>
      <c r="H1739" s="2" t="n">
        <v>46323.47152777778</v>
      </c>
      <c r="I1739" s="2" t="n">
        <v>46323.47777777778</v>
      </c>
      <c r="J1739" t="inlineStr">
        <is>
          <t>Completed</t>
        </is>
      </c>
      <c r="K1739" t="n">
        <v>0.42</v>
      </c>
      <c r="L1739" t="n">
        <v>12</v>
      </c>
      <c r="M1739" t="b">
        <v>0</v>
      </c>
      <c r="N1739" t="n">
        <v>0</v>
      </c>
      <c r="O1739" t="b">
        <v>1</v>
      </c>
      <c r="P1739" t="b">
        <v>0</v>
      </c>
      <c r="Q1739" t="b">
        <v>0</v>
      </c>
    </row>
    <row r="1740">
      <c r="A1740" t="inlineStr">
        <is>
          <t>REQ01739</t>
        </is>
      </c>
      <c r="B1740" t="inlineStr">
        <is>
          <t>5299001G95SFC8DVVW95</t>
        </is>
      </c>
      <c r="C1740" t="inlineStr">
        <is>
          <t>document_refresh</t>
        </is>
      </c>
      <c r="D1740" s="2" t="n">
        <v>46323.46041666667</v>
      </c>
      <c r="E1740" s="2" t="n">
        <v>46324.58541666667</v>
      </c>
      <c r="F1740" t="inlineStr">
        <is>
          <t>M5</t>
        </is>
      </c>
      <c r="G1740" t="inlineStr">
        <is>
          <t>C1</t>
        </is>
      </c>
      <c r="H1740" s="2" t="n">
        <v>46323.475</v>
      </c>
      <c r="I1740" s="2" t="n">
        <v>46323.48263888889</v>
      </c>
      <c r="J1740" t="inlineStr">
        <is>
          <t>Completed</t>
        </is>
      </c>
      <c r="K1740" t="n">
        <v>0.53</v>
      </c>
      <c r="L1740" t="n">
        <v>12</v>
      </c>
      <c r="M1740" t="b">
        <v>0</v>
      </c>
      <c r="N1740" t="n">
        <v>0</v>
      </c>
      <c r="O1740" t="b">
        <v>1</v>
      </c>
      <c r="P1740" t="b">
        <v>0</v>
      </c>
      <c r="Q1740" t="b">
        <v>0</v>
      </c>
    </row>
    <row r="1741">
      <c r="A1741" t="inlineStr">
        <is>
          <t>REQ01740</t>
        </is>
      </c>
      <c r="B1741" t="inlineStr">
        <is>
          <t>984500BQFY676677DD20</t>
        </is>
      </c>
      <c r="C1741" t="inlineStr">
        <is>
          <t>new_account</t>
        </is>
      </c>
      <c r="D1741" s="2" t="n">
        <v>46323.46527777778</v>
      </c>
      <c r="E1741" s="2" t="n">
        <v>46325.38194444445</v>
      </c>
      <c r="F1741" t="inlineStr">
        <is>
          <t>M6</t>
        </is>
      </c>
      <c r="G1741" t="inlineStr">
        <is>
          <t>C2</t>
        </is>
      </c>
      <c r="H1741" s="2" t="n">
        <v>46323.50277777778</v>
      </c>
      <c r="I1741" s="2" t="n">
        <v>46323.51111111111</v>
      </c>
      <c r="J1741" t="inlineStr">
        <is>
          <t>Completed</t>
        </is>
      </c>
      <c r="K1741" t="n">
        <v>1.11</v>
      </c>
      <c r="L1741" t="n">
        <v>16</v>
      </c>
      <c r="M1741" t="b">
        <v>0</v>
      </c>
      <c r="N1741" t="n">
        <v>0</v>
      </c>
      <c r="O1741" t="b">
        <v>1</v>
      </c>
      <c r="P1741" t="b">
        <v>0</v>
      </c>
      <c r="Q1741" t="b">
        <v>0</v>
      </c>
    </row>
    <row r="1742">
      <c r="A1742" t="inlineStr">
        <is>
          <t>REQ01741</t>
        </is>
      </c>
      <c r="B1742" t="inlineStr">
        <is>
          <t>335800WCNRJKJXSTDS49</t>
        </is>
      </c>
      <c r="C1742" t="inlineStr">
        <is>
          <t>document_refresh</t>
        </is>
      </c>
      <c r="D1742" s="2" t="n">
        <v>46323.46736111111</v>
      </c>
      <c r="E1742" s="2" t="n">
        <v>46324.59236111111</v>
      </c>
      <c r="F1742" t="inlineStr">
        <is>
          <t>M3</t>
        </is>
      </c>
      <c r="G1742" t="inlineStr">
        <is>
          <t>C1</t>
        </is>
      </c>
      <c r="H1742" s="2" t="n">
        <v>46323.48402777778</v>
      </c>
      <c r="I1742" s="2" t="n">
        <v>46323.49097222222</v>
      </c>
      <c r="J1742" t="inlineStr">
        <is>
          <t>Completed</t>
        </is>
      </c>
      <c r="K1742" t="n">
        <v>0.5600000000000001</v>
      </c>
      <c r="L1742" t="n">
        <v>12</v>
      </c>
      <c r="M1742" t="b">
        <v>0</v>
      </c>
      <c r="N1742" t="n">
        <v>0</v>
      </c>
      <c r="O1742" t="b">
        <v>1</v>
      </c>
      <c r="P1742" t="b">
        <v>0</v>
      </c>
      <c r="Q1742" t="b">
        <v>0</v>
      </c>
    </row>
    <row r="1743">
      <c r="A1743" t="inlineStr">
        <is>
          <t>REQ01742</t>
        </is>
      </c>
      <c r="B1743" t="inlineStr">
        <is>
          <t>894500HWO98Q2OLMK559</t>
        </is>
      </c>
      <c r="C1743" t="inlineStr">
        <is>
          <t>new_account</t>
        </is>
      </c>
      <c r="D1743" s="2" t="n">
        <v>46323.46944444445</v>
      </c>
      <c r="E1743" s="2" t="n">
        <v>46325.38611111111</v>
      </c>
      <c r="F1743" t="inlineStr">
        <is>
          <t>M5</t>
        </is>
      </c>
      <c r="G1743" t="inlineStr">
        <is>
          <t>C3</t>
        </is>
      </c>
      <c r="H1743" s="2" t="n">
        <v>46323.50416666667</v>
      </c>
      <c r="I1743" s="2" t="n">
        <v>46323.51805555556</v>
      </c>
      <c r="J1743" t="inlineStr">
        <is>
          <t>Completed</t>
        </is>
      </c>
      <c r="K1743" t="n">
        <v>1.16</v>
      </c>
      <c r="L1743" t="n">
        <v>16</v>
      </c>
      <c r="M1743" t="b">
        <v>0</v>
      </c>
      <c r="N1743" t="n">
        <v>0</v>
      </c>
      <c r="O1743" t="b">
        <v>1</v>
      </c>
      <c r="P1743" t="b">
        <v>0</v>
      </c>
      <c r="Q1743" t="b">
        <v>0</v>
      </c>
    </row>
    <row r="1744">
      <c r="A1744" t="inlineStr">
        <is>
          <t>REQ01743</t>
        </is>
      </c>
      <c r="B1744" t="inlineStr">
        <is>
          <t>724500L2N1AAK6ZHCW60</t>
        </is>
      </c>
      <c r="C1744" t="inlineStr">
        <is>
          <t>data_amendment</t>
        </is>
      </c>
      <c r="D1744" s="2" t="n">
        <v>46323.48402777778</v>
      </c>
      <c r="E1744" s="2" t="n">
        <v>46324.44236111111</v>
      </c>
      <c r="F1744" t="inlineStr">
        <is>
          <t>M2</t>
        </is>
      </c>
      <c r="G1744" t="inlineStr">
        <is>
          <t>C3</t>
        </is>
      </c>
      <c r="H1744" s="2" t="n">
        <v>46323.49652777778</v>
      </c>
      <c r="I1744" s="2" t="n">
        <v>46323.5</v>
      </c>
      <c r="J1744" t="inlineStr">
        <is>
          <t>Completed</t>
        </is>
      </c>
      <c r="K1744" t="n">
        <v>0.38</v>
      </c>
      <c r="L1744" t="n">
        <v>8</v>
      </c>
      <c r="M1744" t="b">
        <v>0</v>
      </c>
      <c r="N1744" t="n">
        <v>0</v>
      </c>
      <c r="O1744" t="b">
        <v>1</v>
      </c>
      <c r="P1744" t="b">
        <v>0</v>
      </c>
      <c r="Q1744" t="b">
        <v>0</v>
      </c>
    </row>
    <row r="1745">
      <c r="A1745" t="inlineStr">
        <is>
          <t>REQ01744</t>
        </is>
      </c>
      <c r="B1745" t="inlineStr">
        <is>
          <t>335800K8BC54T42HAH19</t>
        </is>
      </c>
      <c r="C1745" t="inlineStr">
        <is>
          <t>new_account</t>
        </is>
      </c>
      <c r="D1745" s="2" t="n">
        <v>46323.49097222222</v>
      </c>
      <c r="E1745" s="2" t="n">
        <v>46325.40763888889</v>
      </c>
      <c r="F1745" t="inlineStr">
        <is>
          <t>M3</t>
        </is>
      </c>
      <c r="G1745" t="inlineStr">
        <is>
          <t>C2</t>
        </is>
      </c>
      <c r="H1745" s="2" t="n">
        <v>46323.51736111111</v>
      </c>
      <c r="I1745" s="2" t="n">
        <v>46323.52777777778</v>
      </c>
      <c r="J1745" t="inlineStr">
        <is>
          <t>Completed</t>
        </is>
      </c>
      <c r="K1745" t="n">
        <v>0.88</v>
      </c>
      <c r="L1745" t="n">
        <v>16</v>
      </c>
      <c r="M1745" t="b">
        <v>0</v>
      </c>
      <c r="N1745" t="n">
        <v>0</v>
      </c>
      <c r="O1745" t="b">
        <v>1</v>
      </c>
      <c r="P1745" t="b">
        <v>0</v>
      </c>
      <c r="Q1745" t="b">
        <v>0</v>
      </c>
    </row>
    <row r="1746">
      <c r="A1746" t="inlineStr">
        <is>
          <t>REQ01745</t>
        </is>
      </c>
      <c r="B1746" t="inlineStr">
        <is>
          <t>213800EK41K4RK8WR542</t>
        </is>
      </c>
      <c r="C1746" t="inlineStr">
        <is>
          <t>data_amendment</t>
        </is>
      </c>
      <c r="D1746" s="2" t="n">
        <v>46323.49166666667</v>
      </c>
      <c r="E1746" s="2" t="n">
        <v>46324.45</v>
      </c>
      <c r="F1746" t="inlineStr">
        <is>
          <t>M4</t>
        </is>
      </c>
      <c r="G1746" t="inlineStr">
        <is>
          <t>C1</t>
        </is>
      </c>
      <c r="H1746" s="2" t="n">
        <v>46323.50347222222</v>
      </c>
      <c r="I1746" s="2" t="n">
        <v>46324.37986111111</v>
      </c>
      <c r="J1746" t="inlineStr">
        <is>
          <t>Completed</t>
        </is>
      </c>
      <c r="K1746" t="n">
        <v>6.32</v>
      </c>
      <c r="L1746" t="n">
        <v>8</v>
      </c>
      <c r="M1746" t="b">
        <v>0</v>
      </c>
      <c r="N1746" t="n">
        <v>0</v>
      </c>
      <c r="O1746" t="b">
        <v>1</v>
      </c>
      <c r="P1746" t="b">
        <v>0</v>
      </c>
      <c r="Q1746" t="b">
        <v>1</v>
      </c>
    </row>
    <row r="1747">
      <c r="A1747" t="inlineStr">
        <is>
          <t>REQ01746</t>
        </is>
      </c>
      <c r="B1747" t="inlineStr">
        <is>
          <t>254900HR5J3L49LOFK34</t>
        </is>
      </c>
      <c r="C1747" t="inlineStr">
        <is>
          <t>document_refresh</t>
        </is>
      </c>
      <c r="D1747" s="2" t="n">
        <v>46323.49652777778</v>
      </c>
      <c r="E1747" s="2" t="n">
        <v>46324.62152777778</v>
      </c>
      <c r="F1747" t="inlineStr">
        <is>
          <t>M1</t>
        </is>
      </c>
      <c r="G1747" t="inlineStr">
        <is>
          <t>C2</t>
        </is>
      </c>
      <c r="H1747" s="2" t="n">
        <v>46323.51319444444</v>
      </c>
      <c r="I1747" s="2" t="n">
        <v>46323.62569444445</v>
      </c>
      <c r="J1747" t="inlineStr">
        <is>
          <t>Completed</t>
        </is>
      </c>
      <c r="K1747" t="n">
        <v>3.1</v>
      </c>
      <c r="L1747" t="n">
        <v>12</v>
      </c>
      <c r="M1747" t="b">
        <v>0</v>
      </c>
      <c r="N1747" t="n">
        <v>0</v>
      </c>
      <c r="O1747" t="b">
        <v>1</v>
      </c>
      <c r="P1747" t="b">
        <v>0</v>
      </c>
      <c r="Q1747" t="b">
        <v>1</v>
      </c>
    </row>
    <row r="1748">
      <c r="A1748" t="inlineStr">
        <is>
          <t>REQ01747</t>
        </is>
      </c>
      <c r="B1748" t="inlineStr">
        <is>
          <t>549300MH5Q2KRSX3ML97</t>
        </is>
      </c>
      <c r="C1748" t="inlineStr">
        <is>
          <t>document_refresh</t>
        </is>
      </c>
      <c r="D1748" s="2" t="n">
        <v>46323.49930555555</v>
      </c>
      <c r="E1748" s="2" t="n">
        <v>46324.62430555555</v>
      </c>
      <c r="F1748" t="inlineStr">
        <is>
          <t>M2</t>
        </is>
      </c>
      <c r="G1748" t="inlineStr">
        <is>
          <t>C1</t>
        </is>
      </c>
      <c r="H1748" s="2" t="n">
        <v>46323.51458333333</v>
      </c>
      <c r="I1748" s="2" t="n">
        <v>46323.73472222222</v>
      </c>
      <c r="J1748" t="inlineStr">
        <is>
          <t>Completed</t>
        </is>
      </c>
      <c r="K1748" t="n">
        <v>5.65</v>
      </c>
      <c r="L1748" t="n">
        <v>12</v>
      </c>
      <c r="M1748" t="b">
        <v>0</v>
      </c>
      <c r="N1748" t="n">
        <v>0</v>
      </c>
      <c r="O1748" t="b">
        <v>1</v>
      </c>
      <c r="P1748" t="b">
        <v>0</v>
      </c>
      <c r="Q1748" t="b">
        <v>1</v>
      </c>
    </row>
    <row r="1749">
      <c r="A1749" t="inlineStr">
        <is>
          <t>REQ01748</t>
        </is>
      </c>
      <c r="B1749" t="inlineStr">
        <is>
          <t>724500BTS6F2GXM9AZ63</t>
        </is>
      </c>
      <c r="C1749" t="inlineStr">
        <is>
          <t>document_refresh</t>
        </is>
      </c>
      <c r="D1749" s="2" t="n">
        <v>46323.50972222222</v>
      </c>
      <c r="E1749" s="2" t="n">
        <v>46324.63472222222</v>
      </c>
      <c r="F1749" t="inlineStr">
        <is>
          <t>M6</t>
        </is>
      </c>
      <c r="G1749" t="inlineStr">
        <is>
          <t>C3</t>
        </is>
      </c>
      <c r="H1749" s="2" t="n">
        <v>46323.52291666667</v>
      </c>
      <c r="I1749" s="2" t="n">
        <v>46323.74097222222</v>
      </c>
      <c r="J1749" t="inlineStr">
        <is>
          <t>Completed</t>
        </is>
      </c>
      <c r="K1749" t="n">
        <v>5.55</v>
      </c>
      <c r="L1749" t="n">
        <v>12</v>
      </c>
      <c r="M1749" t="b">
        <v>0</v>
      </c>
      <c r="N1749" t="n">
        <v>0</v>
      </c>
      <c r="O1749" t="b">
        <v>1</v>
      </c>
      <c r="P1749" t="b">
        <v>0</v>
      </c>
      <c r="Q1749" t="b">
        <v>1</v>
      </c>
    </row>
    <row r="1750">
      <c r="A1750" t="inlineStr">
        <is>
          <t>REQ01749</t>
        </is>
      </c>
      <c r="B1750" t="inlineStr">
        <is>
          <t>213800QWFQTXSTDQFO78</t>
        </is>
      </c>
      <c r="C1750" t="inlineStr">
        <is>
          <t>signatory_change</t>
        </is>
      </c>
      <c r="D1750" s="2" t="n">
        <v>46323.51041666666</v>
      </c>
      <c r="E1750" s="2" t="n">
        <v>46324.46875</v>
      </c>
      <c r="F1750" t="inlineStr">
        <is>
          <t>M4</t>
        </is>
      </c>
      <c r="G1750" t="inlineStr">
        <is>
          <t>C3</t>
        </is>
      </c>
      <c r="H1750" s="2" t="n">
        <v>46323.53333333333</v>
      </c>
      <c r="I1750" s="2" t="n">
        <v>46323.7125</v>
      </c>
      <c r="J1750" t="inlineStr">
        <is>
          <t>Completed</t>
        </is>
      </c>
      <c r="K1750" t="n">
        <v>4.84</v>
      </c>
      <c r="L1750" t="n">
        <v>8</v>
      </c>
      <c r="M1750" t="b">
        <v>0</v>
      </c>
      <c r="N1750" t="n">
        <v>0</v>
      </c>
      <c r="O1750" t="b">
        <v>1</v>
      </c>
      <c r="P1750" t="b">
        <v>0</v>
      </c>
      <c r="Q1750" t="b">
        <v>1</v>
      </c>
    </row>
    <row r="1751">
      <c r="A1751" t="inlineStr">
        <is>
          <t>REQ01750</t>
        </is>
      </c>
      <c r="B1751" t="inlineStr">
        <is>
          <t>894500AHP5M0W2WSJY39</t>
        </is>
      </c>
      <c r="C1751" t="inlineStr">
        <is>
          <t>data_amendment</t>
        </is>
      </c>
      <c r="D1751" s="2" t="n">
        <v>46323.51111111111</v>
      </c>
      <c r="E1751" s="2" t="n">
        <v>46324.46944444445</v>
      </c>
      <c r="F1751" t="inlineStr">
        <is>
          <t>M5</t>
        </is>
      </c>
      <c r="G1751" t="inlineStr">
        <is>
          <t>C3</t>
        </is>
      </c>
      <c r="H1751" s="2" t="n">
        <v>46323.52152777778</v>
      </c>
      <c r="I1751" s="2" t="n">
        <v>46323.71527777778</v>
      </c>
      <c r="J1751" t="inlineStr">
        <is>
          <t>Completed</t>
        </is>
      </c>
      <c r="K1751" t="n">
        <v>4.9</v>
      </c>
      <c r="L1751" t="n">
        <v>8</v>
      </c>
      <c r="M1751" t="b">
        <v>0</v>
      </c>
      <c r="N1751" t="n">
        <v>0</v>
      </c>
      <c r="O1751" t="b">
        <v>1</v>
      </c>
      <c r="P1751" t="b">
        <v>0</v>
      </c>
      <c r="Q1751" t="b">
        <v>1</v>
      </c>
    </row>
    <row r="1752">
      <c r="A1752" t="inlineStr">
        <is>
          <t>REQ01751</t>
        </is>
      </c>
      <c r="B1752" t="inlineStr">
        <is>
          <t>724500KLX5X9299E1Y50</t>
        </is>
      </c>
      <c r="C1752" t="inlineStr">
        <is>
          <t>document_refresh</t>
        </is>
      </c>
      <c r="D1752" s="2" t="n">
        <v>46323.52152777778</v>
      </c>
      <c r="E1752" s="2" t="n">
        <v>46324.64652777778</v>
      </c>
      <c r="F1752" t="inlineStr">
        <is>
          <t>M1</t>
        </is>
      </c>
      <c r="G1752" t="inlineStr">
        <is>
          <t>C1</t>
        </is>
      </c>
      <c r="H1752" s="2" t="n">
        <v>46323.53194444445</v>
      </c>
      <c r="I1752" s="2" t="n">
        <v>46323.65486111111</v>
      </c>
      <c r="J1752" t="inlineStr">
        <is>
          <t>Completed</t>
        </is>
      </c>
      <c r="K1752" t="n">
        <v>3.19</v>
      </c>
      <c r="L1752" t="n">
        <v>12</v>
      </c>
      <c r="M1752" t="b">
        <v>0</v>
      </c>
      <c r="N1752" t="n">
        <v>0</v>
      </c>
      <c r="O1752" t="b">
        <v>1</v>
      </c>
      <c r="P1752" t="b">
        <v>0</v>
      </c>
      <c r="Q1752" t="b">
        <v>1</v>
      </c>
    </row>
    <row r="1753">
      <c r="A1753" t="inlineStr">
        <is>
          <t>REQ01752</t>
        </is>
      </c>
      <c r="B1753" t="inlineStr">
        <is>
          <t>72450099PRITDBNGVX32</t>
        </is>
      </c>
      <c r="C1753" t="inlineStr">
        <is>
          <t>signatory_change</t>
        </is>
      </c>
      <c r="D1753" s="2" t="n">
        <v>46323.525</v>
      </c>
      <c r="E1753" s="2" t="n">
        <v>46324.48333333333</v>
      </c>
      <c r="F1753" t="inlineStr">
        <is>
          <t>M2</t>
        </is>
      </c>
      <c r="G1753" t="inlineStr">
        <is>
          <t>C3</t>
        </is>
      </c>
      <c r="H1753" s="2" t="n">
        <v>46323.55069444444</v>
      </c>
      <c r="I1753" s="2" t="n">
        <v>46323.73611111111</v>
      </c>
      <c r="J1753" t="inlineStr">
        <is>
          <t>Completed</t>
        </is>
      </c>
      <c r="K1753" t="n">
        <v>5.06</v>
      </c>
      <c r="L1753" t="n">
        <v>8</v>
      </c>
      <c r="M1753" t="b">
        <v>0</v>
      </c>
      <c r="N1753" t="n">
        <v>0</v>
      </c>
      <c r="O1753" t="b">
        <v>1</v>
      </c>
      <c r="P1753" t="b">
        <v>0</v>
      </c>
      <c r="Q1753" t="b">
        <v>1</v>
      </c>
    </row>
    <row r="1754">
      <c r="A1754" t="inlineStr">
        <is>
          <t>REQ01753</t>
        </is>
      </c>
      <c r="B1754" t="inlineStr">
        <is>
          <t>894500AERU6FRFN34E26</t>
        </is>
      </c>
      <c r="C1754" t="inlineStr">
        <is>
          <t>document_refresh</t>
        </is>
      </c>
      <c r="D1754" s="2" t="n">
        <v>46323.52569444444</v>
      </c>
      <c r="E1754" s="2" t="n">
        <v>46324.65069444444</v>
      </c>
      <c r="F1754" t="inlineStr">
        <is>
          <t>M3</t>
        </is>
      </c>
      <c r="G1754" t="inlineStr">
        <is>
          <t>C3</t>
        </is>
      </c>
      <c r="H1754" s="2" t="n">
        <v>46323.53611111111</v>
      </c>
      <c r="I1754" s="2" t="n">
        <v>46323.72847222222</v>
      </c>
      <c r="J1754" t="inlineStr">
        <is>
          <t>Completed</t>
        </is>
      </c>
      <c r="K1754" t="n">
        <v>4.87</v>
      </c>
      <c r="L1754" t="n">
        <v>12</v>
      </c>
      <c r="M1754" t="b">
        <v>0</v>
      </c>
      <c r="N1754" t="n">
        <v>0</v>
      </c>
      <c r="O1754" t="b">
        <v>1</v>
      </c>
      <c r="P1754" t="b">
        <v>0</v>
      </c>
      <c r="Q1754" t="b">
        <v>1</v>
      </c>
    </row>
    <row r="1755">
      <c r="A1755" t="inlineStr">
        <is>
          <t>REQ01754</t>
        </is>
      </c>
      <c r="B1755" t="inlineStr">
        <is>
          <t>894500A85A8VDRIGZ723</t>
        </is>
      </c>
      <c r="C1755" t="inlineStr">
        <is>
          <t>document_refresh</t>
        </is>
      </c>
      <c r="D1755" s="2" t="n">
        <v>46323.52569444444</v>
      </c>
      <c r="E1755" s="2" t="n">
        <v>46324.65069444444</v>
      </c>
      <c r="F1755" t="inlineStr">
        <is>
          <t>M5</t>
        </is>
      </c>
      <c r="G1755" t="inlineStr">
        <is>
          <t>C1</t>
        </is>
      </c>
      <c r="H1755" s="2" t="n">
        <v>46323.53541666667</v>
      </c>
      <c r="I1755" s="2" t="n">
        <v>46323.54305555556</v>
      </c>
      <c r="J1755" t="inlineStr">
        <is>
          <t>Completed</t>
        </is>
      </c>
      <c r="K1755" t="n">
        <v>0.41</v>
      </c>
      <c r="L1755" t="n">
        <v>12</v>
      </c>
      <c r="M1755" t="b">
        <v>0</v>
      </c>
      <c r="N1755" t="n">
        <v>0</v>
      </c>
      <c r="O1755" t="b">
        <v>1</v>
      </c>
      <c r="P1755" t="b">
        <v>0</v>
      </c>
      <c r="Q1755" t="b">
        <v>0</v>
      </c>
    </row>
    <row r="1756">
      <c r="A1756" t="inlineStr">
        <is>
          <t>REQ01755</t>
        </is>
      </c>
      <c r="B1756" t="inlineStr">
        <is>
          <t>391200YJNWW1CKFIVB12</t>
        </is>
      </c>
      <c r="C1756" t="inlineStr">
        <is>
          <t>new_account</t>
        </is>
      </c>
      <c r="D1756" s="2" t="n">
        <v>46323.53194444445</v>
      </c>
      <c r="E1756" s="2" t="n">
        <v>46325.44861111111</v>
      </c>
      <c r="F1756" t="inlineStr">
        <is>
          <t>M6</t>
        </is>
      </c>
      <c r="G1756" t="inlineStr">
        <is>
          <t>C3</t>
        </is>
      </c>
      <c r="H1756" s="2" t="n">
        <v>46323.56875</v>
      </c>
      <c r="I1756" s="2" t="n">
        <v>46323.57847222222</v>
      </c>
      <c r="J1756" t="inlineStr">
        <is>
          <t>Completed</t>
        </is>
      </c>
      <c r="K1756" t="n">
        <v>1.12</v>
      </c>
      <c r="L1756" t="n">
        <v>16</v>
      </c>
      <c r="M1756" t="b">
        <v>0</v>
      </c>
      <c r="N1756" t="n">
        <v>0</v>
      </c>
      <c r="O1756" t="b">
        <v>1</v>
      </c>
      <c r="P1756" t="b">
        <v>0</v>
      </c>
      <c r="Q1756" t="b">
        <v>0</v>
      </c>
    </row>
    <row r="1757">
      <c r="A1757" t="inlineStr">
        <is>
          <t>REQ01756</t>
        </is>
      </c>
      <c r="B1757" t="inlineStr">
        <is>
          <t>213800UIFN9VQSP6EV34</t>
        </is>
      </c>
      <c r="C1757" t="inlineStr">
        <is>
          <t>document_refresh</t>
        </is>
      </c>
      <c r="D1757" s="2" t="n">
        <v>46323.53611111111</v>
      </c>
      <c r="E1757" s="2" t="n">
        <v>46324.66111111111</v>
      </c>
      <c r="F1757" t="inlineStr">
        <is>
          <t>M1</t>
        </is>
      </c>
      <c r="G1757" t="inlineStr">
        <is>
          <t>C1</t>
        </is>
      </c>
      <c r="H1757" s="2" t="n">
        <v>46323.55138888889</v>
      </c>
      <c r="I1757" s="2" t="n">
        <v>46323.69722222222</v>
      </c>
      <c r="J1757" t="inlineStr">
        <is>
          <t>Completed</t>
        </is>
      </c>
      <c r="K1757" t="n">
        <v>3.87</v>
      </c>
      <c r="L1757" t="n">
        <v>12</v>
      </c>
      <c r="M1757" t="b">
        <v>0</v>
      </c>
      <c r="N1757" t="n">
        <v>0</v>
      </c>
      <c r="O1757" t="b">
        <v>1</v>
      </c>
      <c r="P1757" t="b">
        <v>0</v>
      </c>
      <c r="Q1757" t="b">
        <v>1</v>
      </c>
    </row>
    <row r="1758">
      <c r="A1758" t="inlineStr">
        <is>
          <t>REQ01757</t>
        </is>
      </c>
      <c r="B1758" t="inlineStr">
        <is>
          <t>335800KJFVK93D4KMK95</t>
        </is>
      </c>
      <c r="C1758" t="inlineStr">
        <is>
          <t>data_amendment</t>
        </is>
      </c>
      <c r="D1758" s="2" t="n">
        <v>46323.5375</v>
      </c>
      <c r="E1758" s="2" t="n">
        <v>46324.49583333333</v>
      </c>
      <c r="F1758" t="inlineStr">
        <is>
          <t>M4</t>
        </is>
      </c>
      <c r="G1758" t="inlineStr">
        <is>
          <t>C3</t>
        </is>
      </c>
      <c r="H1758" s="2" t="n">
        <v>46323.54652777778</v>
      </c>
      <c r="I1758" s="2" t="n">
        <v>46323.55138888889</v>
      </c>
      <c r="J1758" t="inlineStr">
        <is>
          <t>Completed</t>
        </is>
      </c>
      <c r="K1758" t="n">
        <v>0.33</v>
      </c>
      <c r="L1758" t="n">
        <v>8</v>
      </c>
      <c r="M1758" t="b">
        <v>0</v>
      </c>
      <c r="N1758" t="n">
        <v>0</v>
      </c>
      <c r="O1758" t="b">
        <v>1</v>
      </c>
      <c r="P1758" t="b">
        <v>0</v>
      </c>
      <c r="Q1758" t="b">
        <v>0</v>
      </c>
    </row>
    <row r="1759">
      <c r="A1759" t="inlineStr">
        <is>
          <t>REQ01758</t>
        </is>
      </c>
      <c r="B1759" t="inlineStr">
        <is>
          <t>254900IF3U3NVDAVLE76</t>
        </is>
      </c>
      <c r="C1759" t="inlineStr">
        <is>
          <t>document_refresh</t>
        </is>
      </c>
      <c r="D1759" s="2" t="n">
        <v>46323.54444444444</v>
      </c>
      <c r="E1759" s="2" t="n">
        <v>46324.66944444444</v>
      </c>
      <c r="F1759" t="inlineStr">
        <is>
          <t>M5</t>
        </is>
      </c>
      <c r="G1759" t="inlineStr">
        <is>
          <t>C3</t>
        </is>
      </c>
      <c r="H1759" s="2" t="n">
        <v>46323.55486111111</v>
      </c>
      <c r="I1759" s="2" t="n">
        <v>46323.55972222222</v>
      </c>
      <c r="J1759" t="inlineStr">
        <is>
          <t>Completed</t>
        </is>
      </c>
      <c r="K1759" t="n">
        <v>0.36</v>
      </c>
      <c r="L1759" t="n">
        <v>12</v>
      </c>
      <c r="M1759" t="b">
        <v>0</v>
      </c>
      <c r="N1759" t="n">
        <v>0</v>
      </c>
      <c r="O1759" t="b">
        <v>1</v>
      </c>
      <c r="P1759" t="b">
        <v>0</v>
      </c>
      <c r="Q1759" t="b">
        <v>0</v>
      </c>
    </row>
    <row r="1760">
      <c r="A1760" t="inlineStr">
        <is>
          <t>REQ01759</t>
        </is>
      </c>
      <c r="B1760" t="inlineStr">
        <is>
          <t>7245009IMS1EUVWUUA52</t>
        </is>
      </c>
      <c r="C1760" t="inlineStr">
        <is>
          <t>data_amendment</t>
        </is>
      </c>
      <c r="D1760" s="2" t="n">
        <v>46323.54444444444</v>
      </c>
      <c r="E1760" s="2" t="n">
        <v>46324.50277777778</v>
      </c>
      <c r="F1760" t="inlineStr">
        <is>
          <t>M3</t>
        </is>
      </c>
      <c r="G1760" t="inlineStr">
        <is>
          <t>C1</t>
        </is>
      </c>
      <c r="H1760" s="2" t="n">
        <v>46323.55625</v>
      </c>
      <c r="I1760" s="2" t="n">
        <v>46324.39375</v>
      </c>
      <c r="J1760" t="inlineStr">
        <is>
          <t>Completed</t>
        </is>
      </c>
      <c r="K1760" t="n">
        <v>5.38</v>
      </c>
      <c r="L1760" t="n">
        <v>8</v>
      </c>
      <c r="M1760" t="b">
        <v>0</v>
      </c>
      <c r="N1760" t="n">
        <v>1</v>
      </c>
      <c r="O1760" t="b">
        <v>0</v>
      </c>
      <c r="P1760" t="b">
        <v>1</v>
      </c>
      <c r="Q1760" t="b">
        <v>1</v>
      </c>
    </row>
    <row r="1761">
      <c r="A1761" t="inlineStr">
        <is>
          <t>REQ01760</t>
        </is>
      </c>
      <c r="B1761" t="inlineStr">
        <is>
          <t>2549000WKFZ4G2MIXN48</t>
        </is>
      </c>
      <c r="C1761" t="inlineStr">
        <is>
          <t>document_refresh</t>
        </is>
      </c>
      <c r="D1761" s="2" t="n">
        <v>46323.54652777778</v>
      </c>
      <c r="E1761" s="2" t="n">
        <v>46324.67152777778</v>
      </c>
      <c r="F1761" t="inlineStr">
        <is>
          <t>M4</t>
        </is>
      </c>
      <c r="G1761" t="inlineStr">
        <is>
          <t>C2</t>
        </is>
      </c>
      <c r="H1761" s="2" t="n">
        <v>46323.56041666667</v>
      </c>
      <c r="I1761" s="2" t="n">
        <v>46323.56597222222</v>
      </c>
      <c r="J1761" t="inlineStr">
        <is>
          <t>Completed</t>
        </is>
      </c>
      <c r="K1761" t="n">
        <v>0.47</v>
      </c>
      <c r="L1761" t="n">
        <v>12</v>
      </c>
      <c r="M1761" t="b">
        <v>0</v>
      </c>
      <c r="N1761" t="n">
        <v>0</v>
      </c>
      <c r="O1761" t="b">
        <v>1</v>
      </c>
      <c r="P1761" t="b">
        <v>0</v>
      </c>
      <c r="Q1761" t="b">
        <v>0</v>
      </c>
    </row>
    <row r="1762">
      <c r="A1762" t="inlineStr">
        <is>
          <t>REQ01761</t>
        </is>
      </c>
      <c r="B1762" t="inlineStr">
        <is>
          <t>984500F5AF9C1ZFCCE80</t>
        </is>
      </c>
      <c r="C1762" t="inlineStr">
        <is>
          <t>document_refresh</t>
        </is>
      </c>
      <c r="D1762" s="2" t="n">
        <v>46323.54861111111</v>
      </c>
      <c r="E1762" s="2" t="n">
        <v>46324.67361111111</v>
      </c>
      <c r="F1762" t="inlineStr">
        <is>
          <t>M2</t>
        </is>
      </c>
      <c r="G1762" t="inlineStr">
        <is>
          <t>C3</t>
        </is>
      </c>
      <c r="H1762" s="2" t="n">
        <v>46323.56527777778</v>
      </c>
      <c r="I1762" s="2" t="n">
        <v>46323.57083333333</v>
      </c>
      <c r="J1762" t="inlineStr">
        <is>
          <t>Completed</t>
        </is>
      </c>
      <c r="K1762" t="n">
        <v>0.54</v>
      </c>
      <c r="L1762" t="n">
        <v>12</v>
      </c>
      <c r="M1762" t="b">
        <v>0</v>
      </c>
      <c r="N1762" t="n">
        <v>0</v>
      </c>
      <c r="O1762" t="b">
        <v>1</v>
      </c>
      <c r="P1762" t="b">
        <v>0</v>
      </c>
      <c r="Q1762" t="b">
        <v>0</v>
      </c>
    </row>
    <row r="1763">
      <c r="A1763" t="inlineStr">
        <is>
          <t>REQ01762</t>
        </is>
      </c>
      <c r="B1763" t="inlineStr">
        <is>
          <t>724500EFELGYKO9OKE61</t>
        </is>
      </c>
      <c r="C1763" t="inlineStr">
        <is>
          <t>document_refresh</t>
        </is>
      </c>
      <c r="D1763" s="2" t="n">
        <v>46323.55694444444</v>
      </c>
      <c r="E1763" s="2" t="n">
        <v>46324.68194444444</v>
      </c>
      <c r="F1763" t="inlineStr">
        <is>
          <t>M1</t>
        </is>
      </c>
      <c r="G1763" t="inlineStr">
        <is>
          <t>C2</t>
        </is>
      </c>
      <c r="H1763" s="2" t="n">
        <v>46323.56736111111</v>
      </c>
      <c r="I1763" s="2" t="n">
        <v>46323.71527777778</v>
      </c>
      <c r="J1763" t="inlineStr">
        <is>
          <t>Completed</t>
        </is>
      </c>
      <c r="K1763" t="n">
        <v>3.8</v>
      </c>
      <c r="L1763" t="n">
        <v>12</v>
      </c>
      <c r="M1763" t="b">
        <v>0</v>
      </c>
      <c r="N1763" t="n">
        <v>0</v>
      </c>
      <c r="O1763" t="b">
        <v>1</v>
      </c>
      <c r="P1763" t="b">
        <v>0</v>
      </c>
      <c r="Q1763" t="b">
        <v>1</v>
      </c>
    </row>
    <row r="1764">
      <c r="A1764" t="inlineStr">
        <is>
          <t>REQ01763</t>
        </is>
      </c>
      <c r="B1764" t="inlineStr">
        <is>
          <t>213800MGG5VXTBGDNG74</t>
        </is>
      </c>
      <c r="C1764" t="inlineStr">
        <is>
          <t>new_account</t>
        </is>
      </c>
      <c r="D1764" s="2" t="n">
        <v>46323.56458333333</v>
      </c>
      <c r="E1764" s="2" t="n">
        <v>46325.48125</v>
      </c>
      <c r="F1764" t="inlineStr">
        <is>
          <t>M5</t>
        </is>
      </c>
      <c r="G1764" t="inlineStr">
        <is>
          <t>C1</t>
        </is>
      </c>
      <c r="H1764" s="2" t="n">
        <v>46323.59861111111</v>
      </c>
      <c r="I1764" s="2" t="n">
        <v>46323.61041666667</v>
      </c>
      <c r="J1764" t="inlineStr">
        <is>
          <t>Completed</t>
        </is>
      </c>
      <c r="K1764" t="n">
        <v>1.1</v>
      </c>
      <c r="L1764" t="n">
        <v>16</v>
      </c>
      <c r="M1764" t="b">
        <v>0</v>
      </c>
      <c r="N1764" t="n">
        <v>0</v>
      </c>
      <c r="O1764" t="b">
        <v>1</v>
      </c>
      <c r="P1764" t="b">
        <v>0</v>
      </c>
      <c r="Q1764" t="b">
        <v>0</v>
      </c>
    </row>
    <row r="1765">
      <c r="A1765" t="inlineStr">
        <is>
          <t>REQ01764</t>
        </is>
      </c>
      <c r="B1765" t="inlineStr">
        <is>
          <t>984500UEA89A2B580C26</t>
        </is>
      </c>
      <c r="C1765" t="inlineStr">
        <is>
          <t>data_amendment</t>
        </is>
      </c>
      <c r="D1765" s="2" t="n">
        <v>46323.56597222222</v>
      </c>
      <c r="E1765" s="2" t="n">
        <v>46324.52430555555</v>
      </c>
      <c r="F1765" t="inlineStr">
        <is>
          <t>M3</t>
        </is>
      </c>
      <c r="G1765" t="inlineStr">
        <is>
          <t>C3</t>
        </is>
      </c>
      <c r="H1765" s="2" t="n">
        <v>46323.57708333333</v>
      </c>
      <c r="I1765" s="2" t="n">
        <v>46323.59097222222</v>
      </c>
      <c r="J1765" t="inlineStr">
        <is>
          <t>Completed</t>
        </is>
      </c>
      <c r="K1765" t="n">
        <v>0.59</v>
      </c>
      <c r="L1765" t="n">
        <v>8</v>
      </c>
      <c r="M1765" t="b">
        <v>0</v>
      </c>
      <c r="N1765" t="n">
        <v>1</v>
      </c>
      <c r="O1765" t="b">
        <v>0</v>
      </c>
      <c r="P1765" t="b">
        <v>1</v>
      </c>
      <c r="Q1765" t="b">
        <v>0</v>
      </c>
    </row>
    <row r="1766">
      <c r="A1766" t="inlineStr">
        <is>
          <t>REQ01765</t>
        </is>
      </c>
      <c r="B1766" t="inlineStr">
        <is>
          <t>984500C477F12DD05066</t>
        </is>
      </c>
      <c r="C1766" t="inlineStr">
        <is>
          <t>document_refresh</t>
        </is>
      </c>
      <c r="D1766" s="2" t="n">
        <v>46323.56736111111</v>
      </c>
      <c r="E1766" s="2" t="n">
        <v>46324.69236111111</v>
      </c>
      <c r="F1766" t="inlineStr">
        <is>
          <t>M4</t>
        </is>
      </c>
      <c r="G1766" t="inlineStr">
        <is>
          <t>C1</t>
        </is>
      </c>
      <c r="H1766" s="2" t="n">
        <v>46323.57708333333</v>
      </c>
      <c r="I1766" s="2" t="n">
        <v>46323.58819444444</v>
      </c>
      <c r="J1766" t="inlineStr">
        <is>
          <t>Completed</t>
        </is>
      </c>
      <c r="K1766" t="n">
        <v>0.49</v>
      </c>
      <c r="L1766" t="n">
        <v>12</v>
      </c>
      <c r="M1766" t="b">
        <v>0</v>
      </c>
      <c r="N1766" t="n">
        <v>0</v>
      </c>
      <c r="O1766" t="b">
        <v>1</v>
      </c>
      <c r="P1766" t="b">
        <v>0</v>
      </c>
      <c r="Q1766" t="b">
        <v>0</v>
      </c>
    </row>
    <row r="1767">
      <c r="A1767" t="inlineStr">
        <is>
          <t>REQ01766</t>
        </is>
      </c>
      <c r="B1767" t="inlineStr">
        <is>
          <t>21380052VUKO2AU5ET16</t>
        </is>
      </c>
      <c r="C1767" t="inlineStr">
        <is>
          <t>new_account</t>
        </is>
      </c>
      <c r="D1767" s="2" t="n">
        <v>46323.56736111111</v>
      </c>
      <c r="E1767" s="2" t="n">
        <v>46325.48402777778</v>
      </c>
      <c r="F1767" t="inlineStr">
        <is>
          <t>M2</t>
        </is>
      </c>
      <c r="G1767" t="inlineStr">
        <is>
          <t>C2</t>
        </is>
      </c>
      <c r="H1767" s="2" t="n">
        <v>46323.60138888889</v>
      </c>
      <c r="I1767" s="2" t="n">
        <v>46324.46875</v>
      </c>
      <c r="J1767" t="inlineStr">
        <is>
          <t>Completed</t>
        </is>
      </c>
      <c r="K1767" t="n">
        <v>6.64</v>
      </c>
      <c r="L1767" t="n">
        <v>16</v>
      </c>
      <c r="M1767" t="b">
        <v>0</v>
      </c>
      <c r="N1767" t="n">
        <v>0</v>
      </c>
      <c r="O1767" t="b">
        <v>1</v>
      </c>
      <c r="P1767" t="b">
        <v>0</v>
      </c>
      <c r="Q1767" t="b">
        <v>1</v>
      </c>
    </row>
    <row r="1768">
      <c r="A1768" t="inlineStr">
        <is>
          <t>REQ01767</t>
        </is>
      </c>
      <c r="B1768" t="inlineStr">
        <is>
          <t>213800FJ1BUSYBSOK954</t>
        </is>
      </c>
      <c r="C1768" t="inlineStr">
        <is>
          <t>new_account</t>
        </is>
      </c>
      <c r="D1768" s="2" t="n">
        <v>46323.58333333334</v>
      </c>
      <c r="E1768" s="2" t="n">
        <v>46325.5</v>
      </c>
      <c r="F1768" t="inlineStr">
        <is>
          <t>M1</t>
        </is>
      </c>
      <c r="G1768" t="inlineStr">
        <is>
          <t>C1</t>
        </is>
      </c>
      <c r="H1768" s="2" t="n">
        <v>46323.62083333333</v>
      </c>
      <c r="I1768" s="2" t="n">
        <v>46324.42361111111</v>
      </c>
      <c r="J1768" t="inlineStr">
        <is>
          <t>Completed</t>
        </is>
      </c>
      <c r="K1768" t="n">
        <v>5.17</v>
      </c>
      <c r="L1768" t="n">
        <v>16</v>
      </c>
      <c r="M1768" t="b">
        <v>0</v>
      </c>
      <c r="N1768" t="n">
        <v>0</v>
      </c>
      <c r="O1768" t="b">
        <v>1</v>
      </c>
      <c r="P1768" t="b">
        <v>0</v>
      </c>
      <c r="Q1768" t="b">
        <v>1</v>
      </c>
    </row>
    <row r="1769">
      <c r="A1769" t="inlineStr">
        <is>
          <t>REQ01768</t>
        </is>
      </c>
      <c r="B1769" t="inlineStr">
        <is>
          <t>5299007PVHRXHMGHHE98</t>
        </is>
      </c>
      <c r="C1769" t="inlineStr">
        <is>
          <t>signatory_change</t>
        </is>
      </c>
      <c r="D1769" s="2" t="n">
        <v>46323.58541666667</v>
      </c>
      <c r="E1769" s="2" t="n">
        <v>46324.54375</v>
      </c>
      <c r="F1769" t="inlineStr">
        <is>
          <t>M6</t>
        </is>
      </c>
      <c r="G1769" t="inlineStr">
        <is>
          <t>C3</t>
        </is>
      </c>
      <c r="H1769" s="2" t="n">
        <v>46323.60625</v>
      </c>
      <c r="I1769" s="2" t="n">
        <v>46324.45138888889</v>
      </c>
      <c r="J1769" t="inlineStr">
        <is>
          <t>Completed</t>
        </is>
      </c>
      <c r="K1769" t="n">
        <v>5.79</v>
      </c>
      <c r="L1769" t="n">
        <v>8</v>
      </c>
      <c r="M1769" t="b">
        <v>0</v>
      </c>
      <c r="N1769" t="n">
        <v>0</v>
      </c>
      <c r="O1769" t="b">
        <v>1</v>
      </c>
      <c r="P1769" t="b">
        <v>0</v>
      </c>
      <c r="Q1769" t="b">
        <v>1</v>
      </c>
    </row>
    <row r="1770">
      <c r="A1770" t="inlineStr">
        <is>
          <t>REQ01769</t>
        </is>
      </c>
      <c r="B1770" t="inlineStr">
        <is>
          <t>5493000Y9UXA2OMSW741</t>
        </is>
      </c>
      <c r="C1770" t="inlineStr">
        <is>
          <t>document_refresh</t>
        </is>
      </c>
      <c r="D1770" s="2" t="n">
        <v>46323.59583333333</v>
      </c>
      <c r="E1770" s="2" t="n">
        <v>46324.72083333333</v>
      </c>
      <c r="F1770" t="inlineStr">
        <is>
          <t>M3</t>
        </is>
      </c>
      <c r="G1770" t="inlineStr">
        <is>
          <t>C1</t>
        </is>
      </c>
      <c r="H1770" s="2" t="n">
        <v>46323.6125</v>
      </c>
      <c r="I1770" s="2" t="n">
        <v>46324.43611111111</v>
      </c>
      <c r="J1770" t="inlineStr">
        <is>
          <t>Completed</t>
        </is>
      </c>
      <c r="K1770" t="n">
        <v>5.16</v>
      </c>
      <c r="L1770" t="n">
        <v>12</v>
      </c>
      <c r="M1770" t="b">
        <v>0</v>
      </c>
      <c r="N1770" t="n">
        <v>0</v>
      </c>
      <c r="O1770" t="b">
        <v>1</v>
      </c>
      <c r="P1770" t="b">
        <v>0</v>
      </c>
      <c r="Q1770" t="b">
        <v>1</v>
      </c>
    </row>
    <row r="1771">
      <c r="A1771" t="inlineStr">
        <is>
          <t>REQ01770</t>
        </is>
      </c>
      <c r="B1771" t="inlineStr">
        <is>
          <t>335800G881M71EAZVW78</t>
        </is>
      </c>
      <c r="C1771" t="inlineStr">
        <is>
          <t>signatory_change</t>
        </is>
      </c>
      <c r="D1771" s="2" t="n">
        <v>46323.61944444444</v>
      </c>
      <c r="E1771" s="2" t="n">
        <v>46324.57777777778</v>
      </c>
      <c r="F1771" t="inlineStr">
        <is>
          <t>M4</t>
        </is>
      </c>
      <c r="G1771" t="inlineStr">
        <is>
          <t>C2</t>
        </is>
      </c>
      <c r="H1771" s="2" t="n">
        <v>46323.64583333334</v>
      </c>
      <c r="I1771" s="2" t="n">
        <v>46323.65208333333</v>
      </c>
      <c r="J1771" t="inlineStr">
        <is>
          <t>Completed</t>
        </is>
      </c>
      <c r="K1771" t="n">
        <v>0.79</v>
      </c>
      <c r="L1771" t="n">
        <v>8</v>
      </c>
      <c r="M1771" t="b">
        <v>0</v>
      </c>
      <c r="N1771" t="n">
        <v>0</v>
      </c>
      <c r="O1771" t="b">
        <v>1</v>
      </c>
      <c r="P1771" t="b">
        <v>0</v>
      </c>
      <c r="Q1771" t="b">
        <v>0</v>
      </c>
    </row>
    <row r="1772">
      <c r="A1772" t="inlineStr">
        <is>
          <t>REQ01771</t>
        </is>
      </c>
      <c r="B1772" t="inlineStr">
        <is>
          <t>335800IG4T2GDIQPH816</t>
        </is>
      </c>
      <c r="C1772" t="inlineStr">
        <is>
          <t>signatory_change</t>
        </is>
      </c>
      <c r="D1772" s="2" t="n">
        <v>46323.62361111111</v>
      </c>
      <c r="E1772" s="2" t="n">
        <v>46324.58194444444</v>
      </c>
      <c r="F1772" t="inlineStr">
        <is>
          <t>M5</t>
        </is>
      </c>
      <c r="G1772" t="inlineStr">
        <is>
          <t>C3</t>
        </is>
      </c>
      <c r="H1772" s="2" t="n">
        <v>46323.63819444444</v>
      </c>
      <c r="I1772" s="2" t="n">
        <v>46323.64375</v>
      </c>
      <c r="J1772" t="inlineStr">
        <is>
          <t>Completed</t>
        </is>
      </c>
      <c r="K1772" t="n">
        <v>0.48</v>
      </c>
      <c r="L1772" t="n">
        <v>8</v>
      </c>
      <c r="M1772" t="b">
        <v>0</v>
      </c>
      <c r="N1772" t="n">
        <v>0</v>
      </c>
      <c r="O1772" t="b">
        <v>1</v>
      </c>
      <c r="P1772" t="b">
        <v>0</v>
      </c>
      <c r="Q1772" t="b">
        <v>0</v>
      </c>
    </row>
    <row r="1773">
      <c r="A1773" t="inlineStr">
        <is>
          <t>REQ01772</t>
        </is>
      </c>
      <c r="B1773" t="inlineStr">
        <is>
          <t>969500QHRLYO4VO0KC84</t>
        </is>
      </c>
      <c r="C1773" t="inlineStr">
        <is>
          <t>new_account</t>
        </is>
      </c>
      <c r="D1773" s="2" t="n">
        <v>46323.62569444445</v>
      </c>
      <c r="E1773" s="2" t="n">
        <v>46325.54236111111</v>
      </c>
      <c r="F1773" t="inlineStr">
        <is>
          <t>M2</t>
        </is>
      </c>
      <c r="G1773" t="inlineStr">
        <is>
          <t>C3</t>
        </is>
      </c>
      <c r="H1773" s="2" t="n">
        <v>46323.66180555556</v>
      </c>
      <c r="I1773" s="2" t="n">
        <v>46324.44305555556</v>
      </c>
      <c r="J1773" t="inlineStr">
        <is>
          <t>Completed</t>
        </is>
      </c>
      <c r="K1773" t="n">
        <v>4.61</v>
      </c>
      <c r="L1773" t="n">
        <v>16</v>
      </c>
      <c r="M1773" t="b">
        <v>0</v>
      </c>
      <c r="N1773" t="n">
        <v>0</v>
      </c>
      <c r="O1773" t="b">
        <v>1</v>
      </c>
      <c r="P1773" t="b">
        <v>0</v>
      </c>
      <c r="Q1773" t="b">
        <v>1</v>
      </c>
    </row>
    <row r="1774">
      <c r="A1774" t="inlineStr">
        <is>
          <t>REQ01773</t>
        </is>
      </c>
      <c r="B1774" t="inlineStr">
        <is>
          <t>549300JMG90F28EERT09</t>
        </is>
      </c>
      <c r="C1774" t="inlineStr">
        <is>
          <t>document_refresh</t>
        </is>
      </c>
      <c r="D1774" s="2" t="n">
        <v>46323.62916666667</v>
      </c>
      <c r="E1774" s="2" t="n">
        <v>46325.37916666667</v>
      </c>
      <c r="F1774" t="inlineStr">
        <is>
          <t>M6</t>
        </is>
      </c>
      <c r="G1774" t="inlineStr">
        <is>
          <t>C1</t>
        </is>
      </c>
      <c r="H1774" s="2" t="n">
        <v>46323.63958333333</v>
      </c>
      <c r="I1774" s="2" t="n">
        <v>46324.45486111111</v>
      </c>
      <c r="J1774" t="inlineStr">
        <is>
          <t>Completed</t>
        </is>
      </c>
      <c r="K1774" t="n">
        <v>4.82</v>
      </c>
      <c r="L1774" t="n">
        <v>12</v>
      </c>
      <c r="M1774" t="b">
        <v>0</v>
      </c>
      <c r="N1774" t="n">
        <v>0</v>
      </c>
      <c r="O1774" t="b">
        <v>1</v>
      </c>
      <c r="P1774" t="b">
        <v>0</v>
      </c>
      <c r="Q1774" t="b">
        <v>1</v>
      </c>
    </row>
    <row r="1775">
      <c r="A1775" t="inlineStr">
        <is>
          <t>REQ01774</t>
        </is>
      </c>
      <c r="B1775" t="inlineStr">
        <is>
          <t>213800GBEEYEMPI9AS03</t>
        </is>
      </c>
      <c r="C1775" t="inlineStr">
        <is>
          <t>data_amendment</t>
        </is>
      </c>
      <c r="D1775" s="2" t="n">
        <v>46323.62916666667</v>
      </c>
      <c r="E1775" s="2" t="n">
        <v>46324.5875</v>
      </c>
      <c r="F1775" t="inlineStr">
        <is>
          <t>M3</t>
        </is>
      </c>
      <c r="G1775" t="inlineStr">
        <is>
          <t>C3</t>
        </is>
      </c>
      <c r="H1775" s="2" t="n">
        <v>46323.63888888889</v>
      </c>
      <c r="I1775" s="2" t="n">
        <v>46324.39861111111</v>
      </c>
      <c r="J1775" t="inlineStr">
        <is>
          <t>Completed</t>
        </is>
      </c>
      <c r="K1775" t="n">
        <v>3.47</v>
      </c>
      <c r="L1775" t="n">
        <v>8</v>
      </c>
      <c r="M1775" t="b">
        <v>0</v>
      </c>
      <c r="N1775" t="n">
        <v>0</v>
      </c>
      <c r="O1775" t="b">
        <v>1</v>
      </c>
      <c r="P1775" t="b">
        <v>0</v>
      </c>
      <c r="Q1775" t="b">
        <v>1</v>
      </c>
    </row>
    <row r="1776">
      <c r="A1776" t="inlineStr">
        <is>
          <t>REQ01775</t>
        </is>
      </c>
      <c r="B1776" t="inlineStr">
        <is>
          <t>213800HN8RAUSV9YU939</t>
        </is>
      </c>
      <c r="C1776" t="inlineStr">
        <is>
          <t>signatory_change</t>
        </is>
      </c>
      <c r="D1776" s="2" t="n">
        <v>46323.62986111111</v>
      </c>
      <c r="E1776" s="2" t="n">
        <v>46324.58819444444</v>
      </c>
      <c r="F1776" t="inlineStr">
        <is>
          <t>M1</t>
        </is>
      </c>
      <c r="G1776" t="inlineStr">
        <is>
          <t>C2</t>
        </is>
      </c>
      <c r="H1776" s="2" t="n">
        <v>46323.65555555555</v>
      </c>
      <c r="I1776" s="2" t="n">
        <v>46323.6625</v>
      </c>
      <c r="J1776" t="inlineStr">
        <is>
          <t>Completed</t>
        </is>
      </c>
      <c r="K1776" t="n">
        <v>0.79</v>
      </c>
      <c r="L1776" t="n">
        <v>8</v>
      </c>
      <c r="M1776" t="b">
        <v>0</v>
      </c>
      <c r="N1776" t="n">
        <v>0</v>
      </c>
      <c r="O1776" t="b">
        <v>1</v>
      </c>
      <c r="P1776" t="b">
        <v>0</v>
      </c>
      <c r="Q1776" t="b">
        <v>0</v>
      </c>
    </row>
    <row r="1777">
      <c r="A1777" t="inlineStr">
        <is>
          <t>REQ01776</t>
        </is>
      </c>
      <c r="B1777" t="inlineStr">
        <is>
          <t>724500MDCA0BNJK6G635</t>
        </is>
      </c>
      <c r="C1777" t="inlineStr">
        <is>
          <t>new_account</t>
        </is>
      </c>
      <c r="D1777" s="2" t="n">
        <v>46323.6375</v>
      </c>
      <c r="E1777" s="2" t="n">
        <v>46325.55416666667</v>
      </c>
      <c r="F1777" t="inlineStr">
        <is>
          <t>M5</t>
        </is>
      </c>
      <c r="G1777" t="inlineStr">
        <is>
          <t>C2</t>
        </is>
      </c>
      <c r="H1777" s="2" t="n">
        <v>46323.67361111111</v>
      </c>
      <c r="I1777" s="2" t="n">
        <v>46323.7125</v>
      </c>
      <c r="J1777" t="inlineStr">
        <is>
          <t>Completed</t>
        </is>
      </c>
      <c r="K1777" t="n">
        <v>1.79</v>
      </c>
      <c r="L1777" t="n">
        <v>16</v>
      </c>
      <c r="M1777" t="b">
        <v>0</v>
      </c>
      <c r="N1777" t="n">
        <v>1</v>
      </c>
      <c r="O1777" t="b">
        <v>0</v>
      </c>
      <c r="P1777" t="b">
        <v>1</v>
      </c>
      <c r="Q1777" t="b">
        <v>0</v>
      </c>
    </row>
    <row r="1778">
      <c r="A1778" t="inlineStr">
        <is>
          <t>REQ01777</t>
        </is>
      </c>
      <c r="B1778" t="inlineStr">
        <is>
          <t>6488CQURT17B91624O06</t>
        </is>
      </c>
      <c r="C1778" t="inlineStr">
        <is>
          <t>document_refresh</t>
        </is>
      </c>
      <c r="D1778" s="2" t="n">
        <v>46323.6375</v>
      </c>
      <c r="E1778" s="2" t="n">
        <v>46325.3875</v>
      </c>
      <c r="F1778" t="inlineStr">
        <is>
          <t>M3</t>
        </is>
      </c>
      <c r="G1778" t="inlineStr">
        <is>
          <t>C3</t>
        </is>
      </c>
      <c r="H1778" s="2" t="n">
        <v>46323.64930555555</v>
      </c>
      <c r="I1778" s="2" t="n">
        <v>46323.65625</v>
      </c>
      <c r="J1778" t="inlineStr">
        <is>
          <t>Completed</t>
        </is>
      </c>
      <c r="K1778" t="n">
        <v>0.46</v>
      </c>
      <c r="L1778" t="n">
        <v>12</v>
      </c>
      <c r="M1778" t="b">
        <v>0</v>
      </c>
      <c r="N1778" t="n">
        <v>0</v>
      </c>
      <c r="O1778" t="b">
        <v>1</v>
      </c>
      <c r="P1778" t="b">
        <v>0</v>
      </c>
      <c r="Q1778" t="b">
        <v>0</v>
      </c>
    </row>
    <row r="1779">
      <c r="A1779" t="inlineStr">
        <is>
          <t>REQ01778</t>
        </is>
      </c>
      <c r="B1779" t="inlineStr">
        <is>
          <t>3358003ITMVTBBWX3A36</t>
        </is>
      </c>
      <c r="C1779" t="inlineStr">
        <is>
          <t>data_amendment</t>
        </is>
      </c>
      <c r="D1779" s="2" t="n">
        <v>46323.64930555555</v>
      </c>
      <c r="E1779" s="2" t="n">
        <v>46324.60763888889</v>
      </c>
      <c r="F1779" t="inlineStr">
        <is>
          <t>M6</t>
        </is>
      </c>
      <c r="G1779" t="inlineStr">
        <is>
          <t>C1</t>
        </is>
      </c>
      <c r="H1779" s="2" t="n">
        <v>46323.6625</v>
      </c>
      <c r="I1779" s="2" t="n">
        <v>46323.66527777778</v>
      </c>
      <c r="J1779" t="inlineStr">
        <is>
          <t>Completed</t>
        </is>
      </c>
      <c r="K1779" t="n">
        <v>0.39</v>
      </c>
      <c r="L1779" t="n">
        <v>8</v>
      </c>
      <c r="M1779" t="b">
        <v>0</v>
      </c>
      <c r="N1779" t="n">
        <v>0</v>
      </c>
      <c r="O1779" t="b">
        <v>1</v>
      </c>
      <c r="P1779" t="b">
        <v>0</v>
      </c>
      <c r="Q1779" t="b">
        <v>0</v>
      </c>
    </row>
    <row r="1780">
      <c r="A1780" t="inlineStr">
        <is>
          <t>REQ01779</t>
        </is>
      </c>
      <c r="B1780" t="inlineStr">
        <is>
          <t>529900PZHWIQLEJ15083</t>
        </is>
      </c>
      <c r="C1780" t="inlineStr">
        <is>
          <t>document_refresh</t>
        </is>
      </c>
      <c r="D1780" s="2" t="n">
        <v>46323.64930555555</v>
      </c>
      <c r="E1780" s="2" t="n">
        <v>46325.39930555555</v>
      </c>
      <c r="F1780" t="inlineStr">
        <is>
          <t>M4</t>
        </is>
      </c>
      <c r="G1780" t="inlineStr">
        <is>
          <t>C2</t>
        </is>
      </c>
      <c r="H1780" s="2" t="n">
        <v>46323.65972222222</v>
      </c>
      <c r="I1780" s="2" t="n">
        <v>46324.52638888889</v>
      </c>
      <c r="J1780" t="inlineStr">
        <is>
          <t>Completed</t>
        </is>
      </c>
      <c r="K1780" t="n">
        <v>6.06</v>
      </c>
      <c r="L1780" t="n">
        <v>12</v>
      </c>
      <c r="M1780" t="b">
        <v>0</v>
      </c>
      <c r="N1780" t="n">
        <v>0</v>
      </c>
      <c r="O1780" t="b">
        <v>1</v>
      </c>
      <c r="P1780" t="b">
        <v>0</v>
      </c>
      <c r="Q1780" t="b">
        <v>1</v>
      </c>
    </row>
    <row r="1781">
      <c r="A1781" t="inlineStr">
        <is>
          <t>REQ01780</t>
        </is>
      </c>
      <c r="B1781" t="inlineStr">
        <is>
          <t>335800ZYZNKQ6CQO5956</t>
        </is>
      </c>
      <c r="C1781" t="inlineStr">
        <is>
          <t>data_amendment</t>
        </is>
      </c>
      <c r="D1781" s="2" t="n">
        <v>46323.65277777778</v>
      </c>
      <c r="E1781" s="2" t="n">
        <v>46324.61111111111</v>
      </c>
      <c r="F1781" t="inlineStr">
        <is>
          <t>M3</t>
        </is>
      </c>
      <c r="G1781" t="inlineStr">
        <is>
          <t>C3</t>
        </is>
      </c>
      <c r="H1781" s="2" t="n">
        <v>46323.6625</v>
      </c>
      <c r="I1781" s="2" t="n">
        <v>46323.66666666666</v>
      </c>
      <c r="J1781" t="inlineStr">
        <is>
          <t>Completed</t>
        </is>
      </c>
      <c r="K1781" t="n">
        <v>0.33</v>
      </c>
      <c r="L1781" t="n">
        <v>8</v>
      </c>
      <c r="M1781" t="b">
        <v>0</v>
      </c>
      <c r="N1781" t="n">
        <v>0</v>
      </c>
      <c r="O1781" t="b">
        <v>1</v>
      </c>
      <c r="P1781" t="b">
        <v>0</v>
      </c>
      <c r="Q1781" t="b">
        <v>0</v>
      </c>
    </row>
    <row r="1782">
      <c r="A1782" t="inlineStr">
        <is>
          <t>REQ01781</t>
        </is>
      </c>
      <c r="B1782" t="inlineStr">
        <is>
          <t>529900B5WCTC9Z8R0I81</t>
        </is>
      </c>
      <c r="C1782" t="inlineStr">
        <is>
          <t>document_refresh</t>
        </is>
      </c>
      <c r="D1782" s="2" t="n">
        <v>46323.65625</v>
      </c>
      <c r="E1782" s="2" t="n">
        <v>46325.40625</v>
      </c>
      <c r="F1782" t="inlineStr">
        <is>
          <t>M1</t>
        </is>
      </c>
      <c r="G1782" t="inlineStr">
        <is>
          <t>C1</t>
        </is>
      </c>
      <c r="H1782" s="2" t="n">
        <v>46323.67430555556</v>
      </c>
      <c r="I1782" s="2" t="n">
        <v>46323.67847222222</v>
      </c>
      <c r="J1782" t="inlineStr">
        <is>
          <t>Completed</t>
        </is>
      </c>
      <c r="K1782" t="n">
        <v>0.53</v>
      </c>
      <c r="L1782" t="n">
        <v>12</v>
      </c>
      <c r="M1782" t="b">
        <v>0</v>
      </c>
      <c r="N1782" t="n">
        <v>0</v>
      </c>
      <c r="O1782" t="b">
        <v>1</v>
      </c>
      <c r="P1782" t="b">
        <v>0</v>
      </c>
      <c r="Q1782" t="b">
        <v>0</v>
      </c>
    </row>
    <row r="1783">
      <c r="A1783" t="inlineStr">
        <is>
          <t>REQ01782</t>
        </is>
      </c>
      <c r="B1783" t="inlineStr">
        <is>
          <t>254900LMHLDLNXP6H922</t>
        </is>
      </c>
      <c r="C1783" t="inlineStr">
        <is>
          <t>new_account</t>
        </is>
      </c>
      <c r="D1783" s="2" t="n">
        <v>46323.65694444445</v>
      </c>
      <c r="E1783" s="2" t="n">
        <v>46325.57361111111</v>
      </c>
      <c r="F1783" t="inlineStr">
        <is>
          <t>M4</t>
        </is>
      </c>
      <c r="G1783" t="inlineStr">
        <is>
          <t>C2</t>
        </is>
      </c>
      <c r="H1783" s="2" t="n">
        <v>46323.68333333333</v>
      </c>
      <c r="I1783" s="2" t="n">
        <v>46324.44027777778</v>
      </c>
      <c r="J1783" t="inlineStr">
        <is>
          <t>Completed</t>
        </is>
      </c>
      <c r="K1783" t="n">
        <v>3.8</v>
      </c>
      <c r="L1783" t="n">
        <v>16</v>
      </c>
      <c r="M1783" t="b">
        <v>0</v>
      </c>
      <c r="N1783" t="n">
        <v>0</v>
      </c>
      <c r="O1783" t="b">
        <v>1</v>
      </c>
      <c r="P1783" t="b">
        <v>0</v>
      </c>
      <c r="Q1783" t="b">
        <v>1</v>
      </c>
    </row>
    <row r="1784">
      <c r="A1784" t="inlineStr">
        <is>
          <t>REQ01783</t>
        </is>
      </c>
      <c r="B1784" t="inlineStr">
        <is>
          <t>52990052SPNRYZX42S20</t>
        </is>
      </c>
      <c r="C1784" t="inlineStr">
        <is>
          <t>document_refresh</t>
        </is>
      </c>
      <c r="D1784" s="2" t="n">
        <v>46323.65833333333</v>
      </c>
      <c r="E1784" s="2" t="n">
        <v>46325.40833333333</v>
      </c>
      <c r="F1784" t="inlineStr">
        <is>
          <t>M2</t>
        </is>
      </c>
      <c r="G1784" t="inlineStr">
        <is>
          <t>C1</t>
        </is>
      </c>
      <c r="H1784" s="2" t="n">
        <v>46323.67291666667</v>
      </c>
      <c r="I1784" s="2" t="n">
        <v>46324.45</v>
      </c>
      <c r="J1784" t="inlineStr">
        <is>
          <t>Completed</t>
        </is>
      </c>
      <c r="K1784" t="n">
        <v>4</v>
      </c>
      <c r="L1784" t="n">
        <v>12</v>
      </c>
      <c r="M1784" t="b">
        <v>0</v>
      </c>
      <c r="N1784" t="n">
        <v>0</v>
      </c>
      <c r="O1784" t="b">
        <v>1</v>
      </c>
      <c r="P1784" t="b">
        <v>0</v>
      </c>
      <c r="Q1784" t="b">
        <v>1</v>
      </c>
    </row>
    <row r="1785">
      <c r="A1785" t="inlineStr">
        <is>
          <t>REQ01784</t>
        </is>
      </c>
      <c r="B1785" t="inlineStr">
        <is>
          <t>5299000XN3AJ5QX5ND70</t>
        </is>
      </c>
      <c r="C1785" t="inlineStr">
        <is>
          <t>signatory_change</t>
        </is>
      </c>
      <c r="D1785" s="2" t="n">
        <v>46323.66388888889</v>
      </c>
      <c r="E1785" s="2" t="n">
        <v>46324.62222222222</v>
      </c>
      <c r="F1785" t="inlineStr">
        <is>
          <t>M6</t>
        </is>
      </c>
      <c r="G1785" t="inlineStr">
        <is>
          <t>C3</t>
        </is>
      </c>
      <c r="H1785" s="2" t="n">
        <v>46323.68888888889</v>
      </c>
      <c r="I1785" s="2" t="n">
        <v>46323.7125</v>
      </c>
      <c r="J1785" t="inlineStr">
        <is>
          <t>Completed</t>
        </is>
      </c>
      <c r="K1785" t="n">
        <v>1.16</v>
      </c>
      <c r="L1785" t="n">
        <v>8</v>
      </c>
      <c r="M1785" t="b">
        <v>0</v>
      </c>
      <c r="N1785" t="n">
        <v>1</v>
      </c>
      <c r="O1785" t="b">
        <v>0</v>
      </c>
      <c r="P1785" t="b">
        <v>1</v>
      </c>
      <c r="Q1785" t="b">
        <v>0</v>
      </c>
    </row>
    <row r="1786">
      <c r="A1786" t="inlineStr">
        <is>
          <t>REQ01785</t>
        </is>
      </c>
      <c r="B1786" t="inlineStr">
        <is>
          <t>21380038FMB3893QS497</t>
        </is>
      </c>
      <c r="C1786" t="inlineStr">
        <is>
          <t>data_amendment</t>
        </is>
      </c>
      <c r="D1786" s="2" t="n">
        <v>46323.66597222222</v>
      </c>
      <c r="E1786" s="2" t="n">
        <v>46324.62430555555</v>
      </c>
      <c r="F1786" t="inlineStr">
        <is>
          <t>M3</t>
        </is>
      </c>
      <c r="G1786" t="inlineStr">
        <is>
          <t>C2</t>
        </is>
      </c>
      <c r="H1786" s="2" t="n">
        <v>46323.67777777778</v>
      </c>
      <c r="I1786" s="2" t="n">
        <v>46324.43263888889</v>
      </c>
      <c r="J1786" t="inlineStr">
        <is>
          <t>Completed</t>
        </is>
      </c>
      <c r="K1786" t="n">
        <v>3.4</v>
      </c>
      <c r="L1786" t="n">
        <v>8</v>
      </c>
      <c r="M1786" t="b">
        <v>0</v>
      </c>
      <c r="N1786" t="n">
        <v>0</v>
      </c>
      <c r="O1786" t="b">
        <v>1</v>
      </c>
      <c r="P1786" t="b">
        <v>0</v>
      </c>
      <c r="Q1786" t="b">
        <v>1</v>
      </c>
    </row>
    <row r="1787">
      <c r="A1787" t="inlineStr">
        <is>
          <t>REQ01786</t>
        </is>
      </c>
      <c r="B1787" t="inlineStr">
        <is>
          <t>9695003G4DM9EMWV8254</t>
        </is>
      </c>
      <c r="C1787" t="inlineStr">
        <is>
          <t>signatory_change</t>
        </is>
      </c>
      <c r="D1787" s="2" t="n">
        <v>46323.66666666666</v>
      </c>
      <c r="E1787" s="2" t="n">
        <v>46324.625</v>
      </c>
      <c r="F1787" t="inlineStr">
        <is>
          <t>M2</t>
        </is>
      </c>
      <c r="G1787" t="inlineStr">
        <is>
          <t>C1</t>
        </is>
      </c>
      <c r="H1787" s="2" t="n">
        <v>46323.68888888889</v>
      </c>
      <c r="I1787" s="2" t="n">
        <v>46324.525</v>
      </c>
      <c r="J1787" t="inlineStr">
        <is>
          <t>Completed</t>
        </is>
      </c>
      <c r="K1787" t="n">
        <v>5.6</v>
      </c>
      <c r="L1787" t="n">
        <v>8</v>
      </c>
      <c r="M1787" t="b">
        <v>0</v>
      </c>
      <c r="N1787" t="n">
        <v>0</v>
      </c>
      <c r="O1787" t="b">
        <v>1</v>
      </c>
      <c r="P1787" t="b">
        <v>0</v>
      </c>
      <c r="Q1787" t="b">
        <v>1</v>
      </c>
    </row>
    <row r="1788">
      <c r="A1788" t="inlineStr">
        <is>
          <t>REQ01787</t>
        </is>
      </c>
      <c r="B1788" t="inlineStr">
        <is>
          <t>54930064GVRE21KSNK35</t>
        </is>
      </c>
      <c r="C1788" t="inlineStr">
        <is>
          <t>data_amendment</t>
        </is>
      </c>
      <c r="D1788" s="2" t="n">
        <v>46323.67569444444</v>
      </c>
      <c r="E1788" s="2" t="n">
        <v>46324.63402777778</v>
      </c>
      <c r="F1788" t="inlineStr">
        <is>
          <t>M5</t>
        </is>
      </c>
      <c r="G1788" t="inlineStr">
        <is>
          <t>C2</t>
        </is>
      </c>
      <c r="H1788" s="2" t="n">
        <v>46323.6875</v>
      </c>
      <c r="I1788" s="2" t="n">
        <v>46324.44305555556</v>
      </c>
      <c r="J1788" t="inlineStr">
        <is>
          <t>Completed</t>
        </is>
      </c>
      <c r="K1788" t="n">
        <v>3.42</v>
      </c>
      <c r="L1788" t="n">
        <v>8</v>
      </c>
      <c r="M1788" t="b">
        <v>0</v>
      </c>
      <c r="N1788" t="n">
        <v>0</v>
      </c>
      <c r="O1788" t="b">
        <v>1</v>
      </c>
      <c r="P1788" t="b">
        <v>0</v>
      </c>
      <c r="Q1788" t="b">
        <v>1</v>
      </c>
    </row>
    <row r="1789">
      <c r="A1789" t="inlineStr">
        <is>
          <t>REQ01788</t>
        </is>
      </c>
      <c r="B1789" t="inlineStr">
        <is>
          <t>894500XF515UDNDLSE04</t>
        </is>
      </c>
      <c r="C1789" t="inlineStr">
        <is>
          <t>new_account</t>
        </is>
      </c>
      <c r="D1789" s="2" t="n">
        <v>46323.68194444444</v>
      </c>
      <c r="E1789" s="2" t="n">
        <v>46325.59861111111</v>
      </c>
      <c r="F1789" t="inlineStr">
        <is>
          <t>M1</t>
        </is>
      </c>
      <c r="G1789" t="inlineStr">
        <is>
          <t>C2</t>
        </is>
      </c>
      <c r="H1789" s="2" t="n">
        <v>46323.72013888889</v>
      </c>
      <c r="I1789" s="2" t="n">
        <v>46323.73402777778</v>
      </c>
      <c r="J1789" t="inlineStr">
        <is>
          <t>Completed</t>
        </is>
      </c>
      <c r="K1789" t="n">
        <v>1.24</v>
      </c>
      <c r="L1789" t="n">
        <v>16</v>
      </c>
      <c r="M1789" t="b">
        <v>0</v>
      </c>
      <c r="N1789" t="n">
        <v>0</v>
      </c>
      <c r="O1789" t="b">
        <v>1</v>
      </c>
      <c r="P1789" t="b">
        <v>0</v>
      </c>
      <c r="Q1789" t="b">
        <v>0</v>
      </c>
    </row>
    <row r="1790">
      <c r="A1790" t="inlineStr">
        <is>
          <t>REQ01789</t>
        </is>
      </c>
      <c r="B1790" t="inlineStr">
        <is>
          <t>213800OVTQKSISR9WZ72</t>
        </is>
      </c>
      <c r="C1790" t="inlineStr">
        <is>
          <t>signatory_change</t>
        </is>
      </c>
      <c r="D1790" s="2" t="n">
        <v>46323.68263888889</v>
      </c>
      <c r="E1790" s="2" t="n">
        <v>46324.64097222222</v>
      </c>
      <c r="F1790" t="inlineStr">
        <is>
          <t>M3</t>
        </is>
      </c>
      <c r="G1790" t="inlineStr">
        <is>
          <t>C3</t>
        </is>
      </c>
      <c r="H1790" s="2" t="n">
        <v>46323.70833333334</v>
      </c>
      <c r="I1790" s="2" t="n">
        <v>46324.58472222222</v>
      </c>
      <c r="J1790" t="inlineStr">
        <is>
          <t>Completed</t>
        </is>
      </c>
      <c r="K1790" t="n">
        <v>6.65</v>
      </c>
      <c r="L1790" t="n">
        <v>8</v>
      </c>
      <c r="M1790" t="b">
        <v>0</v>
      </c>
      <c r="N1790" t="n">
        <v>0</v>
      </c>
      <c r="O1790" t="b">
        <v>1</v>
      </c>
      <c r="P1790" t="b">
        <v>0</v>
      </c>
      <c r="Q1790" t="b">
        <v>1</v>
      </c>
    </row>
    <row r="1791">
      <c r="A1791" t="inlineStr">
        <is>
          <t>REQ01790</t>
        </is>
      </c>
      <c r="B1791" t="inlineStr">
        <is>
          <t>5299002IW5AENF3PZB66</t>
        </is>
      </c>
      <c r="C1791" t="inlineStr">
        <is>
          <t>new_account</t>
        </is>
      </c>
      <c r="D1791" s="2" t="n">
        <v>46323.68402777778</v>
      </c>
      <c r="E1791" s="2" t="n">
        <v>46325.60069444445</v>
      </c>
      <c r="F1791" t="inlineStr">
        <is>
          <t>M4</t>
        </is>
      </c>
      <c r="G1791" t="inlineStr">
        <is>
          <t>C1</t>
        </is>
      </c>
      <c r="H1791" s="2" t="n">
        <v>46323.70694444444</v>
      </c>
      <c r="I1791" s="2" t="n">
        <v>46323.71944444445</v>
      </c>
      <c r="J1791" t="inlineStr">
        <is>
          <t>Completed</t>
        </is>
      </c>
      <c r="K1791" t="n">
        <v>0.85</v>
      </c>
      <c r="L1791" t="n">
        <v>16</v>
      </c>
      <c r="M1791" t="b">
        <v>0</v>
      </c>
      <c r="N1791" t="n">
        <v>0</v>
      </c>
      <c r="O1791" t="b">
        <v>1</v>
      </c>
      <c r="P1791" t="b">
        <v>0</v>
      </c>
      <c r="Q1791" t="b">
        <v>0</v>
      </c>
    </row>
    <row r="1792">
      <c r="A1792" t="inlineStr">
        <is>
          <t>REQ01791</t>
        </is>
      </c>
      <c r="B1792" t="inlineStr">
        <is>
          <t>213800WGPHJ5MC5QLJ19</t>
        </is>
      </c>
      <c r="C1792" t="inlineStr">
        <is>
          <t>document_refresh</t>
        </is>
      </c>
      <c r="D1792" s="2" t="n">
        <v>46323.68472222222</v>
      </c>
      <c r="E1792" s="2" t="n">
        <v>46325.43472222222</v>
      </c>
      <c r="F1792" t="inlineStr">
        <is>
          <t>M5</t>
        </is>
      </c>
      <c r="G1792" t="inlineStr">
        <is>
          <t>C1</t>
        </is>
      </c>
      <c r="H1792" s="2" t="n">
        <v>46323.70138888889</v>
      </c>
      <c r="I1792" s="2" t="n">
        <v>46323.70555555556</v>
      </c>
      <c r="J1792" t="inlineStr">
        <is>
          <t>Completed</t>
        </is>
      </c>
      <c r="K1792" t="n">
        <v>0.5</v>
      </c>
      <c r="L1792" t="n">
        <v>12</v>
      </c>
      <c r="M1792" t="b">
        <v>0</v>
      </c>
      <c r="N1792" t="n">
        <v>0</v>
      </c>
      <c r="O1792" t="b">
        <v>1</v>
      </c>
      <c r="P1792" t="b">
        <v>0</v>
      </c>
      <c r="Q1792" t="b">
        <v>0</v>
      </c>
    </row>
    <row r="1793">
      <c r="A1793" t="inlineStr">
        <is>
          <t>REQ01792</t>
        </is>
      </c>
      <c r="B1793" t="inlineStr">
        <is>
          <t>213800FTKAKRXEEIW123</t>
        </is>
      </c>
      <c r="C1793" t="inlineStr">
        <is>
          <t>document_refresh</t>
        </is>
      </c>
      <c r="D1793" s="2" t="n">
        <v>46323.68680555555</v>
      </c>
      <c r="E1793" s="2" t="n">
        <v>46325.43680555555</v>
      </c>
      <c r="F1793" t="inlineStr">
        <is>
          <t>M6</t>
        </is>
      </c>
      <c r="G1793" t="inlineStr">
        <is>
          <t>C3</t>
        </is>
      </c>
      <c r="H1793" s="2" t="n">
        <v>46323.70069444444</v>
      </c>
      <c r="I1793" s="2" t="n">
        <v>46323.70555555556</v>
      </c>
      <c r="J1793" t="inlineStr">
        <is>
          <t>Completed</t>
        </is>
      </c>
      <c r="K1793" t="n">
        <v>0.44</v>
      </c>
      <c r="L1793" t="n">
        <v>12</v>
      </c>
      <c r="M1793" t="b">
        <v>0</v>
      </c>
      <c r="N1793" t="n">
        <v>0</v>
      </c>
      <c r="O1793" t="b">
        <v>1</v>
      </c>
      <c r="P1793" t="b">
        <v>0</v>
      </c>
      <c r="Q1793" t="b">
        <v>0</v>
      </c>
    </row>
    <row r="1794">
      <c r="A1794" t="inlineStr">
        <is>
          <t>REQ01793</t>
        </is>
      </c>
      <c r="B1794" t="inlineStr">
        <is>
          <t>21380016VY8QR6E94M54</t>
        </is>
      </c>
      <c r="C1794" t="inlineStr">
        <is>
          <t>new_account</t>
        </is>
      </c>
      <c r="D1794" s="2" t="n">
        <v>46323.69097222222</v>
      </c>
      <c r="E1794" s="2" t="n">
        <v>46325.60763888889</v>
      </c>
      <c r="F1794" t="inlineStr">
        <is>
          <t>M2</t>
        </is>
      </c>
      <c r="G1794" t="inlineStr">
        <is>
          <t>C3</t>
        </is>
      </c>
      <c r="H1794" s="2" t="n">
        <v>46323.72708333333</v>
      </c>
      <c r="I1794" s="2" t="n">
        <v>46324.56180555555</v>
      </c>
      <c r="J1794" t="inlineStr">
        <is>
          <t>Completed</t>
        </is>
      </c>
      <c r="K1794" t="n">
        <v>5.9</v>
      </c>
      <c r="L1794" t="n">
        <v>16</v>
      </c>
      <c r="M1794" t="b">
        <v>0</v>
      </c>
      <c r="N1794" t="n">
        <v>0</v>
      </c>
      <c r="O1794" t="b">
        <v>1</v>
      </c>
      <c r="P1794" t="b">
        <v>0</v>
      </c>
      <c r="Q1794" t="b">
        <v>1</v>
      </c>
    </row>
    <row r="1795">
      <c r="A1795" t="inlineStr">
        <is>
          <t>REQ01794</t>
        </is>
      </c>
      <c r="B1795" t="inlineStr">
        <is>
          <t>7245009D2IML03Z9ZL13</t>
        </is>
      </c>
      <c r="C1795" t="inlineStr">
        <is>
          <t>document_refresh</t>
        </is>
      </c>
      <c r="D1795" s="2" t="n">
        <v>46323.70138888889</v>
      </c>
      <c r="E1795" s="2" t="n">
        <v>46325.45138888889</v>
      </c>
      <c r="F1795" t="inlineStr">
        <is>
          <t>M6</t>
        </is>
      </c>
      <c r="G1795" t="inlineStr">
        <is>
          <t>C3</t>
        </is>
      </c>
      <c r="H1795" s="2" t="n">
        <v>46323.71180555555</v>
      </c>
      <c r="I1795" s="2" t="n">
        <v>46324.46736111111</v>
      </c>
      <c r="J1795" t="inlineStr">
        <is>
          <t>Completed</t>
        </is>
      </c>
      <c r="K1795" t="n">
        <v>3.39</v>
      </c>
      <c r="L1795" t="n">
        <v>12</v>
      </c>
      <c r="M1795" t="b">
        <v>0</v>
      </c>
      <c r="N1795" t="n">
        <v>0</v>
      </c>
      <c r="O1795" t="b">
        <v>1</v>
      </c>
      <c r="P1795" t="b">
        <v>0</v>
      </c>
      <c r="Q1795" t="b">
        <v>1</v>
      </c>
    </row>
    <row r="1796">
      <c r="A1796" t="inlineStr">
        <is>
          <t>REQ01795</t>
        </is>
      </c>
      <c r="B1796" t="inlineStr">
        <is>
          <t>9695002MNPXQIDHU5D22</t>
        </is>
      </c>
      <c r="C1796" t="inlineStr">
        <is>
          <t>new_account</t>
        </is>
      </c>
      <c r="D1796" s="2" t="n">
        <v>46323.70138888889</v>
      </c>
      <c r="E1796" s="2" t="n">
        <v>46325.61805555555</v>
      </c>
      <c r="F1796" t="inlineStr">
        <is>
          <t>M5</t>
        </is>
      </c>
      <c r="G1796" t="inlineStr">
        <is>
          <t>C1</t>
        </is>
      </c>
      <c r="H1796" s="2" t="n">
        <v>46323.73125</v>
      </c>
      <c r="I1796" s="2" t="n">
        <v>46323.74722222222</v>
      </c>
      <c r="J1796" t="inlineStr">
        <is>
          <t>Completed</t>
        </is>
      </c>
      <c r="K1796" t="n">
        <v>1.1</v>
      </c>
      <c r="L1796" t="n">
        <v>16</v>
      </c>
      <c r="M1796" t="b">
        <v>0</v>
      </c>
      <c r="N1796" t="n">
        <v>0</v>
      </c>
      <c r="O1796" t="b">
        <v>1</v>
      </c>
      <c r="P1796" t="b">
        <v>0</v>
      </c>
      <c r="Q1796" t="b">
        <v>0</v>
      </c>
    </row>
    <row r="1797">
      <c r="A1797" t="inlineStr">
        <is>
          <t>REQ01796</t>
        </is>
      </c>
      <c r="B1797" t="inlineStr">
        <is>
          <t>6488Z4ZRJ2E64112YP61</t>
        </is>
      </c>
      <c r="C1797" t="inlineStr">
        <is>
          <t>document_refresh</t>
        </is>
      </c>
      <c r="D1797" s="2" t="n">
        <v>46323.71597222222</v>
      </c>
      <c r="E1797" s="2" t="n">
        <v>46325.46597222222</v>
      </c>
      <c r="F1797" t="inlineStr">
        <is>
          <t>M4</t>
        </is>
      </c>
      <c r="G1797" t="inlineStr">
        <is>
          <t>C3</t>
        </is>
      </c>
      <c r="H1797" s="2" t="n">
        <v>46323.73333333333</v>
      </c>
      <c r="I1797" s="2" t="n">
        <v>46324.57222222222</v>
      </c>
      <c r="J1797" t="inlineStr">
        <is>
          <t>Completed</t>
        </is>
      </c>
      <c r="K1797" t="n">
        <v>5.55</v>
      </c>
      <c r="L1797" t="n">
        <v>12</v>
      </c>
      <c r="M1797" t="b">
        <v>0</v>
      </c>
      <c r="N1797" t="n">
        <v>0</v>
      </c>
      <c r="O1797" t="b">
        <v>1</v>
      </c>
      <c r="P1797" t="b">
        <v>0</v>
      </c>
      <c r="Q1797" t="b">
        <v>1</v>
      </c>
    </row>
    <row r="1798">
      <c r="A1798" t="inlineStr">
        <is>
          <t>REQ01797</t>
        </is>
      </c>
      <c r="B1798" t="inlineStr">
        <is>
          <t>984500D7D2CFBE3E3664</t>
        </is>
      </c>
      <c r="C1798" t="inlineStr">
        <is>
          <t>new_account</t>
        </is>
      </c>
      <c r="D1798" s="2" t="n">
        <v>46323.71875</v>
      </c>
      <c r="E1798" s="2" t="n">
        <v>46325.63541666666</v>
      </c>
      <c r="F1798" t="inlineStr">
        <is>
          <t>M3</t>
        </is>
      </c>
      <c r="G1798" t="inlineStr">
        <is>
          <t>C3</t>
        </is>
      </c>
      <c r="H1798" s="2" t="n">
        <v>46323.74444444444</v>
      </c>
      <c r="I1798" s="2" t="n">
        <v>46324.38263888889</v>
      </c>
      <c r="J1798" t="inlineStr">
        <is>
          <t>Completed</t>
        </is>
      </c>
      <c r="K1798" t="n">
        <v>0.9399999999999999</v>
      </c>
      <c r="L1798" t="n">
        <v>16</v>
      </c>
      <c r="M1798" t="b">
        <v>0</v>
      </c>
      <c r="N1798" t="n">
        <v>0</v>
      </c>
      <c r="O1798" t="b">
        <v>1</v>
      </c>
      <c r="P1798" t="b">
        <v>0</v>
      </c>
      <c r="Q1798" t="b">
        <v>0</v>
      </c>
    </row>
    <row r="1799">
      <c r="A1799" t="inlineStr">
        <is>
          <t>REQ01798</t>
        </is>
      </c>
      <c r="B1799" t="inlineStr">
        <is>
          <t>7245005HMK2XGE4UVL91</t>
        </is>
      </c>
      <c r="C1799" t="inlineStr">
        <is>
          <t>signatory_change</t>
        </is>
      </c>
      <c r="D1799" s="2" t="n">
        <v>46323.71875</v>
      </c>
      <c r="E1799" s="2" t="n">
        <v>46324.67708333334</v>
      </c>
      <c r="F1799" t="inlineStr">
        <is>
          <t>M6</t>
        </is>
      </c>
      <c r="G1799" t="inlineStr">
        <is>
          <t>C2</t>
        </is>
      </c>
      <c r="H1799" s="2" t="n">
        <v>46323.74027777778</v>
      </c>
      <c r="I1799" s="2" t="n">
        <v>46323.74861111111</v>
      </c>
      <c r="J1799" t="inlineStr">
        <is>
          <t>Completed</t>
        </is>
      </c>
      <c r="K1799" t="n">
        <v>0.72</v>
      </c>
      <c r="L1799" t="n">
        <v>8</v>
      </c>
      <c r="M1799" t="b">
        <v>0</v>
      </c>
      <c r="N1799" t="n">
        <v>0</v>
      </c>
      <c r="O1799" t="b">
        <v>1</v>
      </c>
      <c r="P1799" t="b">
        <v>0</v>
      </c>
      <c r="Q1799" t="b">
        <v>0</v>
      </c>
    </row>
    <row r="1800">
      <c r="A1800" t="inlineStr">
        <is>
          <t>REQ01799</t>
        </is>
      </c>
      <c r="B1800" t="inlineStr">
        <is>
          <t>335800F59CL5R8CP2U08</t>
        </is>
      </c>
      <c r="C1800" t="inlineStr">
        <is>
          <t>document_refresh</t>
        </is>
      </c>
      <c r="D1800" s="2" t="n">
        <v>46323.72013888889</v>
      </c>
      <c r="E1800" s="2" t="n">
        <v>46325.47013888889</v>
      </c>
      <c r="F1800" t="inlineStr">
        <is>
          <t>M1</t>
        </is>
      </c>
      <c r="G1800" t="inlineStr">
        <is>
          <t>C2</t>
        </is>
      </c>
      <c r="H1800" s="2" t="n">
        <v>46323.73125</v>
      </c>
      <c r="I1800" s="2" t="n">
        <v>46323.73958333334</v>
      </c>
      <c r="J1800" t="inlineStr">
        <is>
          <t>Completed</t>
        </is>
      </c>
      <c r="K1800" t="n">
        <v>0.46</v>
      </c>
      <c r="L1800" t="n">
        <v>12</v>
      </c>
      <c r="M1800" t="b">
        <v>0</v>
      </c>
      <c r="N1800" t="n">
        <v>0</v>
      </c>
      <c r="O1800" t="b">
        <v>1</v>
      </c>
      <c r="P1800" t="b">
        <v>0</v>
      </c>
      <c r="Q1800" t="b">
        <v>0</v>
      </c>
    </row>
    <row r="1801">
      <c r="A1801" t="inlineStr">
        <is>
          <t>REQ01800</t>
        </is>
      </c>
      <c r="B1801" t="inlineStr">
        <is>
          <t>96950082RTOKHQJHWQ98</t>
        </is>
      </c>
      <c r="C1801" t="inlineStr">
        <is>
          <t>document_refresh</t>
        </is>
      </c>
      <c r="D1801" s="2" t="n">
        <v>46323.72708333333</v>
      </c>
      <c r="E1801" s="2" t="n">
        <v>46325.47708333333</v>
      </c>
      <c r="F1801" t="inlineStr">
        <is>
          <t>M2</t>
        </is>
      </c>
      <c r="G1801" t="inlineStr">
        <is>
          <t>C2</t>
        </is>
      </c>
      <c r="H1801" s="2" t="n">
        <v>46323.73888888889</v>
      </c>
      <c r="I1801" s="2" t="n">
        <v>46324.55416666667</v>
      </c>
      <c r="J1801" t="inlineStr">
        <is>
          <t>Completed</t>
        </is>
      </c>
      <c r="K1801" t="n">
        <v>4.85</v>
      </c>
      <c r="L1801" t="n">
        <v>12</v>
      </c>
      <c r="M1801" t="b">
        <v>0</v>
      </c>
      <c r="N1801" t="n">
        <v>0</v>
      </c>
      <c r="O1801" t="b">
        <v>1</v>
      </c>
      <c r="P1801" t="b">
        <v>0</v>
      </c>
      <c r="Q1801" t="b">
        <v>1</v>
      </c>
    </row>
    <row r="1802">
      <c r="A1802" t="inlineStr">
        <is>
          <t>REQ01801</t>
        </is>
      </c>
      <c r="B1802" t="inlineStr">
        <is>
          <t>89450035BGLTZDS0I368</t>
        </is>
      </c>
      <c r="C1802" t="inlineStr">
        <is>
          <t>signatory_change</t>
        </is>
      </c>
      <c r="D1802" s="2" t="n">
        <v>46323.73263888889</v>
      </c>
      <c r="E1802" s="2" t="n">
        <v>46324.69097222222</v>
      </c>
      <c r="F1802" t="inlineStr">
        <is>
          <t>M1</t>
        </is>
      </c>
      <c r="G1802" t="inlineStr">
        <is>
          <t>C2</t>
        </is>
      </c>
      <c r="H1802" s="2" t="n">
        <v>46324.37569444445</v>
      </c>
      <c r="I1802" s="2" t="n">
        <v>46324.38263888889</v>
      </c>
      <c r="J1802" t="inlineStr">
        <is>
          <t>Completed</t>
        </is>
      </c>
      <c r="K1802" t="n">
        <v>0.61</v>
      </c>
      <c r="L1802" t="n">
        <v>8</v>
      </c>
      <c r="M1802" t="b">
        <v>0</v>
      </c>
      <c r="N1802" t="n">
        <v>0</v>
      </c>
      <c r="O1802" t="b">
        <v>1</v>
      </c>
      <c r="P1802" t="b">
        <v>0</v>
      </c>
      <c r="Q1802" t="b">
        <v>0</v>
      </c>
    </row>
    <row r="1803">
      <c r="A1803" t="inlineStr">
        <is>
          <t>REQ01802</t>
        </is>
      </c>
      <c r="B1803" t="inlineStr">
        <is>
          <t>969500CFNSZ3V7T6JZ41</t>
        </is>
      </c>
      <c r="C1803" t="inlineStr">
        <is>
          <t>new_account</t>
        </is>
      </c>
      <c r="D1803" s="2" t="n">
        <v>46323.73958333334</v>
      </c>
      <c r="E1803" s="2" t="n">
        <v>46325.65625</v>
      </c>
      <c r="F1803" t="inlineStr">
        <is>
          <t>M5</t>
        </is>
      </c>
      <c r="G1803" t="inlineStr">
        <is>
          <t>C2</t>
        </is>
      </c>
      <c r="H1803" s="2" t="n">
        <v>46324.40486111111</v>
      </c>
      <c r="I1803" s="2" t="n">
        <v>46324.67013888889</v>
      </c>
      <c r="J1803" t="inlineStr">
        <is>
          <t>Completed</t>
        </is>
      </c>
      <c r="K1803" t="n">
        <v>7.34</v>
      </c>
      <c r="L1803" t="n">
        <v>16</v>
      </c>
      <c r="M1803" t="b">
        <v>0</v>
      </c>
      <c r="N1803" t="n">
        <v>0</v>
      </c>
      <c r="O1803" t="b">
        <v>1</v>
      </c>
      <c r="P1803" t="b">
        <v>0</v>
      </c>
      <c r="Q1803" t="b">
        <v>1</v>
      </c>
    </row>
    <row r="1804">
      <c r="A1804" t="inlineStr">
        <is>
          <t>REQ01803</t>
        </is>
      </c>
      <c r="B1804" t="inlineStr">
        <is>
          <t>549300II8UNTBYA2SV57</t>
        </is>
      </c>
      <c r="C1804" t="inlineStr">
        <is>
          <t>signatory_change</t>
        </is>
      </c>
      <c r="D1804" s="2" t="n">
        <v>46323.74097222222</v>
      </c>
      <c r="E1804" s="2" t="n">
        <v>46324.69930555556</v>
      </c>
      <c r="F1804" t="inlineStr">
        <is>
          <t>M4</t>
        </is>
      </c>
      <c r="G1804" t="inlineStr">
        <is>
          <t>C2</t>
        </is>
      </c>
      <c r="H1804" s="2" t="n">
        <v>46324.38472222222</v>
      </c>
      <c r="I1804" s="2" t="n">
        <v>46324.39166666667</v>
      </c>
      <c r="J1804" t="inlineStr">
        <is>
          <t>Completed</t>
        </is>
      </c>
      <c r="K1804" t="n">
        <v>0.61</v>
      </c>
      <c r="L1804" t="n">
        <v>8</v>
      </c>
      <c r="M1804" t="b">
        <v>0</v>
      </c>
      <c r="N1804" t="n">
        <v>0</v>
      </c>
      <c r="O1804" t="b">
        <v>1</v>
      </c>
      <c r="P1804" t="b">
        <v>0</v>
      </c>
      <c r="Q1804" t="b">
        <v>0</v>
      </c>
    </row>
    <row r="1805">
      <c r="A1805" t="inlineStr">
        <is>
          <t>REQ01804</t>
        </is>
      </c>
      <c r="B1805" t="inlineStr">
        <is>
          <t>969500PODKF2X8VI2H41</t>
        </is>
      </c>
      <c r="C1805" t="inlineStr">
        <is>
          <t>document_refresh</t>
        </is>
      </c>
      <c r="D1805" s="2" t="n">
        <v>46323.74236111111</v>
      </c>
      <c r="E1805" s="2" t="n">
        <v>46325.49236111111</v>
      </c>
      <c r="F1805" t="inlineStr">
        <is>
          <t>M2</t>
        </is>
      </c>
      <c r="G1805" t="inlineStr">
        <is>
          <t>C1</t>
        </is>
      </c>
      <c r="H1805" s="2" t="n">
        <v>46324.38263888889</v>
      </c>
      <c r="I1805" s="2" t="n">
        <v>46324.48055555556</v>
      </c>
      <c r="J1805" t="inlineStr">
        <is>
          <t>Completed</t>
        </is>
      </c>
      <c r="K1805" t="n">
        <v>2.71</v>
      </c>
      <c r="L1805" t="n">
        <v>12</v>
      </c>
      <c r="M1805" t="b">
        <v>0</v>
      </c>
      <c r="N1805" t="n">
        <v>0</v>
      </c>
      <c r="O1805" t="b">
        <v>1</v>
      </c>
      <c r="P1805" t="b">
        <v>0</v>
      </c>
      <c r="Q1805" t="b">
        <v>1</v>
      </c>
    </row>
    <row r="1806">
      <c r="A1806" t="inlineStr">
        <is>
          <t>REQ01805</t>
        </is>
      </c>
      <c r="B1806" t="inlineStr">
        <is>
          <t>9845002DC09A7EC84082</t>
        </is>
      </c>
      <c r="C1806" t="inlineStr">
        <is>
          <t>document_refresh</t>
        </is>
      </c>
      <c r="D1806" s="2" t="n">
        <v>46323.74375</v>
      </c>
      <c r="E1806" s="2" t="n">
        <v>46325.49375</v>
      </c>
      <c r="F1806" t="inlineStr">
        <is>
          <t>M6</t>
        </is>
      </c>
      <c r="G1806" t="inlineStr">
        <is>
          <t>C3</t>
        </is>
      </c>
      <c r="H1806" s="2" t="n">
        <v>46324.38333333333</v>
      </c>
      <c r="I1806" s="2" t="n">
        <v>46324.38958333333</v>
      </c>
      <c r="J1806" t="inlineStr">
        <is>
          <t>Completed</t>
        </is>
      </c>
      <c r="K1806" t="n">
        <v>0.49</v>
      </c>
      <c r="L1806" t="n">
        <v>12</v>
      </c>
      <c r="M1806" t="b">
        <v>0</v>
      </c>
      <c r="N1806" t="n">
        <v>0</v>
      </c>
      <c r="O1806" t="b">
        <v>1</v>
      </c>
      <c r="P1806" t="b">
        <v>0</v>
      </c>
      <c r="Q1806" t="b">
        <v>0</v>
      </c>
    </row>
    <row r="1807">
      <c r="A1807" t="inlineStr">
        <is>
          <t>REQ01806</t>
        </is>
      </c>
      <c r="B1807" t="inlineStr">
        <is>
          <t>3358005LTFYIQYGVKM70</t>
        </is>
      </c>
      <c r="C1807" t="inlineStr">
        <is>
          <t>document_refresh</t>
        </is>
      </c>
      <c r="D1807" s="2" t="n">
        <v>46323.74513888889</v>
      </c>
      <c r="E1807" s="2" t="n">
        <v>46325.49513888889</v>
      </c>
      <c r="F1807" t="inlineStr">
        <is>
          <t>M3</t>
        </is>
      </c>
      <c r="G1807" t="inlineStr">
        <is>
          <t>C1</t>
        </is>
      </c>
      <c r="H1807" s="2" t="n">
        <v>46324.38680555556</v>
      </c>
      <c r="I1807" s="2" t="n">
        <v>46324.39097222222</v>
      </c>
      <c r="J1807" t="inlineStr">
        <is>
          <t>Completed</t>
        </is>
      </c>
      <c r="K1807" t="n">
        <v>0.51</v>
      </c>
      <c r="L1807" t="n">
        <v>12</v>
      </c>
      <c r="M1807" t="b">
        <v>0</v>
      </c>
      <c r="N1807" t="n">
        <v>0</v>
      </c>
      <c r="O1807" t="b">
        <v>1</v>
      </c>
      <c r="P1807" t="b">
        <v>0</v>
      </c>
      <c r="Q1807" t="b">
        <v>0</v>
      </c>
    </row>
    <row r="1808">
      <c r="A1808" t="inlineStr">
        <is>
          <t>REQ01807</t>
        </is>
      </c>
      <c r="B1808" t="inlineStr">
        <is>
          <t>254900BSAPUD2B9HKZ08</t>
        </is>
      </c>
      <c r="C1808" t="inlineStr">
        <is>
          <t>new_account</t>
        </is>
      </c>
      <c r="D1808" s="2" t="n">
        <v>46323.74583333333</v>
      </c>
      <c r="E1808" s="2" t="n">
        <v>46325.6625</v>
      </c>
      <c r="F1808" t="inlineStr">
        <is>
          <t>M1</t>
        </is>
      </c>
      <c r="G1808" t="inlineStr">
        <is>
          <t>C1</t>
        </is>
      </c>
      <c r="H1808" s="2" t="n">
        <v>46324.40416666667</v>
      </c>
      <c r="I1808" s="2" t="n">
        <v>46324.41388888889</v>
      </c>
      <c r="J1808" t="inlineStr">
        <is>
          <t>Completed</t>
        </is>
      </c>
      <c r="K1808" t="n">
        <v>1.03</v>
      </c>
      <c r="L1808" t="n">
        <v>16</v>
      </c>
      <c r="M1808" t="b">
        <v>0</v>
      </c>
      <c r="N1808" t="n">
        <v>0</v>
      </c>
      <c r="O1808" t="b">
        <v>1</v>
      </c>
      <c r="P1808" t="b">
        <v>0</v>
      </c>
      <c r="Q1808" t="b">
        <v>0</v>
      </c>
    </row>
    <row r="1809">
      <c r="A1809" t="inlineStr">
        <is>
          <t>REQ01808</t>
        </is>
      </c>
      <c r="B1809" t="inlineStr">
        <is>
          <t>254900K7Q29O61WWWN52</t>
        </is>
      </c>
      <c r="C1809" t="inlineStr">
        <is>
          <t>new_account</t>
        </is>
      </c>
      <c r="D1809" s="2" t="n">
        <v>46323.74861111111</v>
      </c>
      <c r="E1809" s="2" t="n">
        <v>46325.66527777778</v>
      </c>
      <c r="F1809" t="inlineStr">
        <is>
          <t>M2</t>
        </is>
      </c>
      <c r="G1809" t="inlineStr">
        <is>
          <t>C3</t>
        </is>
      </c>
      <c r="H1809" s="2" t="n">
        <v>46324.4125</v>
      </c>
      <c r="I1809" s="2" t="n">
        <v>46324.42152777778</v>
      </c>
      <c r="J1809" t="inlineStr">
        <is>
          <t>Completed</t>
        </is>
      </c>
      <c r="K1809" t="n">
        <v>1.15</v>
      </c>
      <c r="L1809" t="n">
        <v>16</v>
      </c>
      <c r="M1809" t="b">
        <v>0</v>
      </c>
      <c r="N1809" t="n">
        <v>0</v>
      </c>
      <c r="O1809" t="b">
        <v>1</v>
      </c>
      <c r="P1809" t="b">
        <v>0</v>
      </c>
      <c r="Q1809" t="b">
        <v>0</v>
      </c>
    </row>
    <row r="1810">
      <c r="A1810" t="inlineStr">
        <is>
          <t>REQ01809</t>
        </is>
      </c>
      <c r="B1810" t="inlineStr">
        <is>
          <t>549300DFJOB0DCQ3Y921</t>
        </is>
      </c>
      <c r="C1810" t="inlineStr">
        <is>
          <t>new_account</t>
        </is>
      </c>
      <c r="D1810" s="2" t="n">
        <v>46324.38055555556</v>
      </c>
      <c r="E1810" s="2" t="n">
        <v>46325.67222222222</v>
      </c>
      <c r="F1810" t="inlineStr">
        <is>
          <t>M6</t>
        </is>
      </c>
      <c r="G1810" t="inlineStr">
        <is>
          <t>C1</t>
        </is>
      </c>
      <c r="H1810" s="2" t="n">
        <v>46324.41736111111</v>
      </c>
      <c r="I1810" s="2" t="n">
        <v>46324.63402777778</v>
      </c>
      <c r="J1810" t="inlineStr">
        <is>
          <t>Completed</t>
        </is>
      </c>
      <c r="K1810" t="n">
        <v>6.08</v>
      </c>
      <c r="L1810" t="n">
        <v>16</v>
      </c>
      <c r="M1810" t="b">
        <v>0</v>
      </c>
      <c r="N1810" t="n">
        <v>0</v>
      </c>
      <c r="O1810" t="b">
        <v>1</v>
      </c>
      <c r="P1810" t="b">
        <v>0</v>
      </c>
      <c r="Q1810" t="b">
        <v>1</v>
      </c>
    </row>
    <row r="1811">
      <c r="A1811" t="inlineStr">
        <is>
          <t>REQ01810</t>
        </is>
      </c>
      <c r="B1811" t="inlineStr">
        <is>
          <t>8755008ZJY40S3JQZQ80</t>
        </is>
      </c>
      <c r="C1811" t="inlineStr">
        <is>
          <t>document_refresh</t>
        </is>
      </c>
      <c r="D1811" s="2" t="n">
        <v>46324.38472222222</v>
      </c>
      <c r="E1811" s="2" t="n">
        <v>46325.50972222222</v>
      </c>
      <c r="F1811" t="inlineStr">
        <is>
          <t>M4</t>
        </is>
      </c>
      <c r="G1811" t="inlineStr">
        <is>
          <t>C2</t>
        </is>
      </c>
      <c r="H1811" s="2" t="n">
        <v>46324.39513888889</v>
      </c>
      <c r="I1811" s="2" t="n">
        <v>46324.60972222222</v>
      </c>
      <c r="J1811" t="inlineStr">
        <is>
          <t>Completed</t>
        </is>
      </c>
      <c r="K1811" t="n">
        <v>5.4</v>
      </c>
      <c r="L1811" t="n">
        <v>12</v>
      </c>
      <c r="M1811" t="b">
        <v>0</v>
      </c>
      <c r="N1811" t="n">
        <v>0</v>
      </c>
      <c r="O1811" t="b">
        <v>1</v>
      </c>
      <c r="P1811" t="b">
        <v>0</v>
      </c>
      <c r="Q1811" t="b">
        <v>1</v>
      </c>
    </row>
    <row r="1812">
      <c r="A1812" t="inlineStr">
        <is>
          <t>REQ01811</t>
        </is>
      </c>
      <c r="B1812" t="inlineStr">
        <is>
          <t>894500FXJW2KWEN8UJ50</t>
        </is>
      </c>
      <c r="C1812" t="inlineStr">
        <is>
          <t>document_refresh</t>
        </is>
      </c>
      <c r="D1812" s="2" t="n">
        <v>46324.39375</v>
      </c>
      <c r="E1812" s="2" t="n">
        <v>46325.51875</v>
      </c>
      <c r="F1812" t="inlineStr">
        <is>
          <t>M3</t>
        </is>
      </c>
      <c r="G1812" t="inlineStr">
        <is>
          <t>C2</t>
        </is>
      </c>
      <c r="H1812" s="2" t="n">
        <v>46324.41111111111</v>
      </c>
      <c r="I1812" s="2" t="n">
        <v>46324.41527777778</v>
      </c>
      <c r="J1812" t="inlineStr">
        <is>
          <t>Completed</t>
        </is>
      </c>
      <c r="K1812" t="n">
        <v>0.52</v>
      </c>
      <c r="L1812" t="n">
        <v>12</v>
      </c>
      <c r="M1812" t="b">
        <v>0</v>
      </c>
      <c r="N1812" t="n">
        <v>0</v>
      </c>
      <c r="O1812" t="b">
        <v>1</v>
      </c>
      <c r="P1812" t="b">
        <v>0</v>
      </c>
      <c r="Q1812" t="b">
        <v>0</v>
      </c>
    </row>
    <row r="1813">
      <c r="A1813" t="inlineStr">
        <is>
          <t>REQ01812</t>
        </is>
      </c>
      <c r="B1813" t="inlineStr">
        <is>
          <t>98450078FD241F23E411</t>
        </is>
      </c>
      <c r="C1813" t="inlineStr">
        <is>
          <t>data_amendment</t>
        </is>
      </c>
      <c r="D1813" s="2" t="n">
        <v>46324.39444444444</v>
      </c>
      <c r="E1813" s="2" t="n">
        <v>46324.72777777778</v>
      </c>
      <c r="F1813" t="inlineStr">
        <is>
          <t>M4</t>
        </is>
      </c>
      <c r="G1813" t="inlineStr">
        <is>
          <t>C3</t>
        </is>
      </c>
      <c r="H1813" s="2" t="n">
        <v>46324.40555555555</v>
      </c>
      <c r="I1813" s="2" t="n">
        <v>46324.52083333334</v>
      </c>
      <c r="J1813" t="inlineStr">
        <is>
          <t>Completed</t>
        </is>
      </c>
      <c r="K1813" t="n">
        <v>3.04</v>
      </c>
      <c r="L1813" t="n">
        <v>8</v>
      </c>
      <c r="M1813" t="b">
        <v>0</v>
      </c>
      <c r="N1813" t="n">
        <v>0</v>
      </c>
      <c r="O1813" t="b">
        <v>1</v>
      </c>
      <c r="P1813" t="b">
        <v>0</v>
      </c>
      <c r="Q1813" t="b">
        <v>1</v>
      </c>
    </row>
    <row r="1814">
      <c r="A1814" t="inlineStr">
        <is>
          <t>REQ01813</t>
        </is>
      </c>
      <c r="B1814" t="inlineStr">
        <is>
          <t>2138002Y9VO7NZT4F437</t>
        </is>
      </c>
      <c r="C1814" t="inlineStr">
        <is>
          <t>data_amendment</t>
        </is>
      </c>
      <c r="D1814" s="2" t="n">
        <v>46324.40694444445</v>
      </c>
      <c r="E1814" s="2" t="n">
        <v>46324.74027777778</v>
      </c>
      <c r="F1814" t="inlineStr">
        <is>
          <t>M1</t>
        </is>
      </c>
      <c r="G1814" t="inlineStr">
        <is>
          <t>C2</t>
        </is>
      </c>
      <c r="H1814" s="2" t="n">
        <v>46324.41458333333</v>
      </c>
      <c r="I1814" s="2" t="n">
        <v>46324.42013888889</v>
      </c>
      <c r="J1814" t="inlineStr">
        <is>
          <t>Completed</t>
        </is>
      </c>
      <c r="K1814" t="n">
        <v>0.32</v>
      </c>
      <c r="L1814" t="n">
        <v>8</v>
      </c>
      <c r="M1814" t="b">
        <v>0</v>
      </c>
      <c r="N1814" t="n">
        <v>0</v>
      </c>
      <c r="O1814" t="b">
        <v>1</v>
      </c>
      <c r="P1814" t="b">
        <v>0</v>
      </c>
      <c r="Q1814" t="b">
        <v>0</v>
      </c>
    </row>
    <row r="1815">
      <c r="A1815" t="inlineStr">
        <is>
          <t>REQ01814</t>
        </is>
      </c>
      <c r="B1815" t="inlineStr">
        <is>
          <t>98450015B9BCB9D0LD16</t>
        </is>
      </c>
      <c r="C1815" t="inlineStr">
        <is>
          <t>document_refresh</t>
        </is>
      </c>
      <c r="D1815" s="2" t="n">
        <v>46324.41597222222</v>
      </c>
      <c r="E1815" s="2" t="n">
        <v>46325.54097222222</v>
      </c>
      <c r="F1815" t="inlineStr">
        <is>
          <t>M5</t>
        </is>
      </c>
      <c r="G1815" t="inlineStr">
        <is>
          <t>C1</t>
        </is>
      </c>
      <c r="H1815" s="2" t="n">
        <v>46324.43125</v>
      </c>
      <c r="I1815" s="2" t="n">
        <v>46324.44236111111</v>
      </c>
      <c r="J1815" t="inlineStr">
        <is>
          <t>Completed</t>
        </is>
      </c>
      <c r="K1815" t="n">
        <v>0.64</v>
      </c>
      <c r="L1815" t="n">
        <v>12</v>
      </c>
      <c r="M1815" t="b">
        <v>0</v>
      </c>
      <c r="N1815" t="n">
        <v>0</v>
      </c>
      <c r="O1815" t="b">
        <v>1</v>
      </c>
      <c r="P1815" t="b">
        <v>0</v>
      </c>
      <c r="Q1815" t="b">
        <v>0</v>
      </c>
    </row>
    <row r="1816">
      <c r="A1816" t="inlineStr">
        <is>
          <t>REQ01815</t>
        </is>
      </c>
      <c r="B1816" t="inlineStr">
        <is>
          <t>984500750E12FE646903</t>
        </is>
      </c>
      <c r="C1816" t="inlineStr">
        <is>
          <t>new_account</t>
        </is>
      </c>
      <c r="D1816" s="2" t="n">
        <v>46324.41597222222</v>
      </c>
      <c r="E1816" s="2" t="n">
        <v>46325.70763888889</v>
      </c>
      <c r="F1816" t="inlineStr">
        <is>
          <t>M4</t>
        </is>
      </c>
      <c r="G1816" t="inlineStr">
        <is>
          <t>C1</t>
        </is>
      </c>
      <c r="H1816" s="2" t="n">
        <v>46324.45069444444</v>
      </c>
      <c r="I1816" s="2" t="n">
        <v>46324.46736111111</v>
      </c>
      <c r="J1816" t="inlineStr">
        <is>
          <t>Completed</t>
        </is>
      </c>
      <c r="K1816" t="n">
        <v>1.24</v>
      </c>
      <c r="L1816" t="n">
        <v>16</v>
      </c>
      <c r="M1816" t="b">
        <v>0</v>
      </c>
      <c r="N1816" t="n">
        <v>0</v>
      </c>
      <c r="O1816" t="b">
        <v>1</v>
      </c>
      <c r="P1816" t="b">
        <v>0</v>
      </c>
      <c r="Q1816" t="b">
        <v>0</v>
      </c>
    </row>
    <row r="1817">
      <c r="A1817" t="inlineStr">
        <is>
          <t>REQ01816</t>
        </is>
      </c>
      <c r="B1817" t="inlineStr">
        <is>
          <t>391200RKYPH0CYQU7D50</t>
        </is>
      </c>
      <c r="C1817" t="inlineStr">
        <is>
          <t>document_refresh</t>
        </is>
      </c>
      <c r="D1817" s="2" t="n">
        <v>46324.41666666666</v>
      </c>
      <c r="E1817" s="2" t="n">
        <v>46325.54166666666</v>
      </c>
      <c r="F1817" t="inlineStr">
        <is>
          <t>M3</t>
        </is>
      </c>
      <c r="G1817" t="inlineStr">
        <is>
          <t>C3</t>
        </is>
      </c>
      <c r="H1817" s="2" t="n">
        <v>46324.42847222222</v>
      </c>
      <c r="I1817" s="2" t="n">
        <v>46324.43472222222</v>
      </c>
      <c r="J1817" t="inlineStr">
        <is>
          <t>Completed</t>
        </is>
      </c>
      <c r="K1817" t="n">
        <v>0.43</v>
      </c>
      <c r="L1817" t="n">
        <v>12</v>
      </c>
      <c r="M1817" t="b">
        <v>0</v>
      </c>
      <c r="N1817" t="n">
        <v>0</v>
      </c>
      <c r="O1817" t="b">
        <v>1</v>
      </c>
      <c r="P1817" t="b">
        <v>0</v>
      </c>
      <c r="Q1817" t="b">
        <v>0</v>
      </c>
    </row>
    <row r="1818">
      <c r="A1818" t="inlineStr">
        <is>
          <t>REQ01817</t>
        </is>
      </c>
      <c r="B1818" t="inlineStr">
        <is>
          <t>335800WFXMNVVH4A2K33</t>
        </is>
      </c>
      <c r="C1818" t="inlineStr">
        <is>
          <t>new_account</t>
        </is>
      </c>
      <c r="D1818" s="2" t="n">
        <v>46324.42222222222</v>
      </c>
      <c r="E1818" s="2" t="n">
        <v>46325.71388888889</v>
      </c>
      <c r="F1818" t="inlineStr">
        <is>
          <t>M2</t>
        </is>
      </c>
      <c r="G1818" t="inlineStr">
        <is>
          <t>C2</t>
        </is>
      </c>
      <c r="H1818" s="2" t="n">
        <v>46324.44722222222</v>
      </c>
      <c r="I1818" s="2" t="n">
        <v>46324.45972222222</v>
      </c>
      <c r="J1818" t="inlineStr">
        <is>
          <t>Completed</t>
        </is>
      </c>
      <c r="K1818" t="n">
        <v>0.9</v>
      </c>
      <c r="L1818" t="n">
        <v>16</v>
      </c>
      <c r="M1818" t="b">
        <v>0</v>
      </c>
      <c r="N1818" t="n">
        <v>0</v>
      </c>
      <c r="O1818" t="b">
        <v>1</v>
      </c>
      <c r="P1818" t="b">
        <v>0</v>
      </c>
      <c r="Q1818" t="b">
        <v>0</v>
      </c>
    </row>
    <row r="1819">
      <c r="A1819" t="inlineStr">
        <is>
          <t>REQ01818</t>
        </is>
      </c>
      <c r="B1819" t="inlineStr">
        <is>
          <t>9695006HRUGHB1LMKT18</t>
        </is>
      </c>
      <c r="C1819" t="inlineStr">
        <is>
          <t>document_refresh</t>
        </is>
      </c>
      <c r="D1819" s="2" t="n">
        <v>46324.42361111111</v>
      </c>
      <c r="E1819" s="2" t="n">
        <v>46325.54861111111</v>
      </c>
      <c r="F1819" t="inlineStr">
        <is>
          <t>M1</t>
        </is>
      </c>
      <c r="G1819" t="inlineStr">
        <is>
          <t>C3</t>
        </is>
      </c>
      <c r="H1819" s="2" t="n">
        <v>46324.43611111111</v>
      </c>
      <c r="I1819" s="2" t="n">
        <v>46324.64375</v>
      </c>
      <c r="J1819" t="inlineStr">
        <is>
          <t>Completed</t>
        </is>
      </c>
      <c r="K1819" t="n">
        <v>5.28</v>
      </c>
      <c r="L1819" t="n">
        <v>12</v>
      </c>
      <c r="M1819" t="b">
        <v>0</v>
      </c>
      <c r="N1819" t="n">
        <v>0</v>
      </c>
      <c r="O1819" t="b">
        <v>1</v>
      </c>
      <c r="P1819" t="b">
        <v>0</v>
      </c>
      <c r="Q1819" t="b">
        <v>1</v>
      </c>
    </row>
    <row r="1820">
      <c r="A1820" t="inlineStr">
        <is>
          <t>REQ01819</t>
        </is>
      </c>
      <c r="B1820" t="inlineStr">
        <is>
          <t>335800TUO9E1UQZBAN65</t>
        </is>
      </c>
      <c r="C1820" t="inlineStr">
        <is>
          <t>data_amendment</t>
        </is>
      </c>
      <c r="D1820" s="2" t="n">
        <v>46324.43958333333</v>
      </c>
      <c r="E1820" s="2" t="n">
        <v>46325.39791666667</v>
      </c>
      <c r="F1820" t="inlineStr">
        <is>
          <t>M6</t>
        </is>
      </c>
      <c r="G1820" t="inlineStr">
        <is>
          <t>C3</t>
        </is>
      </c>
      <c r="H1820" s="2" t="n">
        <v>46324.45138888889</v>
      </c>
      <c r="I1820" s="2" t="n">
        <v>46324.46111111111</v>
      </c>
      <c r="J1820" t="inlineStr">
        <is>
          <t>Completed</t>
        </is>
      </c>
      <c r="K1820" t="n">
        <v>0.52</v>
      </c>
      <c r="L1820" t="n">
        <v>8</v>
      </c>
      <c r="M1820" t="b">
        <v>0</v>
      </c>
      <c r="N1820" t="n">
        <v>0</v>
      </c>
      <c r="O1820" t="b">
        <v>1</v>
      </c>
      <c r="P1820" t="b">
        <v>0</v>
      </c>
      <c r="Q1820" t="b">
        <v>0</v>
      </c>
    </row>
    <row r="1821">
      <c r="A1821" t="inlineStr">
        <is>
          <t>REQ01820</t>
        </is>
      </c>
      <c r="B1821" t="inlineStr">
        <is>
          <t>254900K46V6K497TYR31</t>
        </is>
      </c>
      <c r="C1821" t="inlineStr">
        <is>
          <t>data_amendment</t>
        </is>
      </c>
      <c r="D1821" s="2" t="n">
        <v>46324.44027777778</v>
      </c>
      <c r="E1821" s="2" t="n">
        <v>46325.39861111111</v>
      </c>
      <c r="F1821" t="inlineStr">
        <is>
          <t>M3</t>
        </is>
      </c>
      <c r="G1821" t="inlineStr">
        <is>
          <t>C3</t>
        </is>
      </c>
      <c r="H1821" s="2" t="n">
        <v>46324.44930555556</v>
      </c>
      <c r="I1821" s="2" t="n">
        <v>46324.46458333333</v>
      </c>
      <c r="J1821" t="inlineStr">
        <is>
          <t>Completed</t>
        </is>
      </c>
      <c r="K1821" t="n">
        <v>0.59</v>
      </c>
      <c r="L1821" t="n">
        <v>8</v>
      </c>
      <c r="M1821" t="b">
        <v>0</v>
      </c>
      <c r="N1821" t="n">
        <v>1</v>
      </c>
      <c r="O1821" t="b">
        <v>0</v>
      </c>
      <c r="P1821" t="b">
        <v>1</v>
      </c>
      <c r="Q1821" t="b">
        <v>0</v>
      </c>
    </row>
    <row r="1822">
      <c r="A1822" t="inlineStr">
        <is>
          <t>REQ01821</t>
        </is>
      </c>
      <c r="B1822" t="inlineStr">
        <is>
          <t>213800IDSAHTJRW6H690</t>
        </is>
      </c>
      <c r="C1822" t="inlineStr">
        <is>
          <t>new_account</t>
        </is>
      </c>
      <c r="D1822" s="2" t="n">
        <v>46324.44097222222</v>
      </c>
      <c r="E1822" s="2" t="n">
        <v>46325.73263888889</v>
      </c>
      <c r="F1822" t="inlineStr">
        <is>
          <t>M5</t>
        </is>
      </c>
      <c r="G1822" t="inlineStr">
        <is>
          <t>C2</t>
        </is>
      </c>
      <c r="H1822" s="2" t="n">
        <v>46324.47638888889</v>
      </c>
      <c r="I1822" s="2" t="n">
        <v>46324.51180555556</v>
      </c>
      <c r="J1822" t="inlineStr">
        <is>
          <t>Completed</t>
        </is>
      </c>
      <c r="K1822" t="n">
        <v>1.7</v>
      </c>
      <c r="L1822" t="n">
        <v>16</v>
      </c>
      <c r="M1822" t="b">
        <v>0</v>
      </c>
      <c r="N1822" t="n">
        <v>1</v>
      </c>
      <c r="O1822" t="b">
        <v>0</v>
      </c>
      <c r="P1822" t="b">
        <v>1</v>
      </c>
      <c r="Q1822" t="b">
        <v>0</v>
      </c>
    </row>
    <row r="1823">
      <c r="A1823" t="inlineStr">
        <is>
          <t>REQ01822</t>
        </is>
      </c>
      <c r="B1823" t="inlineStr">
        <is>
          <t>969500SO1L8TQE266M29</t>
        </is>
      </c>
      <c r="C1823" t="inlineStr">
        <is>
          <t>document_refresh</t>
        </is>
      </c>
      <c r="D1823" s="2" t="n">
        <v>46324.44444444445</v>
      </c>
      <c r="E1823" s="2" t="n">
        <v>46325.56944444445</v>
      </c>
      <c r="F1823" t="inlineStr">
        <is>
          <t>M1</t>
        </is>
      </c>
      <c r="G1823" t="inlineStr">
        <is>
          <t>C1</t>
        </is>
      </c>
      <c r="H1823" s="2" t="n">
        <v>46324.45486111111</v>
      </c>
      <c r="I1823" s="2" t="n">
        <v>46324.71527777778</v>
      </c>
      <c r="J1823" t="inlineStr">
        <is>
          <t>Completed</t>
        </is>
      </c>
      <c r="K1823" t="n">
        <v>6.5</v>
      </c>
      <c r="L1823" t="n">
        <v>12</v>
      </c>
      <c r="M1823" t="b">
        <v>0</v>
      </c>
      <c r="N1823" t="n">
        <v>0</v>
      </c>
      <c r="O1823" t="b">
        <v>1</v>
      </c>
      <c r="P1823" t="b">
        <v>0</v>
      </c>
      <c r="Q1823" t="b">
        <v>1</v>
      </c>
    </row>
    <row r="1824">
      <c r="A1824" t="inlineStr">
        <is>
          <t>REQ01823</t>
        </is>
      </c>
      <c r="B1824" t="inlineStr">
        <is>
          <t>529900ZTN1SI8IUO0V19</t>
        </is>
      </c>
      <c r="C1824" t="inlineStr">
        <is>
          <t>signatory_change</t>
        </is>
      </c>
      <c r="D1824" s="2" t="n">
        <v>46324.44513888889</v>
      </c>
      <c r="E1824" s="2" t="n">
        <v>46325.40347222222</v>
      </c>
      <c r="F1824" t="inlineStr">
        <is>
          <t>M2</t>
        </is>
      </c>
      <c r="G1824" t="inlineStr">
        <is>
          <t>C3</t>
        </is>
      </c>
      <c r="H1824" s="2" t="n">
        <v>46324.47152777778</v>
      </c>
      <c r="I1824" s="2" t="n">
        <v>46324.63888888889</v>
      </c>
      <c r="J1824" t="inlineStr">
        <is>
          <t>Completed</t>
        </is>
      </c>
      <c r="K1824" t="n">
        <v>4.66</v>
      </c>
      <c r="L1824" t="n">
        <v>8</v>
      </c>
      <c r="M1824" t="b">
        <v>0</v>
      </c>
      <c r="N1824" t="n">
        <v>0</v>
      </c>
      <c r="O1824" t="b">
        <v>1</v>
      </c>
      <c r="P1824" t="b">
        <v>0</v>
      </c>
      <c r="Q1824" t="b">
        <v>1</v>
      </c>
    </row>
    <row r="1825">
      <c r="A1825" t="inlineStr">
        <is>
          <t>REQ01824</t>
        </is>
      </c>
      <c r="B1825" t="inlineStr">
        <is>
          <t>969500HLX82I93EJ7X88</t>
        </is>
      </c>
      <c r="C1825" t="inlineStr">
        <is>
          <t>document_refresh</t>
        </is>
      </c>
      <c r="D1825" s="2" t="n">
        <v>46324.44930555556</v>
      </c>
      <c r="E1825" s="2" t="n">
        <v>46325.57430555556</v>
      </c>
      <c r="F1825" t="inlineStr">
        <is>
          <t>M3</t>
        </is>
      </c>
      <c r="G1825" t="inlineStr">
        <is>
          <t>C1</t>
        </is>
      </c>
      <c r="H1825" s="2" t="n">
        <v>46324.45972222222</v>
      </c>
      <c r="I1825" s="2" t="n">
        <v>46324.66180555556</v>
      </c>
      <c r="J1825" t="inlineStr">
        <is>
          <t>Completed</t>
        </is>
      </c>
      <c r="K1825" t="n">
        <v>5.1</v>
      </c>
      <c r="L1825" t="n">
        <v>12</v>
      </c>
      <c r="M1825" t="b">
        <v>0</v>
      </c>
      <c r="N1825" t="n">
        <v>0</v>
      </c>
      <c r="O1825" t="b">
        <v>1</v>
      </c>
      <c r="P1825" t="b">
        <v>0</v>
      </c>
      <c r="Q1825" t="b">
        <v>1</v>
      </c>
    </row>
    <row r="1826">
      <c r="A1826" t="inlineStr">
        <is>
          <t>REQ01825</t>
        </is>
      </c>
      <c r="B1826" t="inlineStr">
        <is>
          <t>7245008VJAVM9ITGAG80</t>
        </is>
      </c>
      <c r="C1826" t="inlineStr">
        <is>
          <t>new_account</t>
        </is>
      </c>
      <c r="D1826" s="2" t="n">
        <v>46324.45208333333</v>
      </c>
      <c r="E1826" s="2" t="n">
        <v>46325.74375</v>
      </c>
      <c r="F1826" t="inlineStr">
        <is>
          <t>M4</t>
        </is>
      </c>
      <c r="G1826" t="inlineStr">
        <is>
          <t>C2</t>
        </is>
      </c>
      <c r="H1826" s="2" t="n">
        <v>46324.48680555556</v>
      </c>
      <c r="I1826" s="2" t="n">
        <v>46324.71527777778</v>
      </c>
      <c r="J1826" t="inlineStr">
        <is>
          <t>Completed</t>
        </is>
      </c>
      <c r="K1826" t="n">
        <v>6.32</v>
      </c>
      <c r="L1826" t="n">
        <v>16</v>
      </c>
      <c r="M1826" t="b">
        <v>0</v>
      </c>
      <c r="N1826" t="n">
        <v>0</v>
      </c>
      <c r="O1826" t="b">
        <v>1</v>
      </c>
      <c r="P1826" t="b">
        <v>0</v>
      </c>
      <c r="Q1826" t="b">
        <v>1</v>
      </c>
    </row>
    <row r="1827">
      <c r="A1827" t="inlineStr">
        <is>
          <t>REQ01826</t>
        </is>
      </c>
      <c r="B1827" t="inlineStr">
        <is>
          <t>5493006LS151MEROC251</t>
        </is>
      </c>
      <c r="C1827" t="inlineStr">
        <is>
          <t>signatory_change</t>
        </is>
      </c>
      <c r="D1827" s="2" t="n">
        <v>46324.45208333333</v>
      </c>
      <c r="E1827" s="2" t="n">
        <v>46325.41041666667</v>
      </c>
      <c r="F1827" t="inlineStr">
        <is>
          <t>M6</t>
        </is>
      </c>
      <c r="G1827" t="inlineStr">
        <is>
          <t>C3</t>
        </is>
      </c>
      <c r="H1827" s="2" t="n">
        <v>46324.47361111111</v>
      </c>
      <c r="I1827" s="2" t="n">
        <v>46324.62986111111</v>
      </c>
      <c r="J1827" t="inlineStr">
        <is>
          <t>Completed</t>
        </is>
      </c>
      <c r="K1827" t="n">
        <v>4.27</v>
      </c>
      <c r="L1827" t="n">
        <v>8</v>
      </c>
      <c r="M1827" t="b">
        <v>0</v>
      </c>
      <c r="N1827" t="n">
        <v>0</v>
      </c>
      <c r="O1827" t="b">
        <v>1</v>
      </c>
      <c r="P1827" t="b">
        <v>0</v>
      </c>
      <c r="Q1827" t="b">
        <v>1</v>
      </c>
    </row>
    <row r="1828">
      <c r="A1828" t="inlineStr">
        <is>
          <t>REQ01827</t>
        </is>
      </c>
      <c r="B1828" t="inlineStr">
        <is>
          <t>213800QOE4WAHYWK5A94</t>
        </is>
      </c>
      <c r="C1828" t="inlineStr">
        <is>
          <t>document_refresh</t>
        </is>
      </c>
      <c r="D1828" s="2" t="n">
        <v>46324.45486111111</v>
      </c>
      <c r="E1828" s="2" t="n">
        <v>46325.57986111111</v>
      </c>
      <c r="F1828" t="inlineStr">
        <is>
          <t>M1</t>
        </is>
      </c>
      <c r="G1828" t="inlineStr">
        <is>
          <t>C3</t>
        </is>
      </c>
      <c r="H1828" s="2" t="n">
        <v>46324.47222222222</v>
      </c>
      <c r="I1828" s="2" t="n">
        <v>46324.47847222222</v>
      </c>
      <c r="J1828" t="inlineStr">
        <is>
          <t>Completed</t>
        </is>
      </c>
      <c r="K1828" t="n">
        <v>0.5600000000000001</v>
      </c>
      <c r="L1828" t="n">
        <v>12</v>
      </c>
      <c r="M1828" t="b">
        <v>0</v>
      </c>
      <c r="N1828" t="n">
        <v>0</v>
      </c>
      <c r="O1828" t="b">
        <v>1</v>
      </c>
      <c r="P1828" t="b">
        <v>0</v>
      </c>
      <c r="Q1828" t="b">
        <v>0</v>
      </c>
    </row>
    <row r="1829">
      <c r="A1829" t="inlineStr">
        <is>
          <t>REQ01828</t>
        </is>
      </c>
      <c r="B1829" t="inlineStr">
        <is>
          <t>39120085W0PFX4QN6344</t>
        </is>
      </c>
      <c r="C1829" t="inlineStr">
        <is>
          <t>new_account</t>
        </is>
      </c>
      <c r="D1829" s="2" t="n">
        <v>46324.45694444444</v>
      </c>
      <c r="E1829" s="2" t="n">
        <v>46325.74861111111</v>
      </c>
      <c r="F1829" t="inlineStr">
        <is>
          <t>M3</t>
        </is>
      </c>
      <c r="G1829" t="inlineStr">
        <is>
          <t>C3</t>
        </is>
      </c>
      <c r="H1829" s="2" t="n">
        <v>46324.48402777778</v>
      </c>
      <c r="I1829" s="2" t="n">
        <v>46324.49166666667</v>
      </c>
      <c r="J1829" t="inlineStr">
        <is>
          <t>Completed</t>
        </is>
      </c>
      <c r="K1829" t="n">
        <v>0.83</v>
      </c>
      <c r="L1829" t="n">
        <v>16</v>
      </c>
      <c r="M1829" t="b">
        <v>0</v>
      </c>
      <c r="N1829" t="n">
        <v>0</v>
      </c>
      <c r="O1829" t="b">
        <v>1</v>
      </c>
      <c r="P1829" t="b">
        <v>0</v>
      </c>
      <c r="Q1829" t="b">
        <v>0</v>
      </c>
    </row>
    <row r="1830">
      <c r="A1830" t="inlineStr">
        <is>
          <t>REQ01829</t>
        </is>
      </c>
      <c r="B1830" t="inlineStr">
        <is>
          <t>529900ACSI90AP4D6T59</t>
        </is>
      </c>
      <c r="C1830" t="inlineStr">
        <is>
          <t>document_refresh</t>
        </is>
      </c>
      <c r="D1830" s="2" t="n">
        <v>46324.45902777778</v>
      </c>
      <c r="E1830" s="2" t="n">
        <v>46325.58402777778</v>
      </c>
      <c r="F1830" t="inlineStr">
        <is>
          <t>M2</t>
        </is>
      </c>
      <c r="G1830" t="inlineStr">
        <is>
          <t>C3</t>
        </is>
      </c>
      <c r="H1830" s="2" t="n">
        <v>46324.48402777778</v>
      </c>
      <c r="I1830" s="2" t="n">
        <v>46324.67430555556</v>
      </c>
      <c r="J1830" t="inlineStr">
        <is>
          <t>Completed</t>
        </is>
      </c>
      <c r="K1830" t="n">
        <v>5.17</v>
      </c>
      <c r="L1830" t="n">
        <v>12</v>
      </c>
      <c r="M1830" t="b">
        <v>0</v>
      </c>
      <c r="N1830" t="n">
        <v>0</v>
      </c>
      <c r="O1830" t="b">
        <v>1</v>
      </c>
      <c r="P1830" t="b">
        <v>0</v>
      </c>
      <c r="Q1830" t="b">
        <v>1</v>
      </c>
    </row>
    <row r="1831">
      <c r="A1831" t="inlineStr">
        <is>
          <t>REQ01830</t>
        </is>
      </c>
      <c r="B1831" t="inlineStr">
        <is>
          <t>549300GLLPXSYTBPEC60</t>
        </is>
      </c>
      <c r="C1831" t="inlineStr">
        <is>
          <t>document_refresh</t>
        </is>
      </c>
      <c r="D1831" s="2" t="n">
        <v>46324.46319444444</v>
      </c>
      <c r="E1831" s="2" t="n">
        <v>46325.58819444444</v>
      </c>
      <c r="F1831" t="inlineStr">
        <is>
          <t>M1</t>
        </is>
      </c>
      <c r="G1831" t="inlineStr">
        <is>
          <t>C1</t>
        </is>
      </c>
      <c r="H1831" s="2" t="n">
        <v>46324.48958333334</v>
      </c>
      <c r="I1831" s="2" t="n">
        <v>46324.59861111111</v>
      </c>
      <c r="J1831" t="inlineStr">
        <is>
          <t>Completed</t>
        </is>
      </c>
      <c r="K1831" t="n">
        <v>3.26</v>
      </c>
      <c r="L1831" t="n">
        <v>12</v>
      </c>
      <c r="M1831" t="b">
        <v>0</v>
      </c>
      <c r="N1831" t="n">
        <v>0</v>
      </c>
      <c r="O1831" t="b">
        <v>1</v>
      </c>
      <c r="P1831" t="b">
        <v>0</v>
      </c>
      <c r="Q1831" t="b">
        <v>1</v>
      </c>
    </row>
    <row r="1832">
      <c r="A1832" t="inlineStr">
        <is>
          <t>REQ01831</t>
        </is>
      </c>
      <c r="B1832" t="inlineStr">
        <is>
          <t>984500FAFBCA9F1FA487</t>
        </is>
      </c>
      <c r="C1832" t="inlineStr">
        <is>
          <t>new_account</t>
        </is>
      </c>
      <c r="D1832" s="2" t="n">
        <v>46324.47152777778</v>
      </c>
      <c r="E1832" s="2" t="n">
        <v>46328.38819444444</v>
      </c>
      <c r="F1832" t="inlineStr">
        <is>
          <t>M6</t>
        </is>
      </c>
      <c r="G1832" t="inlineStr">
        <is>
          <t>C2</t>
        </is>
      </c>
      <c r="H1832" s="2" t="n">
        <v>46324.50069444445</v>
      </c>
      <c r="I1832" s="2" t="n">
        <v>46324.50833333333</v>
      </c>
      <c r="J1832" t="inlineStr">
        <is>
          <t>Completed</t>
        </is>
      </c>
      <c r="K1832" t="n">
        <v>0.88</v>
      </c>
      <c r="L1832" t="n">
        <v>16</v>
      </c>
      <c r="M1832" t="b">
        <v>0</v>
      </c>
      <c r="N1832" t="n">
        <v>0</v>
      </c>
      <c r="O1832" t="b">
        <v>1</v>
      </c>
      <c r="P1832" t="b">
        <v>0</v>
      </c>
      <c r="Q1832" t="b">
        <v>0</v>
      </c>
    </row>
    <row r="1833">
      <c r="A1833" t="inlineStr">
        <is>
          <t>REQ01832</t>
        </is>
      </c>
      <c r="B1833" t="inlineStr">
        <is>
          <t>969500TCZDO82X5KNX17</t>
        </is>
      </c>
      <c r="C1833" t="inlineStr">
        <is>
          <t>new_account</t>
        </is>
      </c>
      <c r="D1833" s="2" t="n">
        <v>46324.47361111111</v>
      </c>
      <c r="E1833" s="2" t="n">
        <v>46328.39027777778</v>
      </c>
      <c r="F1833" t="inlineStr">
        <is>
          <t>M5</t>
        </is>
      </c>
      <c r="G1833" t="inlineStr">
        <is>
          <t>C1</t>
        </is>
      </c>
      <c r="H1833" s="2" t="n">
        <v>46324.51527777778</v>
      </c>
      <c r="I1833" s="2" t="n">
        <v>46324.74444444444</v>
      </c>
      <c r="J1833" t="inlineStr">
        <is>
          <t>Completed</t>
        </is>
      </c>
      <c r="K1833" t="n">
        <v>6.49</v>
      </c>
      <c r="L1833" t="n">
        <v>16</v>
      </c>
      <c r="M1833" t="b">
        <v>0</v>
      </c>
      <c r="N1833" t="n">
        <v>0</v>
      </c>
      <c r="O1833" t="b">
        <v>1</v>
      </c>
      <c r="P1833" t="b">
        <v>0</v>
      </c>
      <c r="Q1833" t="b">
        <v>1</v>
      </c>
    </row>
    <row r="1834">
      <c r="A1834" t="inlineStr">
        <is>
          <t>REQ01833</t>
        </is>
      </c>
      <c r="B1834" t="inlineStr">
        <is>
          <t>549300G7X08ZO8LDSQ67</t>
        </is>
      </c>
      <c r="C1834" t="inlineStr">
        <is>
          <t>document_refresh</t>
        </is>
      </c>
      <c r="D1834" s="2" t="n">
        <v>46324.47916666666</v>
      </c>
      <c r="E1834" s="2" t="n">
        <v>46325.60416666666</v>
      </c>
      <c r="F1834" t="inlineStr">
        <is>
          <t>M2</t>
        </is>
      </c>
      <c r="G1834" t="inlineStr">
        <is>
          <t>C1</t>
        </is>
      </c>
      <c r="H1834" s="2" t="n">
        <v>46324.49652777778</v>
      </c>
      <c r="I1834" s="2" t="n">
        <v>46324.62638888889</v>
      </c>
      <c r="J1834" t="inlineStr">
        <is>
          <t>Completed</t>
        </is>
      </c>
      <c r="K1834" t="n">
        <v>3.54</v>
      </c>
      <c r="L1834" t="n">
        <v>12</v>
      </c>
      <c r="M1834" t="b">
        <v>0</v>
      </c>
      <c r="N1834" t="n">
        <v>0</v>
      </c>
      <c r="O1834" t="b">
        <v>1</v>
      </c>
      <c r="P1834" t="b">
        <v>0</v>
      </c>
      <c r="Q1834" t="b">
        <v>1</v>
      </c>
    </row>
    <row r="1835">
      <c r="A1835" t="inlineStr">
        <is>
          <t>REQ01834</t>
        </is>
      </c>
      <c r="B1835" t="inlineStr">
        <is>
          <t>213800FJ1BUSYBSOK954</t>
        </is>
      </c>
      <c r="C1835" t="inlineStr">
        <is>
          <t>new_account</t>
        </is>
      </c>
      <c r="D1835" s="2" t="n">
        <v>46324.49166666667</v>
      </c>
      <c r="E1835" s="2" t="n">
        <v>46328.40833333333</v>
      </c>
      <c r="F1835" t="inlineStr">
        <is>
          <t>M3</t>
        </is>
      </c>
      <c r="G1835" t="inlineStr">
        <is>
          <t>C3</t>
        </is>
      </c>
      <c r="H1835" s="2" t="n">
        <v>46324.51944444444</v>
      </c>
      <c r="I1835" s="2" t="n">
        <v>46324.62361111111</v>
      </c>
      <c r="J1835" t="inlineStr">
        <is>
          <t>Completed</t>
        </is>
      </c>
      <c r="K1835" t="n">
        <v>3.16</v>
      </c>
      <c r="L1835" t="n">
        <v>16</v>
      </c>
      <c r="M1835" t="b">
        <v>0</v>
      </c>
      <c r="N1835" t="n">
        <v>0</v>
      </c>
      <c r="O1835" t="b">
        <v>1</v>
      </c>
      <c r="P1835" t="b">
        <v>0</v>
      </c>
      <c r="Q1835" t="b">
        <v>1</v>
      </c>
    </row>
    <row r="1836">
      <c r="A1836" t="inlineStr">
        <is>
          <t>REQ01835</t>
        </is>
      </c>
      <c r="B1836" t="inlineStr">
        <is>
          <t>3912006RY9H4TZS0XL96</t>
        </is>
      </c>
      <c r="C1836" t="inlineStr">
        <is>
          <t>data_amendment</t>
        </is>
      </c>
      <c r="D1836" s="2" t="n">
        <v>46324.49236111111</v>
      </c>
      <c r="E1836" s="2" t="n">
        <v>46325.45069444444</v>
      </c>
      <c r="F1836" t="inlineStr">
        <is>
          <t>M4</t>
        </is>
      </c>
      <c r="G1836" t="inlineStr">
        <is>
          <t>C1</t>
        </is>
      </c>
      <c r="H1836" s="2" t="n">
        <v>46324.5</v>
      </c>
      <c r="I1836" s="2" t="n">
        <v>46324.50486111111</v>
      </c>
      <c r="J1836" t="inlineStr">
        <is>
          <t>Completed</t>
        </is>
      </c>
      <c r="K1836" t="n">
        <v>0.3</v>
      </c>
      <c r="L1836" t="n">
        <v>8</v>
      </c>
      <c r="M1836" t="b">
        <v>0</v>
      </c>
      <c r="N1836" t="n">
        <v>0</v>
      </c>
      <c r="O1836" t="b">
        <v>1</v>
      </c>
      <c r="P1836" t="b">
        <v>0</v>
      </c>
      <c r="Q1836" t="b">
        <v>0</v>
      </c>
    </row>
    <row r="1837">
      <c r="A1837" t="inlineStr">
        <is>
          <t>REQ01836</t>
        </is>
      </c>
      <c r="B1837" t="inlineStr">
        <is>
          <t>549300IYTT21F61LSR10</t>
        </is>
      </c>
      <c r="C1837" t="inlineStr">
        <is>
          <t>signatory_change</t>
        </is>
      </c>
      <c r="D1837" s="2" t="n">
        <v>46324.49305555555</v>
      </c>
      <c r="E1837" s="2" t="n">
        <v>46325.45138888889</v>
      </c>
      <c r="F1837" t="inlineStr">
        <is>
          <t>M1</t>
        </is>
      </c>
      <c r="G1837" t="inlineStr">
        <is>
          <t>C1</t>
        </is>
      </c>
      <c r="H1837" s="2" t="n">
        <v>46324.51319444444</v>
      </c>
      <c r="I1837" s="2" t="n">
        <v>46324.72777777778</v>
      </c>
      <c r="J1837" t="inlineStr">
        <is>
          <t>Completed</t>
        </is>
      </c>
      <c r="K1837" t="n">
        <v>5.64</v>
      </c>
      <c r="L1837" t="n">
        <v>8</v>
      </c>
      <c r="M1837" t="b">
        <v>0</v>
      </c>
      <c r="N1837" t="n">
        <v>0</v>
      </c>
      <c r="O1837" t="b">
        <v>1</v>
      </c>
      <c r="P1837" t="b">
        <v>0</v>
      </c>
      <c r="Q1837" t="b">
        <v>1</v>
      </c>
    </row>
    <row r="1838">
      <c r="A1838" t="inlineStr">
        <is>
          <t>REQ01837</t>
        </is>
      </c>
      <c r="B1838" t="inlineStr">
        <is>
          <t>724500WZDN7D6571C933</t>
        </is>
      </c>
      <c r="C1838" t="inlineStr">
        <is>
          <t>signatory_change</t>
        </is>
      </c>
      <c r="D1838" s="2" t="n">
        <v>46324.49444444444</v>
      </c>
      <c r="E1838" s="2" t="n">
        <v>46325.45277777778</v>
      </c>
      <c r="F1838" t="inlineStr">
        <is>
          <t>M2</t>
        </is>
      </c>
      <c r="G1838" t="inlineStr">
        <is>
          <t>C3</t>
        </is>
      </c>
      <c r="H1838" s="2" t="n">
        <v>46324.51597222222</v>
      </c>
      <c r="I1838" s="2" t="n">
        <v>46324.7</v>
      </c>
      <c r="J1838" t="inlineStr">
        <is>
          <t>Completed</t>
        </is>
      </c>
      <c r="K1838" t="n">
        <v>4.93</v>
      </c>
      <c r="L1838" t="n">
        <v>8</v>
      </c>
      <c r="M1838" t="b">
        <v>0</v>
      </c>
      <c r="N1838" t="n">
        <v>0</v>
      </c>
      <c r="O1838" t="b">
        <v>1</v>
      </c>
      <c r="P1838" t="b">
        <v>0</v>
      </c>
      <c r="Q1838" t="b">
        <v>1</v>
      </c>
    </row>
    <row r="1839">
      <c r="A1839" t="inlineStr">
        <is>
          <t>REQ01838</t>
        </is>
      </c>
      <c r="B1839" t="inlineStr">
        <is>
          <t>969500RPAJ2IE8KKMF26</t>
        </is>
      </c>
      <c r="C1839" t="inlineStr">
        <is>
          <t>new_account</t>
        </is>
      </c>
      <c r="D1839" s="2" t="n">
        <v>46324.49583333333</v>
      </c>
      <c r="E1839" s="2" t="n">
        <v>46328.4125</v>
      </c>
      <c r="F1839" t="inlineStr">
        <is>
          <t>M4</t>
        </is>
      </c>
      <c r="G1839" t="inlineStr">
        <is>
          <t>C3</t>
        </is>
      </c>
      <c r="H1839" s="2" t="n">
        <v>46324.53958333333</v>
      </c>
      <c r="I1839" s="2" t="n">
        <v>46324.71875</v>
      </c>
      <c r="J1839" t="inlineStr">
        <is>
          <t>Completed</t>
        </is>
      </c>
      <c r="K1839" t="n">
        <v>5.34</v>
      </c>
      <c r="L1839" t="n">
        <v>16</v>
      </c>
      <c r="M1839" t="b">
        <v>0</v>
      </c>
      <c r="N1839" t="n">
        <v>0</v>
      </c>
      <c r="O1839" t="b">
        <v>1</v>
      </c>
      <c r="P1839" t="b">
        <v>0</v>
      </c>
      <c r="Q1839" t="b">
        <v>1</v>
      </c>
    </row>
    <row r="1840">
      <c r="A1840" t="inlineStr">
        <is>
          <t>REQ01839</t>
        </is>
      </c>
      <c r="B1840" t="inlineStr">
        <is>
          <t>724500TKZEWNXVUC0645</t>
        </is>
      </c>
      <c r="C1840" t="inlineStr">
        <is>
          <t>new_account</t>
        </is>
      </c>
      <c r="D1840" s="2" t="n">
        <v>46324.49861111111</v>
      </c>
      <c r="E1840" s="2" t="n">
        <v>46328.41527777778</v>
      </c>
      <c r="F1840" t="inlineStr">
        <is>
          <t>M6</t>
        </is>
      </c>
      <c r="G1840" t="inlineStr">
        <is>
          <t>C3</t>
        </is>
      </c>
      <c r="H1840" s="2" t="n">
        <v>46324.54097222222</v>
      </c>
      <c r="I1840" s="2" t="n">
        <v>46325.39236111111</v>
      </c>
      <c r="J1840" t="inlineStr">
        <is>
          <t>Completed</t>
        </is>
      </c>
      <c r="K1840" t="n">
        <v>6.45</v>
      </c>
      <c r="L1840" t="n">
        <v>16</v>
      </c>
      <c r="M1840" t="b">
        <v>0</v>
      </c>
      <c r="N1840" t="n">
        <v>0</v>
      </c>
      <c r="O1840" t="b">
        <v>1</v>
      </c>
      <c r="P1840" t="b">
        <v>0</v>
      </c>
      <c r="Q1840" t="b">
        <v>1</v>
      </c>
    </row>
    <row r="1841">
      <c r="A1841" t="inlineStr">
        <is>
          <t>REQ01840</t>
        </is>
      </c>
      <c r="B1841" t="inlineStr">
        <is>
          <t>213800SQZ4DZ1CW91R23</t>
        </is>
      </c>
      <c r="C1841" t="inlineStr">
        <is>
          <t>signatory_change</t>
        </is>
      </c>
      <c r="D1841" s="2" t="n">
        <v>46324.50069444445</v>
      </c>
      <c r="E1841" s="2" t="n">
        <v>46325.45902777778</v>
      </c>
      <c r="F1841" t="inlineStr">
        <is>
          <t>M1</t>
        </is>
      </c>
      <c r="G1841" t="inlineStr">
        <is>
          <t>C2</t>
        </is>
      </c>
      <c r="H1841" s="2" t="n">
        <v>46324.5375</v>
      </c>
      <c r="I1841" s="2" t="n">
        <v>46324.63958333333</v>
      </c>
      <c r="J1841" t="inlineStr">
        <is>
          <t>Completed</t>
        </is>
      </c>
      <c r="K1841" t="n">
        <v>3.33</v>
      </c>
      <c r="L1841" t="n">
        <v>8</v>
      </c>
      <c r="M1841" t="b">
        <v>0</v>
      </c>
      <c r="N1841" t="n">
        <v>0</v>
      </c>
      <c r="O1841" t="b">
        <v>1</v>
      </c>
      <c r="P1841" t="b">
        <v>0</v>
      </c>
      <c r="Q1841" t="b">
        <v>1</v>
      </c>
    </row>
    <row r="1842">
      <c r="A1842" t="inlineStr">
        <is>
          <t>REQ01841</t>
        </is>
      </c>
      <c r="B1842" t="inlineStr">
        <is>
          <t>254900JSVRMFODA2B770</t>
        </is>
      </c>
      <c r="C1842" t="inlineStr">
        <is>
          <t>new_account</t>
        </is>
      </c>
      <c r="D1842" s="2" t="n">
        <v>46324.50555555556</v>
      </c>
      <c r="E1842" s="2" t="n">
        <v>46328.42222222222</v>
      </c>
      <c r="F1842" t="inlineStr">
        <is>
          <t>M5</t>
        </is>
      </c>
      <c r="G1842" t="inlineStr">
        <is>
          <t>C3</t>
        </is>
      </c>
      <c r="H1842" s="2" t="n">
        <v>46324.55</v>
      </c>
      <c r="I1842" s="2" t="n">
        <v>46324.65138888889</v>
      </c>
      <c r="J1842" t="inlineStr">
        <is>
          <t>Completed</t>
        </is>
      </c>
      <c r="K1842" t="n">
        <v>3.5</v>
      </c>
      <c r="L1842" t="n">
        <v>16</v>
      </c>
      <c r="M1842" t="b">
        <v>0</v>
      </c>
      <c r="N1842" t="n">
        <v>0</v>
      </c>
      <c r="O1842" t="b">
        <v>1</v>
      </c>
      <c r="P1842" t="b">
        <v>0</v>
      </c>
      <c r="Q1842" t="b">
        <v>1</v>
      </c>
    </row>
    <row r="1843">
      <c r="A1843" t="inlineStr">
        <is>
          <t>REQ01842</t>
        </is>
      </c>
      <c r="B1843" t="inlineStr">
        <is>
          <t>64886QBCJ56T6DC75870</t>
        </is>
      </c>
      <c r="C1843" t="inlineStr">
        <is>
          <t>signatory_change</t>
        </is>
      </c>
      <c r="D1843" s="2" t="n">
        <v>46324.50833333333</v>
      </c>
      <c r="E1843" s="2" t="n">
        <v>46325.46666666667</v>
      </c>
      <c r="F1843" t="inlineStr">
        <is>
          <t>M2</t>
        </is>
      </c>
      <c r="G1843" t="inlineStr">
        <is>
          <t>C1</t>
        </is>
      </c>
      <c r="H1843" s="2" t="n">
        <v>46324.53888888889</v>
      </c>
      <c r="I1843" s="2" t="n">
        <v>46324.54791666667</v>
      </c>
      <c r="J1843" t="inlineStr">
        <is>
          <t>Completed</t>
        </is>
      </c>
      <c r="K1843" t="n">
        <v>0.95</v>
      </c>
      <c r="L1843" t="n">
        <v>8</v>
      </c>
      <c r="M1843" t="b">
        <v>0</v>
      </c>
      <c r="N1843" t="n">
        <v>0</v>
      </c>
      <c r="O1843" t="b">
        <v>1</v>
      </c>
      <c r="P1843" t="b">
        <v>0</v>
      </c>
      <c r="Q1843" t="b">
        <v>0</v>
      </c>
    </row>
    <row r="1844">
      <c r="A1844" t="inlineStr">
        <is>
          <t>REQ01843</t>
        </is>
      </c>
      <c r="B1844" t="inlineStr">
        <is>
          <t>391200666WDJAY2G9Y36</t>
        </is>
      </c>
      <c r="C1844" t="inlineStr">
        <is>
          <t>document_refresh</t>
        </is>
      </c>
      <c r="D1844" s="2" t="n">
        <v>46324.50902777778</v>
      </c>
      <c r="E1844" s="2" t="n">
        <v>46325.63402777778</v>
      </c>
      <c r="F1844" t="inlineStr">
        <is>
          <t>M3</t>
        </is>
      </c>
      <c r="G1844" t="inlineStr">
        <is>
          <t>C3</t>
        </is>
      </c>
      <c r="H1844" s="2" t="n">
        <v>46324.53125</v>
      </c>
      <c r="I1844" s="2" t="n">
        <v>46324.5375</v>
      </c>
      <c r="J1844" t="inlineStr">
        <is>
          <t>Completed</t>
        </is>
      </c>
      <c r="K1844" t="n">
        <v>0.68</v>
      </c>
      <c r="L1844" t="n">
        <v>12</v>
      </c>
      <c r="M1844" t="b">
        <v>0</v>
      </c>
      <c r="N1844" t="n">
        <v>0</v>
      </c>
      <c r="O1844" t="b">
        <v>1</v>
      </c>
      <c r="P1844" t="b">
        <v>0</v>
      </c>
      <c r="Q1844" t="b">
        <v>0</v>
      </c>
    </row>
    <row r="1845">
      <c r="A1845" t="inlineStr">
        <is>
          <t>REQ01844</t>
        </is>
      </c>
      <c r="B1845" t="inlineStr">
        <is>
          <t>549300S97BH54P8PS538</t>
        </is>
      </c>
      <c r="C1845" t="inlineStr">
        <is>
          <t>new_account</t>
        </is>
      </c>
      <c r="D1845" s="2" t="n">
        <v>46324.51111111111</v>
      </c>
      <c r="E1845" s="2" t="n">
        <v>46328.42777777778</v>
      </c>
      <c r="F1845" t="inlineStr">
        <is>
          <t>M3</t>
        </is>
      </c>
      <c r="G1845" t="inlineStr">
        <is>
          <t>C2</t>
        </is>
      </c>
      <c r="H1845" s="2" t="n">
        <v>46324.56041666667</v>
      </c>
      <c r="I1845" s="2" t="n">
        <v>46324.74097222222</v>
      </c>
      <c r="J1845" t="inlineStr">
        <is>
          <t>Completed</t>
        </is>
      </c>
      <c r="K1845" t="n">
        <v>5.51</v>
      </c>
      <c r="L1845" t="n">
        <v>16</v>
      </c>
      <c r="M1845" t="b">
        <v>0</v>
      </c>
      <c r="N1845" t="n">
        <v>0</v>
      </c>
      <c r="O1845" t="b">
        <v>1</v>
      </c>
      <c r="P1845" t="b">
        <v>0</v>
      </c>
      <c r="Q1845" t="b">
        <v>1</v>
      </c>
    </row>
    <row r="1846">
      <c r="A1846" t="inlineStr">
        <is>
          <t>REQ01845</t>
        </is>
      </c>
      <c r="B1846" t="inlineStr">
        <is>
          <t>7245003JAHYVXQZ5ZR18</t>
        </is>
      </c>
      <c r="C1846" t="inlineStr">
        <is>
          <t>signatory_change</t>
        </is>
      </c>
      <c r="D1846" s="2" t="n">
        <v>46324.51180555556</v>
      </c>
      <c r="E1846" s="2" t="n">
        <v>46325.47013888889</v>
      </c>
      <c r="F1846" t="inlineStr">
        <is>
          <t>M1</t>
        </is>
      </c>
      <c r="G1846" t="inlineStr">
        <is>
          <t>C1</t>
        </is>
      </c>
      <c r="H1846" s="2" t="n">
        <v>46324.55833333333</v>
      </c>
      <c r="I1846" s="2" t="n">
        <v>46324.68055555555</v>
      </c>
      <c r="J1846" t="inlineStr">
        <is>
          <t>Completed</t>
        </is>
      </c>
      <c r="K1846" t="n">
        <v>4.06</v>
      </c>
      <c r="L1846" t="n">
        <v>8</v>
      </c>
      <c r="M1846" t="b">
        <v>0</v>
      </c>
      <c r="N1846" t="n">
        <v>0</v>
      </c>
      <c r="O1846" t="b">
        <v>1</v>
      </c>
      <c r="P1846" t="b">
        <v>0</v>
      </c>
      <c r="Q1846" t="b">
        <v>1</v>
      </c>
    </row>
    <row r="1847">
      <c r="A1847" t="inlineStr">
        <is>
          <t>REQ01846</t>
        </is>
      </c>
      <c r="B1847" t="inlineStr">
        <is>
          <t>635400VMUUBCOSKM2S77</t>
        </is>
      </c>
      <c r="C1847" t="inlineStr">
        <is>
          <t>document_refresh</t>
        </is>
      </c>
      <c r="D1847" s="2" t="n">
        <v>46324.51180555556</v>
      </c>
      <c r="E1847" s="2" t="n">
        <v>46325.63680555556</v>
      </c>
      <c r="F1847" t="inlineStr">
        <is>
          <t>M2</t>
        </is>
      </c>
      <c r="G1847" t="inlineStr">
        <is>
          <t>C3</t>
        </is>
      </c>
      <c r="H1847" s="2" t="n">
        <v>46324.55625</v>
      </c>
      <c r="I1847" s="2" t="n">
        <v>46325.41736111111</v>
      </c>
      <c r="J1847" t="inlineStr">
        <is>
          <t>Completed</t>
        </is>
      </c>
      <c r="K1847" t="n">
        <v>6.73</v>
      </c>
      <c r="L1847" t="n">
        <v>12</v>
      </c>
      <c r="M1847" t="b">
        <v>0</v>
      </c>
      <c r="N1847" t="n">
        <v>0</v>
      </c>
      <c r="O1847" t="b">
        <v>1</v>
      </c>
      <c r="P1847" t="b">
        <v>0</v>
      </c>
      <c r="Q1847" t="b">
        <v>1</v>
      </c>
    </row>
    <row r="1848">
      <c r="A1848" t="inlineStr">
        <is>
          <t>REQ01847</t>
        </is>
      </c>
      <c r="B1848" t="inlineStr">
        <is>
          <t>549300C5YDC157N7N078</t>
        </is>
      </c>
      <c r="C1848" t="inlineStr">
        <is>
          <t>data_amendment</t>
        </is>
      </c>
      <c r="D1848" s="2" t="n">
        <v>46324.51319444444</v>
      </c>
      <c r="E1848" s="2" t="n">
        <v>46325.47152777778</v>
      </c>
      <c r="F1848" t="inlineStr">
        <is>
          <t>M4</t>
        </is>
      </c>
      <c r="G1848" t="inlineStr">
        <is>
          <t>C1</t>
        </is>
      </c>
      <c r="H1848" s="2" t="n">
        <v>46324.55208333334</v>
      </c>
      <c r="I1848" s="2" t="n">
        <v>46324.65763888889</v>
      </c>
      <c r="J1848" t="inlineStr">
        <is>
          <t>Completed</t>
        </is>
      </c>
      <c r="K1848" t="n">
        <v>3.47</v>
      </c>
      <c r="L1848" t="n">
        <v>8</v>
      </c>
      <c r="M1848" t="b">
        <v>0</v>
      </c>
      <c r="N1848" t="n">
        <v>0</v>
      </c>
      <c r="O1848" t="b">
        <v>1</v>
      </c>
      <c r="P1848" t="b">
        <v>0</v>
      </c>
      <c r="Q1848" t="b">
        <v>1</v>
      </c>
    </row>
    <row r="1849">
      <c r="A1849" t="inlineStr">
        <is>
          <t>REQ01848</t>
        </is>
      </c>
      <c r="B1849" t="inlineStr">
        <is>
          <t>213800T8HSSCZXQJXY64</t>
        </is>
      </c>
      <c r="C1849" t="inlineStr">
        <is>
          <t>signatory_change</t>
        </is>
      </c>
      <c r="D1849" s="2" t="n">
        <v>46324.52638888889</v>
      </c>
      <c r="E1849" s="2" t="n">
        <v>46325.48472222222</v>
      </c>
      <c r="F1849" t="inlineStr">
        <is>
          <t>M6</t>
        </is>
      </c>
      <c r="G1849" t="inlineStr">
        <is>
          <t>C1</t>
        </is>
      </c>
      <c r="H1849" s="2" t="n">
        <v>46324.56319444445</v>
      </c>
      <c r="I1849" s="2" t="n">
        <v>46324.57152777778</v>
      </c>
      <c r="J1849" t="inlineStr">
        <is>
          <t>Completed</t>
        </is>
      </c>
      <c r="K1849" t="n">
        <v>1.08</v>
      </c>
      <c r="L1849" t="n">
        <v>8</v>
      </c>
      <c r="M1849" t="b">
        <v>0</v>
      </c>
      <c r="N1849" t="n">
        <v>0</v>
      </c>
      <c r="O1849" t="b">
        <v>1</v>
      </c>
      <c r="P1849" t="b">
        <v>0</v>
      </c>
      <c r="Q1849" t="b">
        <v>0</v>
      </c>
    </row>
    <row r="1850">
      <c r="A1850" t="inlineStr">
        <is>
          <t>REQ01849</t>
        </is>
      </c>
      <c r="B1850" t="inlineStr">
        <is>
          <t>6488WB8786BTR2CG0434</t>
        </is>
      </c>
      <c r="C1850" t="inlineStr">
        <is>
          <t>document_refresh</t>
        </is>
      </c>
      <c r="D1850" s="2" t="n">
        <v>46324.52638888889</v>
      </c>
      <c r="E1850" s="2" t="n">
        <v>46325.65138888889</v>
      </c>
      <c r="F1850" t="inlineStr">
        <is>
          <t>M5</t>
        </is>
      </c>
      <c r="G1850" t="inlineStr">
        <is>
          <t>C2</t>
        </is>
      </c>
      <c r="H1850" s="2" t="n">
        <v>46324.56458333333</v>
      </c>
      <c r="I1850" s="2" t="n">
        <v>46324.57152777778</v>
      </c>
      <c r="J1850" t="inlineStr">
        <is>
          <t>Completed</t>
        </is>
      </c>
      <c r="K1850" t="n">
        <v>1.08</v>
      </c>
      <c r="L1850" t="n">
        <v>12</v>
      </c>
      <c r="M1850" t="b">
        <v>0</v>
      </c>
      <c r="N1850" t="n">
        <v>0</v>
      </c>
      <c r="O1850" t="b">
        <v>1</v>
      </c>
      <c r="P1850" t="b">
        <v>0</v>
      </c>
      <c r="Q1850" t="b">
        <v>0</v>
      </c>
    </row>
    <row r="1851">
      <c r="A1851" t="inlineStr">
        <is>
          <t>REQ01850</t>
        </is>
      </c>
      <c r="B1851" t="inlineStr">
        <is>
          <t>635400VCGYWWWCAZKY23</t>
        </is>
      </c>
      <c r="C1851" t="inlineStr">
        <is>
          <t>signatory_change</t>
        </is>
      </c>
      <c r="D1851" s="2" t="n">
        <v>46324.52708333333</v>
      </c>
      <c r="E1851" s="2" t="n">
        <v>46325.48541666667</v>
      </c>
      <c r="F1851" t="inlineStr">
        <is>
          <t>M4</t>
        </is>
      </c>
      <c r="G1851" t="inlineStr">
        <is>
          <t>C2</t>
        </is>
      </c>
      <c r="H1851" s="2" t="n">
        <v>46324.57152777778</v>
      </c>
      <c r="I1851" s="2" t="n">
        <v>46324.69236111111</v>
      </c>
      <c r="J1851" t="inlineStr">
        <is>
          <t>Completed</t>
        </is>
      </c>
      <c r="K1851" t="n">
        <v>3.96</v>
      </c>
      <c r="L1851" t="n">
        <v>8</v>
      </c>
      <c r="M1851" t="b">
        <v>0</v>
      </c>
      <c r="N1851" t="n">
        <v>0</v>
      </c>
      <c r="O1851" t="b">
        <v>1</v>
      </c>
      <c r="P1851" t="b">
        <v>0</v>
      </c>
      <c r="Q1851" t="b">
        <v>1</v>
      </c>
    </row>
    <row r="1852">
      <c r="A1852" t="inlineStr">
        <is>
          <t>REQ01851</t>
        </is>
      </c>
      <c r="B1852" t="inlineStr">
        <is>
          <t>391200ZMWSI2U8JA9U10</t>
        </is>
      </c>
      <c r="C1852" t="inlineStr">
        <is>
          <t>document_refresh</t>
        </is>
      </c>
      <c r="D1852" s="2" t="n">
        <v>46324.53680555556</v>
      </c>
      <c r="E1852" s="2" t="n">
        <v>46325.66180555556</v>
      </c>
      <c r="F1852" t="inlineStr">
        <is>
          <t>M2</t>
        </is>
      </c>
      <c r="G1852" t="inlineStr">
        <is>
          <t>C2</t>
        </is>
      </c>
      <c r="H1852" s="2" t="n">
        <v>46324.57222222222</v>
      </c>
      <c r="I1852" s="2" t="n">
        <v>46324.57777777778</v>
      </c>
      <c r="J1852" t="inlineStr">
        <is>
          <t>Completed</t>
        </is>
      </c>
      <c r="K1852" t="n">
        <v>0.99</v>
      </c>
      <c r="L1852" t="n">
        <v>12</v>
      </c>
      <c r="M1852" t="b">
        <v>0</v>
      </c>
      <c r="N1852" t="n">
        <v>0</v>
      </c>
      <c r="O1852" t="b">
        <v>1</v>
      </c>
      <c r="P1852" t="b">
        <v>0</v>
      </c>
      <c r="Q1852" t="b">
        <v>0</v>
      </c>
    </row>
    <row r="1853">
      <c r="A1853" t="inlineStr">
        <is>
          <t>REQ01852</t>
        </is>
      </c>
      <c r="B1853" t="inlineStr">
        <is>
          <t>7245003TAXWC9HFUFM06</t>
        </is>
      </c>
      <c r="C1853" t="inlineStr">
        <is>
          <t>document_refresh</t>
        </is>
      </c>
      <c r="D1853" s="2" t="n">
        <v>46324.53958333333</v>
      </c>
      <c r="E1853" s="2" t="n">
        <v>46325.66458333333</v>
      </c>
      <c r="F1853" t="inlineStr">
        <is>
          <t>M1</t>
        </is>
      </c>
      <c r="G1853" t="inlineStr">
        <is>
          <t>C3</t>
        </is>
      </c>
      <c r="H1853" s="2" t="n">
        <v>46324.57013888889</v>
      </c>
      <c r="I1853" s="2" t="n">
        <v>46324.69166666667</v>
      </c>
      <c r="J1853" t="inlineStr">
        <is>
          <t>Completed</t>
        </is>
      </c>
      <c r="K1853" t="n">
        <v>3.64</v>
      </c>
      <c r="L1853" t="n">
        <v>12</v>
      </c>
      <c r="M1853" t="b">
        <v>0</v>
      </c>
      <c r="N1853" t="n">
        <v>0</v>
      </c>
      <c r="O1853" t="b">
        <v>1</v>
      </c>
      <c r="P1853" t="b">
        <v>0</v>
      </c>
      <c r="Q1853" t="b">
        <v>1</v>
      </c>
    </row>
    <row r="1854">
      <c r="A1854" t="inlineStr">
        <is>
          <t>REQ01853</t>
        </is>
      </c>
      <c r="B1854" t="inlineStr">
        <is>
          <t>9845007673C0BLA99973</t>
        </is>
      </c>
      <c r="C1854" t="inlineStr">
        <is>
          <t>signatory_change</t>
        </is>
      </c>
      <c r="D1854" s="2" t="n">
        <v>46324.55486111111</v>
      </c>
      <c r="E1854" s="2" t="n">
        <v>46325.51319444444</v>
      </c>
      <c r="F1854" t="inlineStr">
        <is>
          <t>M3</t>
        </is>
      </c>
      <c r="G1854" t="inlineStr">
        <is>
          <t>C1</t>
        </is>
      </c>
      <c r="H1854" s="2" t="n">
        <v>46324.57569444444</v>
      </c>
      <c r="I1854" s="2" t="n">
        <v>46324.58125</v>
      </c>
      <c r="J1854" t="inlineStr">
        <is>
          <t>Completed</t>
        </is>
      </c>
      <c r="K1854" t="n">
        <v>0.64</v>
      </c>
      <c r="L1854" t="n">
        <v>8</v>
      </c>
      <c r="M1854" t="b">
        <v>0</v>
      </c>
      <c r="N1854" t="n">
        <v>0</v>
      </c>
      <c r="O1854" t="b">
        <v>1</v>
      </c>
      <c r="P1854" t="b">
        <v>0</v>
      </c>
      <c r="Q1854" t="b">
        <v>0</v>
      </c>
    </row>
    <row r="1855">
      <c r="A1855" t="inlineStr">
        <is>
          <t>REQ01854</t>
        </is>
      </c>
      <c r="B1855" t="inlineStr">
        <is>
          <t>213800RKF1ND8RSGRA46</t>
        </is>
      </c>
      <c r="C1855" t="inlineStr">
        <is>
          <t>signatory_change</t>
        </is>
      </c>
      <c r="D1855" s="2" t="n">
        <v>46324.56180555555</v>
      </c>
      <c r="E1855" s="2" t="n">
        <v>46325.52013888889</v>
      </c>
      <c r="F1855" t="inlineStr">
        <is>
          <t>M6</t>
        </is>
      </c>
      <c r="G1855" t="inlineStr">
        <is>
          <t>C2</t>
        </is>
      </c>
      <c r="H1855" s="2" t="n">
        <v>46324.58263888889</v>
      </c>
      <c r="I1855" s="2" t="n">
        <v>46324.58958333333</v>
      </c>
      <c r="J1855" t="inlineStr">
        <is>
          <t>Completed</t>
        </is>
      </c>
      <c r="K1855" t="n">
        <v>0.67</v>
      </c>
      <c r="L1855" t="n">
        <v>8</v>
      </c>
      <c r="M1855" t="b">
        <v>0</v>
      </c>
      <c r="N1855" t="n">
        <v>0</v>
      </c>
      <c r="O1855" t="b">
        <v>1</v>
      </c>
      <c r="P1855" t="b">
        <v>0</v>
      </c>
      <c r="Q1855" t="b">
        <v>0</v>
      </c>
    </row>
    <row r="1856">
      <c r="A1856" t="inlineStr">
        <is>
          <t>REQ01855</t>
        </is>
      </c>
      <c r="B1856" t="inlineStr">
        <is>
          <t>9845005XG12AE1A3A450</t>
        </is>
      </c>
      <c r="C1856" t="inlineStr">
        <is>
          <t>new_account</t>
        </is>
      </c>
      <c r="D1856" s="2" t="n">
        <v>46324.56388888889</v>
      </c>
      <c r="E1856" s="2" t="n">
        <v>46328.48055555556</v>
      </c>
      <c r="F1856" t="inlineStr">
        <is>
          <t>M5</t>
        </is>
      </c>
      <c r="G1856" t="inlineStr">
        <is>
          <t>C2</t>
        </is>
      </c>
      <c r="H1856" s="2" t="n">
        <v>46324.6</v>
      </c>
      <c r="I1856" s="2" t="n">
        <v>46325.4125</v>
      </c>
      <c r="J1856" t="inlineStr">
        <is>
          <t>Completed</t>
        </is>
      </c>
      <c r="K1856" t="n">
        <v>5.36</v>
      </c>
      <c r="L1856" t="n">
        <v>16</v>
      </c>
      <c r="M1856" t="b">
        <v>0</v>
      </c>
      <c r="N1856" t="n">
        <v>0</v>
      </c>
      <c r="O1856" t="b">
        <v>1</v>
      </c>
      <c r="P1856" t="b">
        <v>0</v>
      </c>
      <c r="Q1856" t="b">
        <v>1</v>
      </c>
    </row>
    <row r="1857">
      <c r="A1857" t="inlineStr">
        <is>
          <t>REQ01856</t>
        </is>
      </c>
      <c r="B1857" t="inlineStr">
        <is>
          <t>335800NY5J2RO18L7K46</t>
        </is>
      </c>
      <c r="C1857" t="inlineStr">
        <is>
          <t>new_account</t>
        </is>
      </c>
      <c r="D1857" s="2" t="n">
        <v>46324.56597222222</v>
      </c>
      <c r="E1857" s="2" t="n">
        <v>46328.48263888889</v>
      </c>
      <c r="F1857" t="inlineStr">
        <is>
          <t>M1</t>
        </is>
      </c>
      <c r="G1857" t="inlineStr">
        <is>
          <t>C1</t>
        </is>
      </c>
      <c r="H1857" s="2" t="n">
        <v>46324.60486111111</v>
      </c>
      <c r="I1857" s="2" t="n">
        <v>46324.61458333334</v>
      </c>
      <c r="J1857" t="inlineStr">
        <is>
          <t>Completed</t>
        </is>
      </c>
      <c r="K1857" t="n">
        <v>1.17</v>
      </c>
      <c r="L1857" t="n">
        <v>16</v>
      </c>
      <c r="M1857" t="b">
        <v>0</v>
      </c>
      <c r="N1857" t="n">
        <v>0</v>
      </c>
      <c r="O1857" t="b">
        <v>1</v>
      </c>
      <c r="P1857" t="b">
        <v>0</v>
      </c>
      <c r="Q1857" t="b">
        <v>0</v>
      </c>
    </row>
    <row r="1858">
      <c r="A1858" t="inlineStr">
        <is>
          <t>REQ01857</t>
        </is>
      </c>
      <c r="B1858" t="inlineStr">
        <is>
          <t>5493007KK8K8U3NPLD94</t>
        </is>
      </c>
      <c r="C1858" t="inlineStr">
        <is>
          <t>document_refresh</t>
        </is>
      </c>
      <c r="D1858" s="2" t="n">
        <v>46324.57708333333</v>
      </c>
      <c r="E1858" s="2" t="n">
        <v>46325.70208333333</v>
      </c>
      <c r="F1858" t="inlineStr">
        <is>
          <t>M4</t>
        </is>
      </c>
      <c r="G1858" t="inlineStr">
        <is>
          <t>C2</t>
        </is>
      </c>
      <c r="H1858" s="2" t="n">
        <v>46324.58888888889</v>
      </c>
      <c r="I1858" s="2" t="n">
        <v>46325.40138888889</v>
      </c>
      <c r="J1858" t="inlineStr">
        <is>
          <t>Completed</t>
        </is>
      </c>
      <c r="K1858" t="n">
        <v>4.79</v>
      </c>
      <c r="L1858" t="n">
        <v>12</v>
      </c>
      <c r="M1858" t="b">
        <v>0</v>
      </c>
      <c r="N1858" t="n">
        <v>0</v>
      </c>
      <c r="O1858" t="b">
        <v>1</v>
      </c>
      <c r="P1858" t="b">
        <v>0</v>
      </c>
      <c r="Q1858" t="b">
        <v>1</v>
      </c>
    </row>
    <row r="1859">
      <c r="A1859" t="inlineStr">
        <is>
          <t>REQ01858</t>
        </is>
      </c>
      <c r="B1859" t="inlineStr">
        <is>
          <t>64880S75JCZ7AYZ20831</t>
        </is>
      </c>
      <c r="C1859" t="inlineStr">
        <is>
          <t>new_account</t>
        </is>
      </c>
      <c r="D1859" s="2" t="n">
        <v>46324.57916666667</v>
      </c>
      <c r="E1859" s="2" t="n">
        <v>46328.49583333333</v>
      </c>
      <c r="F1859" t="inlineStr">
        <is>
          <t>M2</t>
        </is>
      </c>
      <c r="G1859" t="inlineStr">
        <is>
          <t>C3</t>
        </is>
      </c>
      <c r="H1859" s="2" t="n">
        <v>46324.60138888889</v>
      </c>
      <c r="I1859" s="2" t="n">
        <v>46324.6125</v>
      </c>
      <c r="J1859" t="inlineStr">
        <is>
          <t>Completed</t>
        </is>
      </c>
      <c r="K1859" t="n">
        <v>0.79</v>
      </c>
      <c r="L1859" t="n">
        <v>16</v>
      </c>
      <c r="M1859" t="b">
        <v>0</v>
      </c>
      <c r="N1859" t="n">
        <v>0</v>
      </c>
      <c r="O1859" t="b">
        <v>1</v>
      </c>
      <c r="P1859" t="b">
        <v>0</v>
      </c>
      <c r="Q1859" t="b">
        <v>0</v>
      </c>
    </row>
    <row r="1860">
      <c r="A1860" t="inlineStr">
        <is>
          <t>REQ01859</t>
        </is>
      </c>
      <c r="B1860" t="inlineStr">
        <is>
          <t>254900L31O7EKVT7FM48</t>
        </is>
      </c>
      <c r="C1860" t="inlineStr">
        <is>
          <t>document_refresh</t>
        </is>
      </c>
      <c r="D1860" s="2" t="n">
        <v>46324.58472222222</v>
      </c>
      <c r="E1860" s="2" t="n">
        <v>46325.70972222222</v>
      </c>
      <c r="F1860" t="inlineStr">
        <is>
          <t>M3</t>
        </is>
      </c>
      <c r="G1860" t="inlineStr">
        <is>
          <t>C1</t>
        </is>
      </c>
      <c r="H1860" s="2" t="n">
        <v>46324.60069444445</v>
      </c>
      <c r="I1860" s="2" t="n">
        <v>46325.40347222222</v>
      </c>
      <c r="J1860" t="inlineStr">
        <is>
          <t>Completed</t>
        </is>
      </c>
      <c r="K1860" t="n">
        <v>4.65</v>
      </c>
      <c r="L1860" t="n">
        <v>12</v>
      </c>
      <c r="M1860" t="b">
        <v>0</v>
      </c>
      <c r="N1860" t="n">
        <v>0</v>
      </c>
      <c r="O1860" t="b">
        <v>1</v>
      </c>
      <c r="P1860" t="b">
        <v>0</v>
      </c>
      <c r="Q1860" t="b">
        <v>1</v>
      </c>
    </row>
    <row r="1861">
      <c r="A1861" t="inlineStr">
        <is>
          <t>REQ01860</t>
        </is>
      </c>
      <c r="B1861" t="inlineStr">
        <is>
          <t>2138008RZCZ8CQZGDJ66</t>
        </is>
      </c>
      <c r="C1861" t="inlineStr">
        <is>
          <t>document_refresh</t>
        </is>
      </c>
      <c r="D1861" s="2" t="n">
        <v>46324.58541666667</v>
      </c>
      <c r="E1861" s="2" t="n">
        <v>46325.71041666667</v>
      </c>
      <c r="F1861" t="inlineStr">
        <is>
          <t>M6</t>
        </is>
      </c>
      <c r="G1861" t="inlineStr">
        <is>
          <t>C3</t>
        </is>
      </c>
      <c r="H1861" s="2" t="n">
        <v>46324.60277777778</v>
      </c>
      <c r="I1861" s="2" t="n">
        <v>46324.73819444444</v>
      </c>
      <c r="J1861" t="inlineStr">
        <is>
          <t>Completed</t>
        </is>
      </c>
      <c r="K1861" t="n">
        <v>3.66</v>
      </c>
      <c r="L1861" t="n">
        <v>12</v>
      </c>
      <c r="M1861" t="b">
        <v>0</v>
      </c>
      <c r="N1861" t="n">
        <v>0</v>
      </c>
      <c r="O1861" t="b">
        <v>1</v>
      </c>
      <c r="P1861" t="b">
        <v>0</v>
      </c>
      <c r="Q1861" t="b">
        <v>1</v>
      </c>
    </row>
    <row r="1862">
      <c r="A1862" t="inlineStr">
        <is>
          <t>REQ01861</t>
        </is>
      </c>
      <c r="B1862" t="inlineStr">
        <is>
          <t>5299007NUHEK3805DE85</t>
        </is>
      </c>
      <c r="C1862" t="inlineStr">
        <is>
          <t>data_amendment</t>
        </is>
      </c>
      <c r="D1862" s="2" t="n">
        <v>46324.58680555555</v>
      </c>
      <c r="E1862" s="2" t="n">
        <v>46325.54513888889</v>
      </c>
      <c r="F1862" t="inlineStr">
        <is>
          <t>M4</t>
        </is>
      </c>
      <c r="G1862" t="inlineStr">
        <is>
          <t>C3</t>
        </is>
      </c>
      <c r="H1862" s="2" t="n">
        <v>46324.59652777778</v>
      </c>
      <c r="I1862" s="2" t="n">
        <v>46324.73263888889</v>
      </c>
      <c r="J1862" t="inlineStr">
        <is>
          <t>Completed</t>
        </is>
      </c>
      <c r="K1862" t="n">
        <v>3.5</v>
      </c>
      <c r="L1862" t="n">
        <v>8</v>
      </c>
      <c r="M1862" t="b">
        <v>0</v>
      </c>
      <c r="N1862" t="n">
        <v>0</v>
      </c>
      <c r="O1862" t="b">
        <v>1</v>
      </c>
      <c r="P1862" t="b">
        <v>0</v>
      </c>
      <c r="Q1862" t="b">
        <v>1</v>
      </c>
    </row>
    <row r="1863">
      <c r="A1863" t="inlineStr">
        <is>
          <t>REQ01862</t>
        </is>
      </c>
      <c r="B1863" t="inlineStr">
        <is>
          <t>254900NZB0IOWHHXUX22</t>
        </is>
      </c>
      <c r="C1863" t="inlineStr">
        <is>
          <t>document_refresh</t>
        </is>
      </c>
      <c r="D1863" s="2" t="n">
        <v>46324.59027777778</v>
      </c>
      <c r="E1863" s="2" t="n">
        <v>46325.71527777778</v>
      </c>
      <c r="F1863" t="inlineStr">
        <is>
          <t>M4</t>
        </is>
      </c>
      <c r="G1863" t="inlineStr">
        <is>
          <t>C2</t>
        </is>
      </c>
      <c r="H1863" s="2" t="n">
        <v>46324.61180555556</v>
      </c>
      <c r="I1863" s="2" t="n">
        <v>46324.61736111111</v>
      </c>
      <c r="J1863" t="inlineStr">
        <is>
          <t>Completed</t>
        </is>
      </c>
      <c r="K1863" t="n">
        <v>0.65</v>
      </c>
      <c r="L1863" t="n">
        <v>12</v>
      </c>
      <c r="M1863" t="b">
        <v>0</v>
      </c>
      <c r="N1863" t="n">
        <v>0</v>
      </c>
      <c r="O1863" t="b">
        <v>1</v>
      </c>
      <c r="P1863" t="b">
        <v>0</v>
      </c>
      <c r="Q1863" t="b">
        <v>0</v>
      </c>
    </row>
    <row r="1864">
      <c r="A1864" t="inlineStr">
        <is>
          <t>REQ01863</t>
        </is>
      </c>
      <c r="B1864" t="inlineStr">
        <is>
          <t>9845008E0AB785043840</t>
        </is>
      </c>
      <c r="C1864" t="inlineStr">
        <is>
          <t>data_amendment</t>
        </is>
      </c>
      <c r="D1864" s="2" t="n">
        <v>46324.59097222222</v>
      </c>
      <c r="E1864" s="2" t="n">
        <v>46325.54930555556</v>
      </c>
      <c r="F1864" t="inlineStr">
        <is>
          <t>M5</t>
        </is>
      </c>
      <c r="G1864" t="inlineStr">
        <is>
          <t>C3</t>
        </is>
      </c>
      <c r="H1864" s="2" t="n">
        <v>46324.61180555556</v>
      </c>
      <c r="I1864" s="2" t="n">
        <v>46324.61597222222</v>
      </c>
      <c r="J1864" t="inlineStr">
        <is>
          <t>Completed</t>
        </is>
      </c>
      <c r="K1864" t="n">
        <v>0.6</v>
      </c>
      <c r="L1864" t="n">
        <v>8</v>
      </c>
      <c r="M1864" t="b">
        <v>0</v>
      </c>
      <c r="N1864" t="n">
        <v>0</v>
      </c>
      <c r="O1864" t="b">
        <v>1</v>
      </c>
      <c r="P1864" t="b">
        <v>0</v>
      </c>
      <c r="Q1864" t="b">
        <v>0</v>
      </c>
    </row>
    <row r="1865">
      <c r="A1865" t="inlineStr">
        <is>
          <t>REQ01864</t>
        </is>
      </c>
      <c r="B1865" t="inlineStr">
        <is>
          <t>2138002DLJ5BCMAO4B20</t>
        </is>
      </c>
      <c r="C1865" t="inlineStr">
        <is>
          <t>document_refresh</t>
        </is>
      </c>
      <c r="D1865" s="2" t="n">
        <v>46324.59166666667</v>
      </c>
      <c r="E1865" s="2" t="n">
        <v>46325.71666666667</v>
      </c>
      <c r="F1865" t="inlineStr">
        <is>
          <t>M3</t>
        </is>
      </c>
      <c r="G1865" t="inlineStr">
        <is>
          <t>C1</t>
        </is>
      </c>
      <c r="H1865" s="2" t="n">
        <v>46324.61388888889</v>
      </c>
      <c r="I1865" s="2" t="n">
        <v>46324.62083333333</v>
      </c>
      <c r="J1865" t="inlineStr">
        <is>
          <t>Completed</t>
        </is>
      </c>
      <c r="K1865" t="n">
        <v>0.7</v>
      </c>
      <c r="L1865" t="n">
        <v>12</v>
      </c>
      <c r="M1865" t="b">
        <v>0</v>
      </c>
      <c r="N1865" t="n">
        <v>0</v>
      </c>
      <c r="O1865" t="b">
        <v>1</v>
      </c>
      <c r="P1865" t="b">
        <v>0</v>
      </c>
      <c r="Q1865" t="b">
        <v>0</v>
      </c>
    </row>
    <row r="1866">
      <c r="A1866" t="inlineStr">
        <is>
          <t>REQ01865</t>
        </is>
      </c>
      <c r="B1866" t="inlineStr">
        <is>
          <t>54930071RNC36XP1XZ79</t>
        </is>
      </c>
      <c r="C1866" t="inlineStr">
        <is>
          <t>document_refresh</t>
        </is>
      </c>
      <c r="D1866" s="2" t="n">
        <v>46324.59375</v>
      </c>
      <c r="E1866" s="2" t="n">
        <v>46325.71875</v>
      </c>
      <c r="F1866" t="inlineStr">
        <is>
          <t>M2</t>
        </is>
      </c>
      <c r="G1866" t="inlineStr">
        <is>
          <t>C2</t>
        </is>
      </c>
      <c r="H1866" s="2" t="n">
        <v>46324.61319444444</v>
      </c>
      <c r="I1866" s="2" t="n">
        <v>46324.74513888889</v>
      </c>
      <c r="J1866" t="inlineStr">
        <is>
          <t>Completed</t>
        </is>
      </c>
      <c r="K1866" t="n">
        <v>3.64</v>
      </c>
      <c r="L1866" t="n">
        <v>12</v>
      </c>
      <c r="M1866" t="b">
        <v>0</v>
      </c>
      <c r="N1866" t="n">
        <v>0</v>
      </c>
      <c r="O1866" t="b">
        <v>1</v>
      </c>
      <c r="P1866" t="b">
        <v>0</v>
      </c>
      <c r="Q1866" t="b">
        <v>1</v>
      </c>
    </row>
    <row r="1867">
      <c r="A1867" t="inlineStr">
        <is>
          <t>REQ01866</t>
        </is>
      </c>
      <c r="B1867" t="inlineStr">
        <is>
          <t>529900SLJ98PZCMJZ532</t>
        </is>
      </c>
      <c r="C1867" t="inlineStr">
        <is>
          <t>signatory_change</t>
        </is>
      </c>
      <c r="D1867" s="2" t="n">
        <v>46324.60138888889</v>
      </c>
      <c r="E1867" s="2" t="n">
        <v>46325.55972222222</v>
      </c>
      <c r="F1867" t="inlineStr">
        <is>
          <t>M6</t>
        </is>
      </c>
      <c r="G1867" t="inlineStr">
        <is>
          <t>C2</t>
        </is>
      </c>
      <c r="H1867" s="2" t="n">
        <v>46324.62013888889</v>
      </c>
      <c r="I1867" s="2" t="n">
        <v>46324.62708333333</v>
      </c>
      <c r="J1867" t="inlineStr">
        <is>
          <t>Completed</t>
        </is>
      </c>
      <c r="K1867" t="n">
        <v>0.61</v>
      </c>
      <c r="L1867" t="n">
        <v>8</v>
      </c>
      <c r="M1867" t="b">
        <v>0</v>
      </c>
      <c r="N1867" t="n">
        <v>0</v>
      </c>
      <c r="O1867" t="b">
        <v>1</v>
      </c>
      <c r="P1867" t="b">
        <v>0</v>
      </c>
      <c r="Q1867" t="b">
        <v>0</v>
      </c>
    </row>
    <row r="1868">
      <c r="A1868" t="inlineStr">
        <is>
          <t>REQ01867</t>
        </is>
      </c>
      <c r="B1868" t="inlineStr">
        <is>
          <t>335800E7UH7PH8WWWM74</t>
        </is>
      </c>
      <c r="C1868" t="inlineStr">
        <is>
          <t>document_refresh</t>
        </is>
      </c>
      <c r="D1868" s="2" t="n">
        <v>46324.60277777778</v>
      </c>
      <c r="E1868" s="2" t="n">
        <v>46325.72777777778</v>
      </c>
      <c r="F1868" t="inlineStr">
        <is>
          <t>M1</t>
        </is>
      </c>
      <c r="G1868" t="inlineStr">
        <is>
          <t>C2</t>
        </is>
      </c>
      <c r="H1868" s="2" t="n">
        <v>46324.61527777778</v>
      </c>
      <c r="I1868" s="2" t="n">
        <v>46324.63055555556</v>
      </c>
      <c r="J1868" t="inlineStr">
        <is>
          <t>Completed</t>
        </is>
      </c>
      <c r="K1868" t="n">
        <v>0.67</v>
      </c>
      <c r="L1868" t="n">
        <v>12</v>
      </c>
      <c r="M1868" t="b">
        <v>0</v>
      </c>
      <c r="N1868" t="n">
        <v>1</v>
      </c>
      <c r="O1868" t="b">
        <v>0</v>
      </c>
      <c r="P1868" t="b">
        <v>1</v>
      </c>
      <c r="Q1868" t="b">
        <v>0</v>
      </c>
    </row>
    <row r="1869">
      <c r="A1869" t="inlineStr">
        <is>
          <t>REQ01868</t>
        </is>
      </c>
      <c r="B1869" t="inlineStr">
        <is>
          <t>9695009Q0H6VA23KZ661</t>
        </is>
      </c>
      <c r="C1869" t="inlineStr">
        <is>
          <t>document_refresh</t>
        </is>
      </c>
      <c r="D1869" s="2" t="n">
        <v>46324.60486111111</v>
      </c>
      <c r="E1869" s="2" t="n">
        <v>46325.72986111111</v>
      </c>
      <c r="F1869" t="inlineStr">
        <is>
          <t>M4</t>
        </is>
      </c>
      <c r="G1869" t="inlineStr">
        <is>
          <t>C1</t>
        </is>
      </c>
      <c r="H1869" s="2" t="n">
        <v>46324.62986111111</v>
      </c>
      <c r="I1869" s="2" t="n">
        <v>46325.375</v>
      </c>
      <c r="J1869" t="inlineStr">
        <is>
          <t>Completed</t>
        </is>
      </c>
      <c r="K1869" t="n">
        <v>3.48</v>
      </c>
      <c r="L1869" t="n">
        <v>12</v>
      </c>
      <c r="M1869" t="b">
        <v>0</v>
      </c>
      <c r="N1869" t="n">
        <v>0</v>
      </c>
      <c r="O1869" t="b">
        <v>1</v>
      </c>
      <c r="P1869" t="b">
        <v>0</v>
      </c>
      <c r="Q1869" t="b">
        <v>1</v>
      </c>
    </row>
    <row r="1870">
      <c r="A1870" t="inlineStr">
        <is>
          <t>REQ01869</t>
        </is>
      </c>
      <c r="B1870" t="inlineStr">
        <is>
          <t>222100TYE3Q5HCR9T324</t>
        </is>
      </c>
      <c r="C1870" t="inlineStr">
        <is>
          <t>new_account</t>
        </is>
      </c>
      <c r="D1870" s="2" t="n">
        <v>46324.60972222222</v>
      </c>
      <c r="E1870" s="2" t="n">
        <v>46328.52638888889</v>
      </c>
      <c r="F1870" t="inlineStr">
        <is>
          <t>M5</t>
        </is>
      </c>
      <c r="G1870" t="inlineStr">
        <is>
          <t>C1</t>
        </is>
      </c>
      <c r="H1870" s="2" t="n">
        <v>46324.63680555556</v>
      </c>
      <c r="I1870" s="2" t="n">
        <v>46324.64791666667</v>
      </c>
      <c r="J1870" t="inlineStr">
        <is>
          <t>Completed</t>
        </is>
      </c>
      <c r="K1870" t="n">
        <v>0.91</v>
      </c>
      <c r="L1870" t="n">
        <v>16</v>
      </c>
      <c r="M1870" t="b">
        <v>0</v>
      </c>
      <c r="N1870" t="n">
        <v>0</v>
      </c>
      <c r="O1870" t="b">
        <v>1</v>
      </c>
      <c r="P1870" t="b">
        <v>0</v>
      </c>
      <c r="Q1870" t="b">
        <v>0</v>
      </c>
    </row>
    <row r="1871">
      <c r="A1871" t="inlineStr">
        <is>
          <t>REQ01870</t>
        </is>
      </c>
      <c r="B1871" t="inlineStr">
        <is>
          <t>984500A00E03E0F9FD14</t>
        </is>
      </c>
      <c r="C1871" t="inlineStr">
        <is>
          <t>new_account</t>
        </is>
      </c>
      <c r="D1871" s="2" t="n">
        <v>46324.61041666667</v>
      </c>
      <c r="E1871" s="2" t="n">
        <v>46328.52708333333</v>
      </c>
      <c r="F1871" t="inlineStr">
        <is>
          <t>M2</t>
        </is>
      </c>
      <c r="G1871" t="inlineStr">
        <is>
          <t>C2</t>
        </is>
      </c>
      <c r="H1871" s="2" t="n">
        <v>46324.64375</v>
      </c>
      <c r="I1871" s="2" t="n">
        <v>46324.65694444445</v>
      </c>
      <c r="J1871" t="inlineStr">
        <is>
          <t>Completed</t>
        </is>
      </c>
      <c r="K1871" t="n">
        <v>1.11</v>
      </c>
      <c r="L1871" t="n">
        <v>16</v>
      </c>
      <c r="M1871" t="b">
        <v>0</v>
      </c>
      <c r="N1871" t="n">
        <v>0</v>
      </c>
      <c r="O1871" t="b">
        <v>1</v>
      </c>
      <c r="P1871" t="b">
        <v>0</v>
      </c>
      <c r="Q1871" t="b">
        <v>0</v>
      </c>
    </row>
    <row r="1872">
      <c r="A1872" t="inlineStr">
        <is>
          <t>REQ01871</t>
        </is>
      </c>
      <c r="B1872" t="inlineStr">
        <is>
          <t>335800D8ODDO9214WU84</t>
        </is>
      </c>
      <c r="C1872" t="inlineStr">
        <is>
          <t>data_amendment</t>
        </is>
      </c>
      <c r="D1872" s="2" t="n">
        <v>46324.61944444444</v>
      </c>
      <c r="E1872" s="2" t="n">
        <v>46325.57777777778</v>
      </c>
      <c r="F1872" t="inlineStr">
        <is>
          <t>M3</t>
        </is>
      </c>
      <c r="G1872" t="inlineStr">
        <is>
          <t>C2</t>
        </is>
      </c>
      <c r="H1872" s="2" t="n">
        <v>46324.62916666667</v>
      </c>
      <c r="I1872" s="2" t="n">
        <v>46324.63333333333</v>
      </c>
      <c r="J1872" t="inlineStr">
        <is>
          <t>Completed</t>
        </is>
      </c>
      <c r="K1872" t="n">
        <v>0.33</v>
      </c>
      <c r="L1872" t="n">
        <v>8</v>
      </c>
      <c r="M1872" t="b">
        <v>0</v>
      </c>
      <c r="N1872" t="n">
        <v>0</v>
      </c>
      <c r="O1872" t="b">
        <v>1</v>
      </c>
      <c r="P1872" t="b">
        <v>0</v>
      </c>
      <c r="Q1872" t="b">
        <v>0</v>
      </c>
    </row>
    <row r="1873">
      <c r="A1873" t="inlineStr">
        <is>
          <t>REQ01872</t>
        </is>
      </c>
      <c r="B1873" t="inlineStr">
        <is>
          <t>64884F72BLSVF7013N44</t>
        </is>
      </c>
      <c r="C1873" t="inlineStr">
        <is>
          <t>document_refresh</t>
        </is>
      </c>
      <c r="D1873" s="2" t="n">
        <v>46324.62291666667</v>
      </c>
      <c r="E1873" s="2" t="n">
        <v>46325.74791666667</v>
      </c>
      <c r="F1873" t="inlineStr">
        <is>
          <t>M1</t>
        </is>
      </c>
      <c r="G1873" t="inlineStr">
        <is>
          <t>C2</t>
        </is>
      </c>
      <c r="H1873" s="2" t="n">
        <v>46324.64027777778</v>
      </c>
      <c r="I1873" s="2" t="n">
        <v>46324.64583333334</v>
      </c>
      <c r="J1873" t="inlineStr">
        <is>
          <t>Completed</t>
        </is>
      </c>
      <c r="K1873" t="n">
        <v>0.5600000000000001</v>
      </c>
      <c r="L1873" t="n">
        <v>12</v>
      </c>
      <c r="M1873" t="b">
        <v>0</v>
      </c>
      <c r="N1873" t="n">
        <v>0</v>
      </c>
      <c r="O1873" t="b">
        <v>1</v>
      </c>
      <c r="P1873" t="b">
        <v>0</v>
      </c>
      <c r="Q1873" t="b">
        <v>0</v>
      </c>
    </row>
    <row r="1874">
      <c r="A1874" t="inlineStr">
        <is>
          <t>REQ01873</t>
        </is>
      </c>
      <c r="B1874" t="inlineStr">
        <is>
          <t>213800PZ25M4LDITGF17</t>
        </is>
      </c>
      <c r="C1874" t="inlineStr">
        <is>
          <t>new_account</t>
        </is>
      </c>
      <c r="D1874" s="2" t="n">
        <v>46324.625</v>
      </c>
      <c r="E1874" s="2" t="n">
        <v>46328.54166666666</v>
      </c>
      <c r="F1874" t="inlineStr">
        <is>
          <t>M6</t>
        </is>
      </c>
      <c r="G1874" t="inlineStr">
        <is>
          <t>C3</t>
        </is>
      </c>
      <c r="H1874" s="2" t="n">
        <v>46324.64791666667</v>
      </c>
      <c r="I1874" s="2" t="n">
        <v>46324.66111111111</v>
      </c>
      <c r="J1874" t="inlineStr">
        <is>
          <t>Completed</t>
        </is>
      </c>
      <c r="K1874" t="n">
        <v>0.87</v>
      </c>
      <c r="L1874" t="n">
        <v>16</v>
      </c>
      <c r="M1874" t="b">
        <v>0</v>
      </c>
      <c r="N1874" t="n">
        <v>0</v>
      </c>
      <c r="O1874" t="b">
        <v>1</v>
      </c>
      <c r="P1874" t="b">
        <v>0</v>
      </c>
      <c r="Q1874" t="b">
        <v>0</v>
      </c>
    </row>
    <row r="1875">
      <c r="A1875" t="inlineStr">
        <is>
          <t>REQ01874</t>
        </is>
      </c>
      <c r="B1875" t="inlineStr">
        <is>
          <t>506700OV3825L2636M40</t>
        </is>
      </c>
      <c r="C1875" t="inlineStr">
        <is>
          <t>data_amendment</t>
        </is>
      </c>
      <c r="D1875" s="2" t="n">
        <v>46324.62569444445</v>
      </c>
      <c r="E1875" s="2" t="n">
        <v>46325.58402777778</v>
      </c>
      <c r="F1875" t="inlineStr">
        <is>
          <t>M3</t>
        </is>
      </c>
      <c r="G1875" t="inlineStr">
        <is>
          <t>C2</t>
        </is>
      </c>
      <c r="H1875" s="2" t="n">
        <v>46324.64097222222</v>
      </c>
      <c r="I1875" s="2" t="n">
        <v>46325.47291666667</v>
      </c>
      <c r="J1875" t="inlineStr">
        <is>
          <t>Completed</t>
        </is>
      </c>
      <c r="K1875" t="n">
        <v>5.34</v>
      </c>
      <c r="L1875" t="n">
        <v>8</v>
      </c>
      <c r="M1875" t="b">
        <v>0</v>
      </c>
      <c r="N1875" t="n">
        <v>0</v>
      </c>
      <c r="O1875" t="b">
        <v>1</v>
      </c>
      <c r="P1875" t="b">
        <v>0</v>
      </c>
      <c r="Q1875" t="b">
        <v>1</v>
      </c>
    </row>
    <row r="1876">
      <c r="A1876" t="inlineStr">
        <is>
          <t>REQ01875</t>
        </is>
      </c>
      <c r="B1876" t="inlineStr">
        <is>
          <t>724500F3MAKSPBKLRF66</t>
        </is>
      </c>
      <c r="C1876" t="inlineStr">
        <is>
          <t>document_refresh</t>
        </is>
      </c>
      <c r="D1876" s="2" t="n">
        <v>46324.62777777778</v>
      </c>
      <c r="E1876" s="2" t="n">
        <v>46328.37777777778</v>
      </c>
      <c r="F1876" t="inlineStr">
        <is>
          <t>M4</t>
        </is>
      </c>
      <c r="G1876" t="inlineStr">
        <is>
          <t>C1</t>
        </is>
      </c>
      <c r="H1876" s="2" t="n">
        <v>46324.64722222222</v>
      </c>
      <c r="I1876" s="2" t="n">
        <v>46324.65347222222</v>
      </c>
      <c r="J1876" t="inlineStr">
        <is>
          <t>Completed</t>
        </is>
      </c>
      <c r="K1876" t="n">
        <v>0.62</v>
      </c>
      <c r="L1876" t="n">
        <v>12</v>
      </c>
      <c r="M1876" t="b">
        <v>0</v>
      </c>
      <c r="N1876" t="n">
        <v>0</v>
      </c>
      <c r="O1876" t="b">
        <v>1</v>
      </c>
      <c r="P1876" t="b">
        <v>0</v>
      </c>
      <c r="Q1876" t="b">
        <v>0</v>
      </c>
    </row>
    <row r="1877">
      <c r="A1877" t="inlineStr">
        <is>
          <t>REQ01876</t>
        </is>
      </c>
      <c r="B1877" t="inlineStr">
        <is>
          <t>5493003VD2X4LBL99213</t>
        </is>
      </c>
      <c r="C1877" t="inlineStr">
        <is>
          <t>signatory_change</t>
        </is>
      </c>
      <c r="D1877" s="2" t="n">
        <v>46324.62847222222</v>
      </c>
      <c r="E1877" s="2" t="n">
        <v>46325.58680555555</v>
      </c>
      <c r="F1877" t="inlineStr">
        <is>
          <t>M5</t>
        </is>
      </c>
      <c r="G1877" t="inlineStr">
        <is>
          <t>C1</t>
        </is>
      </c>
      <c r="H1877" s="2" t="n">
        <v>46324.65833333333</v>
      </c>
      <c r="I1877" s="2" t="n">
        <v>46325.47222222222</v>
      </c>
      <c r="J1877" t="inlineStr">
        <is>
          <t>Completed</t>
        </is>
      </c>
      <c r="K1877" t="n">
        <v>5.26</v>
      </c>
      <c r="L1877" t="n">
        <v>8</v>
      </c>
      <c r="M1877" t="b">
        <v>0</v>
      </c>
      <c r="N1877" t="n">
        <v>0</v>
      </c>
      <c r="O1877" t="b">
        <v>1</v>
      </c>
      <c r="P1877" t="b">
        <v>0</v>
      </c>
      <c r="Q1877" t="b">
        <v>1</v>
      </c>
    </row>
    <row r="1878">
      <c r="A1878" t="inlineStr">
        <is>
          <t>REQ01877</t>
        </is>
      </c>
      <c r="B1878" t="inlineStr">
        <is>
          <t>549300BLIOXLBXV8HE87</t>
        </is>
      </c>
      <c r="C1878" t="inlineStr">
        <is>
          <t>document_refresh</t>
        </is>
      </c>
      <c r="D1878" s="2" t="n">
        <v>46324.62847222222</v>
      </c>
      <c r="E1878" s="2" t="n">
        <v>46328.37847222222</v>
      </c>
      <c r="F1878" t="inlineStr">
        <is>
          <t>M1</t>
        </is>
      </c>
      <c r="G1878" t="inlineStr">
        <is>
          <t>C1</t>
        </is>
      </c>
      <c r="H1878" s="2" t="n">
        <v>46324.65</v>
      </c>
      <c r="I1878" s="2" t="n">
        <v>46325.43194444444</v>
      </c>
      <c r="J1878" t="inlineStr">
        <is>
          <t>Completed</t>
        </is>
      </c>
      <c r="K1878" t="n">
        <v>4.28</v>
      </c>
      <c r="L1878" t="n">
        <v>12</v>
      </c>
      <c r="M1878" t="b">
        <v>0</v>
      </c>
      <c r="N1878" t="n">
        <v>1</v>
      </c>
      <c r="O1878" t="b">
        <v>0</v>
      </c>
      <c r="P1878" t="b">
        <v>1</v>
      </c>
      <c r="Q1878" t="b">
        <v>1</v>
      </c>
    </row>
    <row r="1879">
      <c r="A1879" t="inlineStr">
        <is>
          <t>REQ01878</t>
        </is>
      </c>
      <c r="B1879" t="inlineStr">
        <is>
          <t>894500M6NACGG2KWVN44</t>
        </is>
      </c>
      <c r="C1879" t="inlineStr">
        <is>
          <t>document_refresh</t>
        </is>
      </c>
      <c r="D1879" s="2" t="n">
        <v>46324.63402777778</v>
      </c>
      <c r="E1879" s="2" t="n">
        <v>46328.38402777778</v>
      </c>
      <c r="F1879" t="inlineStr">
        <is>
          <t>M3</t>
        </is>
      </c>
      <c r="G1879" t="inlineStr">
        <is>
          <t>C3</t>
        </is>
      </c>
      <c r="H1879" s="2" t="n">
        <v>46324.65138888889</v>
      </c>
      <c r="I1879" s="2" t="n">
        <v>46325.40486111111</v>
      </c>
      <c r="J1879" t="inlineStr">
        <is>
          <t>Completed</t>
        </is>
      </c>
      <c r="K1879" t="n">
        <v>3.5</v>
      </c>
      <c r="L1879" t="n">
        <v>12</v>
      </c>
      <c r="M1879" t="b">
        <v>0</v>
      </c>
      <c r="N1879" t="n">
        <v>0</v>
      </c>
      <c r="O1879" t="b">
        <v>1</v>
      </c>
      <c r="P1879" t="b">
        <v>0</v>
      </c>
      <c r="Q1879" t="b">
        <v>1</v>
      </c>
    </row>
    <row r="1880">
      <c r="A1880" t="inlineStr">
        <is>
          <t>REQ01879</t>
        </is>
      </c>
      <c r="B1880" t="inlineStr">
        <is>
          <t>7245005C514Y7TIO1775</t>
        </is>
      </c>
      <c r="C1880" t="inlineStr">
        <is>
          <t>signatory_change</t>
        </is>
      </c>
      <c r="D1880" s="2" t="n">
        <v>46324.63611111111</v>
      </c>
      <c r="E1880" s="2" t="n">
        <v>46325.59444444445</v>
      </c>
      <c r="F1880" t="inlineStr">
        <is>
          <t>M2</t>
        </is>
      </c>
      <c r="G1880" t="inlineStr">
        <is>
          <t>C3</t>
        </is>
      </c>
      <c r="H1880" s="2" t="n">
        <v>46324.66111111111</v>
      </c>
      <c r="I1880" s="2" t="n">
        <v>46324.66805555556</v>
      </c>
      <c r="J1880" t="inlineStr">
        <is>
          <t>Completed</t>
        </is>
      </c>
      <c r="K1880" t="n">
        <v>0.77</v>
      </c>
      <c r="L1880" t="n">
        <v>8</v>
      </c>
      <c r="M1880" t="b">
        <v>0</v>
      </c>
      <c r="N1880" t="n">
        <v>0</v>
      </c>
      <c r="O1880" t="b">
        <v>1</v>
      </c>
      <c r="P1880" t="b">
        <v>0</v>
      </c>
      <c r="Q1880" t="b">
        <v>0</v>
      </c>
    </row>
    <row r="1881">
      <c r="A1881" t="inlineStr">
        <is>
          <t>REQ01880</t>
        </is>
      </c>
      <c r="B1881" t="inlineStr">
        <is>
          <t>213800B69B8DIFU29D49</t>
        </is>
      </c>
      <c r="C1881" t="inlineStr">
        <is>
          <t>data_amendment</t>
        </is>
      </c>
      <c r="D1881" s="2" t="n">
        <v>46324.64930555555</v>
      </c>
      <c r="E1881" s="2" t="n">
        <v>46325.60763888889</v>
      </c>
      <c r="F1881" t="inlineStr">
        <is>
          <t>M4</t>
        </is>
      </c>
      <c r="G1881" t="inlineStr">
        <is>
          <t>C3</t>
        </is>
      </c>
      <c r="H1881" s="2" t="n">
        <v>46324.65902777778</v>
      </c>
      <c r="I1881" s="2" t="n">
        <v>46325.43333333333</v>
      </c>
      <c r="J1881" t="inlineStr">
        <is>
          <t>Completed</t>
        </is>
      </c>
      <c r="K1881" t="n">
        <v>3.81</v>
      </c>
      <c r="L1881" t="n">
        <v>8</v>
      </c>
      <c r="M1881" t="b">
        <v>0</v>
      </c>
      <c r="N1881" t="n">
        <v>0</v>
      </c>
      <c r="O1881" t="b">
        <v>1</v>
      </c>
      <c r="P1881" t="b">
        <v>0</v>
      </c>
      <c r="Q1881" t="b">
        <v>1</v>
      </c>
    </row>
    <row r="1882">
      <c r="A1882" t="inlineStr">
        <is>
          <t>REQ01881</t>
        </is>
      </c>
      <c r="B1882" t="inlineStr">
        <is>
          <t>984500R6AA3E9404CG48</t>
        </is>
      </c>
      <c r="C1882" t="inlineStr">
        <is>
          <t>document_refresh</t>
        </is>
      </c>
      <c r="D1882" s="2" t="n">
        <v>46324.64930555555</v>
      </c>
      <c r="E1882" s="2" t="n">
        <v>46328.39930555555</v>
      </c>
      <c r="F1882" t="inlineStr">
        <is>
          <t>M6</t>
        </is>
      </c>
      <c r="G1882" t="inlineStr">
        <is>
          <t>C1</t>
        </is>
      </c>
      <c r="H1882" s="2" t="n">
        <v>46324.66319444445</v>
      </c>
      <c r="I1882" s="2" t="n">
        <v>46324.66875</v>
      </c>
      <c r="J1882" t="inlineStr">
        <is>
          <t>Completed</t>
        </is>
      </c>
      <c r="K1882" t="n">
        <v>0.47</v>
      </c>
      <c r="L1882" t="n">
        <v>12</v>
      </c>
      <c r="M1882" t="b">
        <v>0</v>
      </c>
      <c r="N1882" t="n">
        <v>0</v>
      </c>
      <c r="O1882" t="b">
        <v>1</v>
      </c>
      <c r="P1882" t="b">
        <v>0</v>
      </c>
      <c r="Q1882" t="b">
        <v>0</v>
      </c>
    </row>
    <row r="1883">
      <c r="A1883" t="inlineStr">
        <is>
          <t>REQ01882</t>
        </is>
      </c>
      <c r="B1883" t="inlineStr">
        <is>
          <t>875500DYBS780VCV3048</t>
        </is>
      </c>
      <c r="C1883" t="inlineStr">
        <is>
          <t>new_account</t>
        </is>
      </c>
      <c r="D1883" s="2" t="n">
        <v>46324.64930555555</v>
      </c>
      <c r="E1883" s="2" t="n">
        <v>46328.56597222222</v>
      </c>
      <c r="F1883" t="inlineStr">
        <is>
          <t>M1</t>
        </is>
      </c>
      <c r="G1883" t="inlineStr">
        <is>
          <t>C1</t>
        </is>
      </c>
      <c r="H1883" s="2" t="n">
        <v>46324.68472222222</v>
      </c>
      <c r="I1883" s="2" t="n">
        <v>46324.69236111111</v>
      </c>
      <c r="J1883" t="inlineStr">
        <is>
          <t>Completed</t>
        </is>
      </c>
      <c r="K1883" t="n">
        <v>1.03</v>
      </c>
      <c r="L1883" t="n">
        <v>16</v>
      </c>
      <c r="M1883" t="b">
        <v>0</v>
      </c>
      <c r="N1883" t="n">
        <v>0</v>
      </c>
      <c r="O1883" t="b">
        <v>1</v>
      </c>
      <c r="P1883" t="b">
        <v>0</v>
      </c>
      <c r="Q1883" t="b">
        <v>0</v>
      </c>
    </row>
    <row r="1884">
      <c r="A1884" t="inlineStr">
        <is>
          <t>REQ01883</t>
        </is>
      </c>
      <c r="B1884" t="inlineStr">
        <is>
          <t>969500OZKR51KNRZLE98</t>
        </is>
      </c>
      <c r="C1884" t="inlineStr">
        <is>
          <t>new_account</t>
        </is>
      </c>
      <c r="D1884" s="2" t="n">
        <v>46324.65277777778</v>
      </c>
      <c r="E1884" s="2" t="n">
        <v>46328.56944444445</v>
      </c>
      <c r="F1884" t="inlineStr">
        <is>
          <t>M3</t>
        </is>
      </c>
      <c r="G1884" t="inlineStr">
        <is>
          <t>C2</t>
        </is>
      </c>
      <c r="H1884" s="2" t="n">
        <v>46324.69027777778</v>
      </c>
      <c r="I1884" s="2" t="n">
        <v>46325.425</v>
      </c>
      <c r="J1884" t="inlineStr">
        <is>
          <t>Completed</t>
        </is>
      </c>
      <c r="K1884" t="n">
        <v>3.53</v>
      </c>
      <c r="L1884" t="n">
        <v>16</v>
      </c>
      <c r="M1884" t="b">
        <v>0</v>
      </c>
      <c r="N1884" t="n">
        <v>0</v>
      </c>
      <c r="O1884" t="b">
        <v>1</v>
      </c>
      <c r="P1884" t="b">
        <v>0</v>
      </c>
      <c r="Q1884" t="b">
        <v>1</v>
      </c>
    </row>
    <row r="1885">
      <c r="A1885" t="inlineStr">
        <is>
          <t>REQ01884</t>
        </is>
      </c>
      <c r="B1885" t="inlineStr">
        <is>
          <t>969500NN7LSGRV6QH150</t>
        </is>
      </c>
      <c r="C1885" t="inlineStr">
        <is>
          <t>document_refresh</t>
        </is>
      </c>
      <c r="D1885" s="2" t="n">
        <v>46324.66041666667</v>
      </c>
      <c r="E1885" s="2" t="n">
        <v>46328.41041666667</v>
      </c>
      <c r="F1885" t="inlineStr">
        <is>
          <t>M5</t>
        </is>
      </c>
      <c r="G1885" t="inlineStr">
        <is>
          <t>C2</t>
        </is>
      </c>
      <c r="H1885" s="2" t="n">
        <v>46324.67638888889</v>
      </c>
      <c r="I1885" s="2" t="n">
        <v>46324.69305555556</v>
      </c>
      <c r="J1885" t="inlineStr">
        <is>
          <t>Completed</t>
        </is>
      </c>
      <c r="K1885" t="n">
        <v>0.79</v>
      </c>
      <c r="L1885" t="n">
        <v>12</v>
      </c>
      <c r="M1885" t="b">
        <v>0</v>
      </c>
      <c r="N1885" t="n">
        <v>1</v>
      </c>
      <c r="O1885" t="b">
        <v>0</v>
      </c>
      <c r="P1885" t="b">
        <v>1</v>
      </c>
      <c r="Q1885" t="b">
        <v>0</v>
      </c>
    </row>
    <row r="1886">
      <c r="A1886" t="inlineStr">
        <is>
          <t>REQ01885</t>
        </is>
      </c>
      <c r="B1886" t="inlineStr">
        <is>
          <t>335800TKSL45AFAQQD46</t>
        </is>
      </c>
      <c r="C1886" t="inlineStr">
        <is>
          <t>new_account</t>
        </is>
      </c>
      <c r="D1886" s="2" t="n">
        <v>46324.66319444445</v>
      </c>
      <c r="E1886" s="2" t="n">
        <v>46328.57986111111</v>
      </c>
      <c r="F1886" t="inlineStr">
        <is>
          <t>M4</t>
        </is>
      </c>
      <c r="G1886" t="inlineStr">
        <is>
          <t>C1</t>
        </is>
      </c>
      <c r="H1886" s="2" t="n">
        <v>46324.69444444445</v>
      </c>
      <c r="I1886" s="2" t="n">
        <v>46324.70625</v>
      </c>
      <c r="J1886" t="inlineStr">
        <is>
          <t>Completed</t>
        </is>
      </c>
      <c r="K1886" t="n">
        <v>1.04</v>
      </c>
      <c r="L1886" t="n">
        <v>16</v>
      </c>
      <c r="M1886" t="b">
        <v>0</v>
      </c>
      <c r="N1886" t="n">
        <v>0</v>
      </c>
      <c r="O1886" t="b">
        <v>1</v>
      </c>
      <c r="P1886" t="b">
        <v>0</v>
      </c>
      <c r="Q1886" t="b">
        <v>0</v>
      </c>
    </row>
    <row r="1887">
      <c r="A1887" t="inlineStr">
        <is>
          <t>REQ01886</t>
        </is>
      </c>
      <c r="B1887" t="inlineStr">
        <is>
          <t>98450003E13AB389VF10</t>
        </is>
      </c>
      <c r="C1887" t="inlineStr">
        <is>
          <t>new_account</t>
        </is>
      </c>
      <c r="D1887" s="2" t="n">
        <v>46324.66527777778</v>
      </c>
      <c r="E1887" s="2" t="n">
        <v>46328.58194444444</v>
      </c>
      <c r="F1887" t="inlineStr">
        <is>
          <t>M2</t>
        </is>
      </c>
      <c r="G1887" t="inlineStr">
        <is>
          <t>C2</t>
        </is>
      </c>
      <c r="H1887" s="2" t="n">
        <v>46324.6875</v>
      </c>
      <c r="I1887" s="2" t="n">
        <v>46324.70347222222</v>
      </c>
      <c r="J1887" t="inlineStr">
        <is>
          <t>Completed</t>
        </is>
      </c>
      <c r="K1887" t="n">
        <v>0.92</v>
      </c>
      <c r="L1887" t="n">
        <v>16</v>
      </c>
      <c r="M1887" t="b">
        <v>0</v>
      </c>
      <c r="N1887" t="n">
        <v>0</v>
      </c>
      <c r="O1887" t="b">
        <v>1</v>
      </c>
      <c r="P1887" t="b">
        <v>0</v>
      </c>
      <c r="Q1887" t="b">
        <v>0</v>
      </c>
    </row>
    <row r="1888">
      <c r="A1888" t="inlineStr">
        <is>
          <t>REQ01887</t>
        </is>
      </c>
      <c r="B1888" t="inlineStr">
        <is>
          <t>254900MTAU3XRUF9XT89</t>
        </is>
      </c>
      <c r="C1888" t="inlineStr">
        <is>
          <t>data_amendment</t>
        </is>
      </c>
      <c r="D1888" s="2" t="n">
        <v>46324.67083333333</v>
      </c>
      <c r="E1888" s="2" t="n">
        <v>46325.62916666667</v>
      </c>
      <c r="F1888" t="inlineStr">
        <is>
          <t>M6</t>
        </is>
      </c>
      <c r="G1888" t="inlineStr">
        <is>
          <t>C3</t>
        </is>
      </c>
      <c r="H1888" s="2" t="n">
        <v>46324.67986111111</v>
      </c>
      <c r="I1888" s="2" t="n">
        <v>46324.68333333333</v>
      </c>
      <c r="J1888" t="inlineStr">
        <is>
          <t>Completed</t>
        </is>
      </c>
      <c r="K1888" t="n">
        <v>0.29</v>
      </c>
      <c r="L1888" t="n">
        <v>8</v>
      </c>
      <c r="M1888" t="b">
        <v>0</v>
      </c>
      <c r="N1888" t="n">
        <v>0</v>
      </c>
      <c r="O1888" t="b">
        <v>1</v>
      </c>
      <c r="P1888" t="b">
        <v>0</v>
      </c>
      <c r="Q1888" t="b">
        <v>0</v>
      </c>
    </row>
    <row r="1889">
      <c r="A1889" t="inlineStr">
        <is>
          <t>REQ01888</t>
        </is>
      </c>
      <c r="B1889" t="inlineStr">
        <is>
          <t>335800DDC1U29DIOD649</t>
        </is>
      </c>
      <c r="C1889" t="inlineStr">
        <is>
          <t>document_refresh</t>
        </is>
      </c>
      <c r="D1889" s="2" t="n">
        <v>46324.67430555556</v>
      </c>
      <c r="E1889" s="2" t="n">
        <v>46328.42430555556</v>
      </c>
      <c r="F1889" t="inlineStr">
        <is>
          <t>M5</t>
        </is>
      </c>
      <c r="G1889" t="inlineStr">
        <is>
          <t>C1</t>
        </is>
      </c>
      <c r="H1889" s="2" t="n">
        <v>46324.69166666667</v>
      </c>
      <c r="I1889" s="2" t="n">
        <v>46324.69652777778</v>
      </c>
      <c r="J1889" t="inlineStr">
        <is>
          <t>Completed</t>
        </is>
      </c>
      <c r="K1889" t="n">
        <v>0.54</v>
      </c>
      <c r="L1889" t="n">
        <v>12</v>
      </c>
      <c r="M1889" t="b">
        <v>0</v>
      </c>
      <c r="N1889" t="n">
        <v>0</v>
      </c>
      <c r="O1889" t="b">
        <v>1</v>
      </c>
      <c r="P1889" t="b">
        <v>0</v>
      </c>
      <c r="Q1889" t="b">
        <v>0</v>
      </c>
    </row>
    <row r="1890">
      <c r="A1890" t="inlineStr">
        <is>
          <t>REQ01889</t>
        </is>
      </c>
      <c r="B1890" t="inlineStr">
        <is>
          <t>96950016792G11AEGW10</t>
        </is>
      </c>
      <c r="C1890" t="inlineStr">
        <is>
          <t>new_account</t>
        </is>
      </c>
      <c r="D1890" s="2" t="n">
        <v>46324.67569444444</v>
      </c>
      <c r="E1890" s="2" t="n">
        <v>46328.59236111111</v>
      </c>
      <c r="F1890" t="inlineStr">
        <is>
          <t>M6</t>
        </is>
      </c>
      <c r="G1890" t="inlineStr">
        <is>
          <t>C2</t>
        </is>
      </c>
      <c r="H1890" s="2" t="n">
        <v>46324.71388888889</v>
      </c>
      <c r="I1890" s="2" t="n">
        <v>46324.72708333333</v>
      </c>
      <c r="J1890" t="inlineStr">
        <is>
          <t>Completed</t>
        </is>
      </c>
      <c r="K1890" t="n">
        <v>1.23</v>
      </c>
      <c r="L1890" t="n">
        <v>16</v>
      </c>
      <c r="M1890" t="b">
        <v>0</v>
      </c>
      <c r="N1890" t="n">
        <v>0</v>
      </c>
      <c r="O1890" t="b">
        <v>1</v>
      </c>
      <c r="P1890" t="b">
        <v>0</v>
      </c>
      <c r="Q1890" t="b">
        <v>0</v>
      </c>
    </row>
    <row r="1891">
      <c r="A1891" t="inlineStr">
        <is>
          <t>REQ01890</t>
        </is>
      </c>
      <c r="B1891" t="inlineStr">
        <is>
          <t>391200LRNGF4FTQDBI67</t>
        </is>
      </c>
      <c r="C1891" t="inlineStr">
        <is>
          <t>document_refresh</t>
        </is>
      </c>
      <c r="D1891" s="2" t="n">
        <v>46324.67638888889</v>
      </c>
      <c r="E1891" s="2" t="n">
        <v>46328.42638888889</v>
      </c>
      <c r="F1891" t="inlineStr">
        <is>
          <t>M1</t>
        </is>
      </c>
      <c r="G1891" t="inlineStr">
        <is>
          <t>C3</t>
        </is>
      </c>
      <c r="H1891" s="2" t="n">
        <v>46324.69652777778</v>
      </c>
      <c r="I1891" s="2" t="n">
        <v>46324.70625</v>
      </c>
      <c r="J1891" t="inlineStr">
        <is>
          <t>Completed</t>
        </is>
      </c>
      <c r="K1891" t="n">
        <v>0.71</v>
      </c>
      <c r="L1891" t="n">
        <v>12</v>
      </c>
      <c r="M1891" t="b">
        <v>0</v>
      </c>
      <c r="N1891" t="n">
        <v>0</v>
      </c>
      <c r="O1891" t="b">
        <v>1</v>
      </c>
      <c r="P1891" t="b">
        <v>0</v>
      </c>
      <c r="Q1891" t="b">
        <v>0</v>
      </c>
    </row>
    <row r="1892">
      <c r="A1892" t="inlineStr">
        <is>
          <t>REQ01891</t>
        </is>
      </c>
      <c r="B1892" t="inlineStr">
        <is>
          <t>335800N2VQNB3QBRWM81</t>
        </is>
      </c>
      <c r="C1892" t="inlineStr">
        <is>
          <t>document_refresh</t>
        </is>
      </c>
      <c r="D1892" s="2" t="n">
        <v>46324.67986111111</v>
      </c>
      <c r="E1892" s="2" t="n">
        <v>46328.42986111111</v>
      </c>
      <c r="F1892" t="inlineStr">
        <is>
          <t>M2</t>
        </is>
      </c>
      <c r="G1892" t="inlineStr">
        <is>
          <t>C3</t>
        </is>
      </c>
      <c r="H1892" s="2" t="n">
        <v>46324.70347222222</v>
      </c>
      <c r="I1892" s="2" t="n">
        <v>46324.71041666667</v>
      </c>
      <c r="J1892" t="inlineStr">
        <is>
          <t>Completed</t>
        </is>
      </c>
      <c r="K1892" t="n">
        <v>0.74</v>
      </c>
      <c r="L1892" t="n">
        <v>12</v>
      </c>
      <c r="M1892" t="b">
        <v>0</v>
      </c>
      <c r="N1892" t="n">
        <v>0</v>
      </c>
      <c r="O1892" t="b">
        <v>1</v>
      </c>
      <c r="P1892" t="b">
        <v>0</v>
      </c>
      <c r="Q1892" t="b">
        <v>0</v>
      </c>
    </row>
    <row r="1893">
      <c r="A1893" t="inlineStr">
        <is>
          <t>REQ01892</t>
        </is>
      </c>
      <c r="B1893" t="inlineStr">
        <is>
          <t>724500XI9W605DEC8V69</t>
        </is>
      </c>
      <c r="C1893" t="inlineStr">
        <is>
          <t>new_account</t>
        </is>
      </c>
      <c r="D1893" s="2" t="n">
        <v>46324.68333333333</v>
      </c>
      <c r="E1893" s="2" t="n">
        <v>46328.6</v>
      </c>
      <c r="F1893" t="inlineStr">
        <is>
          <t>M3</t>
        </is>
      </c>
      <c r="G1893" t="inlineStr">
        <is>
          <t>C3</t>
        </is>
      </c>
      <c r="H1893" s="2" t="n">
        <v>46324.71458333333</v>
      </c>
      <c r="I1893" s="2" t="n">
        <v>46324.72847222222</v>
      </c>
      <c r="J1893" t="inlineStr">
        <is>
          <t>Completed</t>
        </is>
      </c>
      <c r="K1893" t="n">
        <v>1.08</v>
      </c>
      <c r="L1893" t="n">
        <v>16</v>
      </c>
      <c r="M1893" t="b">
        <v>0</v>
      </c>
      <c r="N1893" t="n">
        <v>0</v>
      </c>
      <c r="O1893" t="b">
        <v>1</v>
      </c>
      <c r="P1893" t="b">
        <v>0</v>
      </c>
      <c r="Q1893" t="b">
        <v>0</v>
      </c>
    </row>
    <row r="1894">
      <c r="A1894" t="inlineStr">
        <is>
          <t>REQ01893</t>
        </is>
      </c>
      <c r="B1894" t="inlineStr">
        <is>
          <t>9845006CCWFB8B748743</t>
        </is>
      </c>
      <c r="C1894" t="inlineStr">
        <is>
          <t>data_amendment</t>
        </is>
      </c>
      <c r="D1894" s="2" t="n">
        <v>46324.68819444445</v>
      </c>
      <c r="E1894" s="2" t="n">
        <v>46325.64652777778</v>
      </c>
      <c r="F1894" t="inlineStr">
        <is>
          <t>M5</t>
        </is>
      </c>
      <c r="G1894" t="inlineStr">
        <is>
          <t>C1</t>
        </is>
      </c>
      <c r="H1894" s="2" t="n">
        <v>46324.70347222222</v>
      </c>
      <c r="I1894" s="2" t="n">
        <v>46324.70972222222</v>
      </c>
      <c r="J1894" t="inlineStr">
        <is>
          <t>Completed</t>
        </is>
      </c>
      <c r="K1894" t="n">
        <v>0.52</v>
      </c>
      <c r="L1894" t="n">
        <v>8</v>
      </c>
      <c r="M1894" t="b">
        <v>0</v>
      </c>
      <c r="N1894" t="n">
        <v>0</v>
      </c>
      <c r="O1894" t="b">
        <v>1</v>
      </c>
      <c r="P1894" t="b">
        <v>0</v>
      </c>
      <c r="Q1894" t="b">
        <v>0</v>
      </c>
    </row>
    <row r="1895">
      <c r="A1895" t="inlineStr">
        <is>
          <t>REQ01894</t>
        </is>
      </c>
      <c r="B1895" t="inlineStr">
        <is>
          <t>213800EWVJTTLD5LHA93</t>
        </is>
      </c>
      <c r="C1895" t="inlineStr">
        <is>
          <t>document_refresh</t>
        </is>
      </c>
      <c r="D1895" s="2" t="n">
        <v>46324.68819444445</v>
      </c>
      <c r="E1895" s="2" t="n">
        <v>46328.43819444445</v>
      </c>
      <c r="F1895" t="inlineStr">
        <is>
          <t>M4</t>
        </is>
      </c>
      <c r="G1895" t="inlineStr">
        <is>
          <t>C3</t>
        </is>
      </c>
      <c r="H1895" s="2" t="n">
        <v>46324.71041666667</v>
      </c>
      <c r="I1895" s="2" t="n">
        <v>46325.57361111111</v>
      </c>
      <c r="J1895" t="inlineStr">
        <is>
          <t>Completed</t>
        </is>
      </c>
      <c r="K1895" t="n">
        <v>6.25</v>
      </c>
      <c r="L1895" t="n">
        <v>12</v>
      </c>
      <c r="M1895" t="b">
        <v>0</v>
      </c>
      <c r="N1895" t="n">
        <v>0</v>
      </c>
      <c r="O1895" t="b">
        <v>1</v>
      </c>
      <c r="P1895" t="b">
        <v>0</v>
      </c>
      <c r="Q1895" t="b">
        <v>1</v>
      </c>
    </row>
    <row r="1896">
      <c r="A1896" t="inlineStr">
        <is>
          <t>REQ01895</t>
        </is>
      </c>
      <c r="B1896" t="inlineStr">
        <is>
          <t>391200IMWO12OC3F1120</t>
        </is>
      </c>
      <c r="C1896" t="inlineStr">
        <is>
          <t>signatory_change</t>
        </is>
      </c>
      <c r="D1896" s="2" t="n">
        <v>46324.69166666667</v>
      </c>
      <c r="E1896" s="2" t="n">
        <v>46325.65</v>
      </c>
      <c r="F1896" t="inlineStr">
        <is>
          <t>M1</t>
        </is>
      </c>
      <c r="G1896" t="inlineStr">
        <is>
          <t>C2</t>
        </is>
      </c>
      <c r="H1896" s="2" t="n">
        <v>46324.72083333333</v>
      </c>
      <c r="I1896" s="2" t="n">
        <v>46324.73194444444</v>
      </c>
      <c r="J1896" t="inlineStr">
        <is>
          <t>Completed</t>
        </is>
      </c>
      <c r="K1896" t="n">
        <v>0.97</v>
      </c>
      <c r="L1896" t="n">
        <v>8</v>
      </c>
      <c r="M1896" t="b">
        <v>0</v>
      </c>
      <c r="N1896" t="n">
        <v>0</v>
      </c>
      <c r="O1896" t="b">
        <v>1</v>
      </c>
      <c r="P1896" t="b">
        <v>0</v>
      </c>
      <c r="Q1896" t="b">
        <v>0</v>
      </c>
    </row>
    <row r="1897">
      <c r="A1897" t="inlineStr">
        <is>
          <t>REQ01896</t>
        </is>
      </c>
      <c r="B1897" t="inlineStr">
        <is>
          <t>984500CFH0DBC2A3D698</t>
        </is>
      </c>
      <c r="C1897" t="inlineStr">
        <is>
          <t>data_amendment</t>
        </is>
      </c>
      <c r="D1897" s="2" t="n">
        <v>46324.69305555556</v>
      </c>
      <c r="E1897" s="2" t="n">
        <v>46325.65138888889</v>
      </c>
      <c r="F1897" t="inlineStr">
        <is>
          <t>M2</t>
        </is>
      </c>
      <c r="G1897" t="inlineStr">
        <is>
          <t>C1</t>
        </is>
      </c>
      <c r="H1897" s="2" t="n">
        <v>46324.71319444444</v>
      </c>
      <c r="I1897" s="2" t="n">
        <v>46324.71944444445</v>
      </c>
      <c r="J1897" t="inlineStr">
        <is>
          <t>Completed</t>
        </is>
      </c>
      <c r="K1897" t="n">
        <v>0.64</v>
      </c>
      <c r="L1897" t="n">
        <v>8</v>
      </c>
      <c r="M1897" t="b">
        <v>0</v>
      </c>
      <c r="N1897" t="n">
        <v>0</v>
      </c>
      <c r="O1897" t="b">
        <v>1</v>
      </c>
      <c r="P1897" t="b">
        <v>0</v>
      </c>
      <c r="Q1897" t="b">
        <v>0</v>
      </c>
    </row>
    <row r="1898">
      <c r="A1898" t="inlineStr">
        <is>
          <t>REQ01897</t>
        </is>
      </c>
      <c r="B1898" t="inlineStr">
        <is>
          <t>984500ED99275FA61D64</t>
        </is>
      </c>
      <c r="C1898" t="inlineStr">
        <is>
          <t>new_account</t>
        </is>
      </c>
      <c r="D1898" s="2" t="n">
        <v>46324.70069444444</v>
      </c>
      <c r="E1898" s="2" t="n">
        <v>46328.61736111111</v>
      </c>
      <c r="F1898" t="inlineStr">
        <is>
          <t>M5</t>
        </is>
      </c>
      <c r="G1898" t="inlineStr">
        <is>
          <t>C2</t>
        </is>
      </c>
      <c r="H1898" s="2" t="n">
        <v>46324.73194444444</v>
      </c>
      <c r="I1898" s="2" t="n">
        <v>46325.54027777778</v>
      </c>
      <c r="J1898" t="inlineStr">
        <is>
          <t>Completed</t>
        </is>
      </c>
      <c r="K1898" t="n">
        <v>5.14</v>
      </c>
      <c r="L1898" t="n">
        <v>16</v>
      </c>
      <c r="M1898" t="b">
        <v>0</v>
      </c>
      <c r="N1898" t="n">
        <v>0</v>
      </c>
      <c r="O1898" t="b">
        <v>1</v>
      </c>
      <c r="P1898" t="b">
        <v>0</v>
      </c>
      <c r="Q1898" t="b">
        <v>1</v>
      </c>
    </row>
    <row r="1899">
      <c r="A1899" t="inlineStr">
        <is>
          <t>REQ01898</t>
        </is>
      </c>
      <c r="B1899" t="inlineStr">
        <is>
          <t>549300RJHT8LMCXVJY15</t>
        </is>
      </c>
      <c r="C1899" t="inlineStr">
        <is>
          <t>document_refresh</t>
        </is>
      </c>
      <c r="D1899" s="2" t="n">
        <v>46324.70486111111</v>
      </c>
      <c r="E1899" s="2" t="n">
        <v>46328.45486111111</v>
      </c>
      <c r="F1899" t="inlineStr">
        <is>
          <t>M4</t>
        </is>
      </c>
      <c r="G1899" t="inlineStr">
        <is>
          <t>C1</t>
        </is>
      </c>
      <c r="H1899" s="2" t="n">
        <v>46324.72291666667</v>
      </c>
      <c r="I1899" s="2" t="n">
        <v>46324.73263888889</v>
      </c>
      <c r="J1899" t="inlineStr">
        <is>
          <t>Completed</t>
        </is>
      </c>
      <c r="K1899" t="n">
        <v>0.67</v>
      </c>
      <c r="L1899" t="n">
        <v>12</v>
      </c>
      <c r="M1899" t="b">
        <v>0</v>
      </c>
      <c r="N1899" t="n">
        <v>0</v>
      </c>
      <c r="O1899" t="b">
        <v>1</v>
      </c>
      <c r="P1899" t="b">
        <v>0</v>
      </c>
      <c r="Q1899" t="b">
        <v>0</v>
      </c>
    </row>
    <row r="1900">
      <c r="A1900" t="inlineStr">
        <is>
          <t>REQ01899</t>
        </is>
      </c>
      <c r="B1900" t="inlineStr">
        <is>
          <t>969500QWNUC4L8S0LB88</t>
        </is>
      </c>
      <c r="C1900" t="inlineStr">
        <is>
          <t>new_account</t>
        </is>
      </c>
      <c r="D1900" s="2" t="n">
        <v>46324.70694444444</v>
      </c>
      <c r="E1900" s="2" t="n">
        <v>46328.62361111111</v>
      </c>
      <c r="F1900" t="inlineStr">
        <is>
          <t>M2</t>
        </is>
      </c>
      <c r="G1900" t="inlineStr">
        <is>
          <t>C3</t>
        </is>
      </c>
      <c r="H1900" s="2" t="n">
        <v>46324.74305555555</v>
      </c>
      <c r="I1900" s="2" t="n">
        <v>46325.55763888889</v>
      </c>
      <c r="J1900" t="inlineStr">
        <is>
          <t>Completed</t>
        </is>
      </c>
      <c r="K1900" t="n">
        <v>5.42</v>
      </c>
      <c r="L1900" t="n">
        <v>16</v>
      </c>
      <c r="M1900" t="b">
        <v>0</v>
      </c>
      <c r="N1900" t="n">
        <v>0</v>
      </c>
      <c r="O1900" t="b">
        <v>1</v>
      </c>
      <c r="P1900" t="b">
        <v>0</v>
      </c>
      <c r="Q1900" t="b">
        <v>1</v>
      </c>
    </row>
    <row r="1901">
      <c r="A1901" t="inlineStr">
        <is>
          <t>REQ01900</t>
        </is>
      </c>
      <c r="B1901" t="inlineStr">
        <is>
          <t>724500R3WH1YE7JK3R76</t>
        </is>
      </c>
      <c r="C1901" t="inlineStr">
        <is>
          <t>signatory_change</t>
        </is>
      </c>
      <c r="D1901" s="2" t="n">
        <v>46324.71180555555</v>
      </c>
      <c r="E1901" s="2" t="n">
        <v>46325.67013888889</v>
      </c>
      <c r="F1901" t="inlineStr">
        <is>
          <t>M6</t>
        </is>
      </c>
      <c r="G1901" t="inlineStr">
        <is>
          <t>C3</t>
        </is>
      </c>
      <c r="H1901" s="2" t="n">
        <v>46324.73472222222</v>
      </c>
      <c r="I1901" s="2" t="n">
        <v>46324.74652777778</v>
      </c>
      <c r="J1901" t="inlineStr">
        <is>
          <t>Completed</t>
        </is>
      </c>
      <c r="K1901" t="n">
        <v>0.84</v>
      </c>
      <c r="L1901" t="n">
        <v>8</v>
      </c>
      <c r="M1901" t="b">
        <v>0</v>
      </c>
      <c r="N1901" t="n">
        <v>0</v>
      </c>
      <c r="O1901" t="b">
        <v>1</v>
      </c>
      <c r="P1901" t="b">
        <v>0</v>
      </c>
      <c r="Q1901" t="b">
        <v>0</v>
      </c>
    </row>
    <row r="1902">
      <c r="A1902" t="inlineStr">
        <is>
          <t>REQ01901</t>
        </is>
      </c>
      <c r="B1902" t="inlineStr">
        <is>
          <t>549300CRGW6X48K98721</t>
        </is>
      </c>
      <c r="C1902" t="inlineStr">
        <is>
          <t>new_account</t>
        </is>
      </c>
      <c r="D1902" s="2" t="n">
        <v>46324.71319444444</v>
      </c>
      <c r="E1902" s="2" t="n">
        <v>46328.62986111111</v>
      </c>
      <c r="F1902" t="inlineStr">
        <is>
          <t>M3</t>
        </is>
      </c>
      <c r="G1902" t="inlineStr">
        <is>
          <t>C3</t>
        </is>
      </c>
      <c r="H1902" s="2" t="n">
        <v>46324.73680555556</v>
      </c>
      <c r="I1902" s="2" t="n">
        <v>46325.50833333333</v>
      </c>
      <c r="J1902" t="inlineStr">
        <is>
          <t>Completed</t>
        </is>
      </c>
      <c r="K1902" t="n">
        <v>4.08</v>
      </c>
      <c r="L1902" t="n">
        <v>16</v>
      </c>
      <c r="M1902" t="b">
        <v>0</v>
      </c>
      <c r="N1902" t="n">
        <v>0</v>
      </c>
      <c r="O1902" t="b">
        <v>1</v>
      </c>
      <c r="P1902" t="b">
        <v>0</v>
      </c>
      <c r="Q1902" t="b">
        <v>1</v>
      </c>
    </row>
    <row r="1903">
      <c r="A1903" t="inlineStr">
        <is>
          <t>REQ01902</t>
        </is>
      </c>
      <c r="B1903" t="inlineStr">
        <is>
          <t>3358005VCWRI5CXFLZ29</t>
        </is>
      </c>
      <c r="C1903" t="inlineStr">
        <is>
          <t>new_account</t>
        </is>
      </c>
      <c r="D1903" s="2" t="n">
        <v>46324.71597222222</v>
      </c>
      <c r="E1903" s="2" t="n">
        <v>46328.63263888889</v>
      </c>
      <c r="F1903" t="inlineStr">
        <is>
          <t>M1</t>
        </is>
      </c>
      <c r="G1903" t="inlineStr">
        <is>
          <t>C2</t>
        </is>
      </c>
      <c r="H1903" s="2" t="n">
        <v>46325.38055555556</v>
      </c>
      <c r="I1903" s="2" t="n">
        <v>46325.38888888889</v>
      </c>
      <c r="J1903" t="inlineStr">
        <is>
          <t>Completed</t>
        </is>
      </c>
      <c r="K1903" t="n">
        <v>1.15</v>
      </c>
      <c r="L1903" t="n">
        <v>16</v>
      </c>
      <c r="M1903" t="b">
        <v>0</v>
      </c>
      <c r="N1903" t="n">
        <v>0</v>
      </c>
      <c r="O1903" t="b">
        <v>1</v>
      </c>
      <c r="P1903" t="b">
        <v>0</v>
      </c>
      <c r="Q1903" t="b">
        <v>0</v>
      </c>
    </row>
    <row r="1904">
      <c r="A1904" t="inlineStr">
        <is>
          <t>REQ01903</t>
        </is>
      </c>
      <c r="B1904" t="inlineStr">
        <is>
          <t>549300FZ44DFTH3BKD46</t>
        </is>
      </c>
      <c r="C1904" t="inlineStr">
        <is>
          <t>document_refresh</t>
        </is>
      </c>
      <c r="D1904" s="2" t="n">
        <v>46324.71666666667</v>
      </c>
      <c r="E1904" s="2" t="n">
        <v>46328.46666666667</v>
      </c>
      <c r="F1904" t="inlineStr">
        <is>
          <t>M4</t>
        </is>
      </c>
      <c r="G1904" t="inlineStr">
        <is>
          <t>C3</t>
        </is>
      </c>
      <c r="H1904" s="2" t="n">
        <v>46324.73263888889</v>
      </c>
      <c r="I1904" s="2" t="n">
        <v>46325.54791666667</v>
      </c>
      <c r="J1904" t="inlineStr">
        <is>
          <t>Completed</t>
        </is>
      </c>
      <c r="K1904" t="n">
        <v>4.94</v>
      </c>
      <c r="L1904" t="n">
        <v>12</v>
      </c>
      <c r="M1904" t="b">
        <v>0</v>
      </c>
      <c r="N1904" t="n">
        <v>0</v>
      </c>
      <c r="O1904" t="b">
        <v>1</v>
      </c>
      <c r="P1904" t="b">
        <v>0</v>
      </c>
      <c r="Q1904" t="b">
        <v>1</v>
      </c>
    </row>
    <row r="1905">
      <c r="A1905" t="inlineStr">
        <is>
          <t>REQ01904</t>
        </is>
      </c>
      <c r="B1905" t="inlineStr">
        <is>
          <t>254900RP907LOJHNXP06</t>
        </is>
      </c>
      <c r="C1905" t="inlineStr">
        <is>
          <t>signatory_change</t>
        </is>
      </c>
      <c r="D1905" s="2" t="n">
        <v>46324.71875</v>
      </c>
      <c r="E1905" s="2" t="n">
        <v>46325.67708333334</v>
      </c>
      <c r="F1905" t="inlineStr">
        <is>
          <t>M5</t>
        </is>
      </c>
      <c r="G1905" t="inlineStr">
        <is>
          <t>C1</t>
        </is>
      </c>
      <c r="H1905" s="2" t="n">
        <v>46324.74722222222</v>
      </c>
      <c r="I1905" s="2" t="n">
        <v>46325.54444444444</v>
      </c>
      <c r="J1905" t="inlineStr">
        <is>
          <t>Completed</t>
        </is>
      </c>
      <c r="K1905" t="n">
        <v>4.82</v>
      </c>
      <c r="L1905" t="n">
        <v>8</v>
      </c>
      <c r="M1905" t="b">
        <v>0</v>
      </c>
      <c r="N1905" t="n">
        <v>0</v>
      </c>
      <c r="O1905" t="b">
        <v>1</v>
      </c>
      <c r="P1905" t="b">
        <v>0</v>
      </c>
      <c r="Q1905" t="b">
        <v>1</v>
      </c>
    </row>
    <row r="1906">
      <c r="A1906" t="inlineStr">
        <is>
          <t>REQ01905</t>
        </is>
      </c>
      <c r="B1906" t="inlineStr">
        <is>
          <t>9845001P7651AY7I3953</t>
        </is>
      </c>
      <c r="C1906" t="inlineStr">
        <is>
          <t>data_amendment</t>
        </is>
      </c>
      <c r="D1906" s="2" t="n">
        <v>46324.72083333333</v>
      </c>
      <c r="E1906" s="2" t="n">
        <v>46325.67916666667</v>
      </c>
      <c r="F1906" t="inlineStr">
        <is>
          <t>M4</t>
        </is>
      </c>
      <c r="G1906" t="inlineStr">
        <is>
          <t>C2</t>
        </is>
      </c>
      <c r="H1906" s="2" t="n">
        <v>46324.74513888889</v>
      </c>
      <c r="I1906" s="2" t="n">
        <v>46325.375</v>
      </c>
      <c r="J1906" t="inlineStr">
        <is>
          <t>Completed</t>
        </is>
      </c>
      <c r="K1906" t="n">
        <v>0.7</v>
      </c>
      <c r="L1906" t="n">
        <v>8</v>
      </c>
      <c r="M1906" t="b">
        <v>0</v>
      </c>
      <c r="N1906" t="n">
        <v>0</v>
      </c>
      <c r="O1906" t="b">
        <v>1</v>
      </c>
      <c r="P1906" t="b">
        <v>0</v>
      </c>
      <c r="Q1906" t="b">
        <v>0</v>
      </c>
    </row>
    <row r="1907">
      <c r="A1907" t="inlineStr">
        <is>
          <t>REQ01906</t>
        </is>
      </c>
      <c r="B1907" t="inlineStr">
        <is>
          <t>63540074EBRE1BJRIX62</t>
        </is>
      </c>
      <c r="C1907" t="inlineStr">
        <is>
          <t>document_refresh</t>
        </is>
      </c>
      <c r="D1907" s="2" t="n">
        <v>46324.72708333333</v>
      </c>
      <c r="E1907" s="2" t="n">
        <v>46328.47708333333</v>
      </c>
      <c r="F1907" t="inlineStr">
        <is>
          <t>M6</t>
        </is>
      </c>
      <c r="G1907" t="inlineStr">
        <is>
          <t>C1</t>
        </is>
      </c>
      <c r="H1907" s="2" t="n">
        <v>46324.74583333333</v>
      </c>
      <c r="I1907" s="2" t="n">
        <v>46325.55694444444</v>
      </c>
      <c r="J1907" t="inlineStr">
        <is>
          <t>Completed</t>
        </is>
      </c>
      <c r="K1907" t="n">
        <v>4.91</v>
      </c>
      <c r="L1907" t="n">
        <v>12</v>
      </c>
      <c r="M1907" t="b">
        <v>0</v>
      </c>
      <c r="N1907" t="n">
        <v>0</v>
      </c>
      <c r="O1907" t="b">
        <v>1</v>
      </c>
      <c r="P1907" t="b">
        <v>0</v>
      </c>
      <c r="Q1907" t="b">
        <v>1</v>
      </c>
    </row>
    <row r="1908">
      <c r="A1908" t="inlineStr">
        <is>
          <t>REQ01907</t>
        </is>
      </c>
      <c r="B1908" t="inlineStr">
        <is>
          <t>213800H31W8CH8MKFE95</t>
        </is>
      </c>
      <c r="C1908" t="inlineStr">
        <is>
          <t>signatory_change</t>
        </is>
      </c>
      <c r="D1908" s="2" t="n">
        <v>46324.73472222222</v>
      </c>
      <c r="E1908" s="2" t="n">
        <v>46325.69305555556</v>
      </c>
      <c r="F1908" t="inlineStr">
        <is>
          <t>M3</t>
        </is>
      </c>
      <c r="G1908" t="inlineStr">
        <is>
          <t>C3</t>
        </is>
      </c>
      <c r="H1908" s="2" t="n">
        <v>46325.38888888889</v>
      </c>
      <c r="I1908" s="2" t="n">
        <v>46325.64236111111</v>
      </c>
      <c r="J1908" t="inlineStr">
        <is>
          <t>Completed</t>
        </is>
      </c>
      <c r="K1908" t="n">
        <v>6.79</v>
      </c>
      <c r="L1908" t="n">
        <v>8</v>
      </c>
      <c r="M1908" t="b">
        <v>0</v>
      </c>
      <c r="N1908" t="n">
        <v>0</v>
      </c>
      <c r="O1908" t="b">
        <v>1</v>
      </c>
      <c r="P1908" t="b">
        <v>0</v>
      </c>
      <c r="Q1908" t="b">
        <v>1</v>
      </c>
    </row>
    <row r="1909">
      <c r="A1909" t="inlineStr">
        <is>
          <t>REQ01908</t>
        </is>
      </c>
      <c r="B1909" t="inlineStr">
        <is>
          <t>213800K9ROSZUAYZK869</t>
        </is>
      </c>
      <c r="C1909" t="inlineStr">
        <is>
          <t>data_amendment</t>
        </is>
      </c>
      <c r="D1909" s="2" t="n">
        <v>46324.73680555556</v>
      </c>
      <c r="E1909" s="2" t="n">
        <v>46325.69513888889</v>
      </c>
      <c r="F1909" t="inlineStr">
        <is>
          <t>M2</t>
        </is>
      </c>
      <c r="G1909" t="inlineStr">
        <is>
          <t>C1</t>
        </is>
      </c>
      <c r="H1909" s="2" t="n">
        <v>46325.38055555556</v>
      </c>
      <c r="I1909" s="2" t="n">
        <v>46325.38472222222</v>
      </c>
      <c r="J1909" t="inlineStr">
        <is>
          <t>Completed</t>
        </is>
      </c>
      <c r="K1909" t="n">
        <v>0.55</v>
      </c>
      <c r="L1909" t="n">
        <v>8</v>
      </c>
      <c r="M1909" t="b">
        <v>0</v>
      </c>
      <c r="N1909" t="n">
        <v>0</v>
      </c>
      <c r="O1909" t="b">
        <v>1</v>
      </c>
      <c r="P1909" t="b">
        <v>0</v>
      </c>
      <c r="Q1909" t="b">
        <v>0</v>
      </c>
    </row>
    <row r="1910">
      <c r="A1910" t="inlineStr">
        <is>
          <t>REQ01909</t>
        </is>
      </c>
      <c r="B1910" t="inlineStr">
        <is>
          <t>9695006XH59FCKCBML70</t>
        </is>
      </c>
      <c r="C1910" t="inlineStr">
        <is>
          <t>data_amendment</t>
        </is>
      </c>
      <c r="D1910" s="2" t="n">
        <v>46324.74236111111</v>
      </c>
      <c r="E1910" s="2" t="n">
        <v>46325.70069444444</v>
      </c>
      <c r="F1910" t="inlineStr">
        <is>
          <t>M4</t>
        </is>
      </c>
      <c r="G1910" t="inlineStr">
        <is>
          <t>C1</t>
        </is>
      </c>
      <c r="H1910" s="2" t="n">
        <v>46325.38194444445</v>
      </c>
      <c r="I1910" s="2" t="n">
        <v>46325.50902777778</v>
      </c>
      <c r="J1910" t="inlineStr">
        <is>
          <t>Completed</t>
        </is>
      </c>
      <c r="K1910" t="n">
        <v>3.4</v>
      </c>
      <c r="L1910" t="n">
        <v>8</v>
      </c>
      <c r="M1910" t="b">
        <v>0</v>
      </c>
      <c r="N1910" t="n">
        <v>0</v>
      </c>
      <c r="O1910" t="b">
        <v>1</v>
      </c>
      <c r="P1910" t="b">
        <v>0</v>
      </c>
      <c r="Q1910" t="b">
        <v>1</v>
      </c>
    </row>
    <row r="1911">
      <c r="A1911" t="inlineStr">
        <is>
          <t>REQ01910</t>
        </is>
      </c>
      <c r="B1911" t="inlineStr">
        <is>
          <t>549300WSDH0607Y6BW46</t>
        </is>
      </c>
      <c r="C1911" t="inlineStr">
        <is>
          <t>new_account</t>
        </is>
      </c>
      <c r="D1911" s="2" t="n">
        <v>46324.74236111111</v>
      </c>
      <c r="E1911" s="2" t="n">
        <v>46328.65902777778</v>
      </c>
      <c r="F1911" t="inlineStr">
        <is>
          <t>M6</t>
        </is>
      </c>
      <c r="G1911" t="inlineStr">
        <is>
          <t>C1</t>
        </is>
      </c>
      <c r="H1911" s="2" t="n">
        <v>46325.40277777778</v>
      </c>
      <c r="I1911" s="2" t="n">
        <v>46325.50625</v>
      </c>
      <c r="J1911" t="inlineStr">
        <is>
          <t>Completed</t>
        </is>
      </c>
      <c r="K1911" t="n">
        <v>3.33</v>
      </c>
      <c r="L1911" t="n">
        <v>16</v>
      </c>
      <c r="M1911" t="b">
        <v>0</v>
      </c>
      <c r="N1911" t="n">
        <v>0</v>
      </c>
      <c r="O1911" t="b">
        <v>1</v>
      </c>
      <c r="P1911" t="b">
        <v>0</v>
      </c>
      <c r="Q1911" t="b">
        <v>1</v>
      </c>
    </row>
    <row r="1912">
      <c r="A1912" t="inlineStr">
        <is>
          <t>REQ01911</t>
        </is>
      </c>
      <c r="B1912" t="inlineStr">
        <is>
          <t>529900FI28CD8BHEC737</t>
        </is>
      </c>
      <c r="C1912" t="inlineStr">
        <is>
          <t>data_amendment</t>
        </is>
      </c>
      <c r="D1912" s="2" t="n">
        <v>46324.74444444444</v>
      </c>
      <c r="E1912" s="2" t="n">
        <v>46325.70277777778</v>
      </c>
      <c r="F1912" t="inlineStr">
        <is>
          <t>M5</t>
        </is>
      </c>
      <c r="G1912" t="inlineStr">
        <is>
          <t>C3</t>
        </is>
      </c>
      <c r="H1912" s="2" t="n">
        <v>46325.38055555556</v>
      </c>
      <c r="I1912" s="2" t="n">
        <v>46325.38333333333</v>
      </c>
      <c r="J1912" t="inlineStr">
        <is>
          <t>Completed</t>
        </is>
      </c>
      <c r="K1912" t="n">
        <v>0.34</v>
      </c>
      <c r="L1912" t="n">
        <v>8</v>
      </c>
      <c r="M1912" t="b">
        <v>0</v>
      </c>
      <c r="N1912" t="n">
        <v>0</v>
      </c>
      <c r="O1912" t="b">
        <v>1</v>
      </c>
      <c r="P1912" t="b">
        <v>0</v>
      </c>
      <c r="Q1912" t="b">
        <v>0</v>
      </c>
    </row>
    <row r="1913">
      <c r="A1913" t="inlineStr">
        <is>
          <t>REQ01912</t>
        </is>
      </c>
      <c r="B1913" t="inlineStr">
        <is>
          <t>335800KUK3LH1IUF3N54</t>
        </is>
      </c>
      <c r="C1913" t="inlineStr">
        <is>
          <t>signatory_change</t>
        </is>
      </c>
      <c r="D1913" s="2" t="n">
        <v>46325.37569444445</v>
      </c>
      <c r="E1913" s="2" t="n">
        <v>46325.70902777778</v>
      </c>
      <c r="F1913" t="inlineStr">
        <is>
          <t>M5</t>
        </is>
      </c>
      <c r="G1913" t="inlineStr">
        <is>
          <t>C1</t>
        </is>
      </c>
      <c r="H1913" s="2" t="n">
        <v>46325.40069444444</v>
      </c>
      <c r="I1913" s="2" t="n">
        <v>46325.60486111111</v>
      </c>
      <c r="J1913" t="inlineStr">
        <is>
          <t>Completed</t>
        </is>
      </c>
      <c r="K1913" t="n">
        <v>5.5</v>
      </c>
      <c r="L1913" t="n">
        <v>8</v>
      </c>
      <c r="M1913" t="b">
        <v>0</v>
      </c>
      <c r="N1913" t="n">
        <v>0</v>
      </c>
      <c r="O1913" t="b">
        <v>1</v>
      </c>
      <c r="P1913" t="b">
        <v>0</v>
      </c>
      <c r="Q1913" t="b">
        <v>1</v>
      </c>
    </row>
    <row r="1914">
      <c r="A1914" t="inlineStr">
        <is>
          <t>REQ01913</t>
        </is>
      </c>
      <c r="B1914" t="inlineStr">
        <is>
          <t>213800DF8HBWSAEICB06</t>
        </is>
      </c>
      <c r="C1914" t="inlineStr">
        <is>
          <t>new_account</t>
        </is>
      </c>
      <c r="D1914" s="2" t="n">
        <v>46325.37708333333</v>
      </c>
      <c r="E1914" s="2" t="n">
        <v>46328.66875</v>
      </c>
      <c r="F1914" t="inlineStr">
        <is>
          <t>M2</t>
        </is>
      </c>
      <c r="G1914" t="inlineStr">
        <is>
          <t>C3</t>
        </is>
      </c>
      <c r="H1914" s="2" t="n">
        <v>46325.42083333333</v>
      </c>
      <c r="I1914" s="2" t="n">
        <v>46325.67222222222</v>
      </c>
      <c r="J1914" t="inlineStr">
        <is>
          <t>Completed</t>
        </is>
      </c>
      <c r="K1914" t="n">
        <v>7.08</v>
      </c>
      <c r="L1914" t="n">
        <v>16</v>
      </c>
      <c r="M1914" t="b">
        <v>0</v>
      </c>
      <c r="N1914" t="n">
        <v>0</v>
      </c>
      <c r="O1914" t="b">
        <v>1</v>
      </c>
      <c r="P1914" t="b">
        <v>0</v>
      </c>
      <c r="Q1914" t="b">
        <v>1</v>
      </c>
    </row>
    <row r="1915">
      <c r="A1915" t="inlineStr">
        <is>
          <t>REQ01914</t>
        </is>
      </c>
      <c r="B1915" t="inlineStr">
        <is>
          <t>969500UHQ3HJJ6GRK510</t>
        </is>
      </c>
      <c r="C1915" t="inlineStr">
        <is>
          <t>signatory_change</t>
        </is>
      </c>
      <c r="D1915" s="2" t="n">
        <v>46325.37777777778</v>
      </c>
      <c r="E1915" s="2" t="n">
        <v>46325.71111111111</v>
      </c>
      <c r="F1915" t="inlineStr">
        <is>
          <t>M1</t>
        </is>
      </c>
      <c r="G1915" t="inlineStr">
        <is>
          <t>C1</t>
        </is>
      </c>
      <c r="H1915" s="2" t="n">
        <v>46325.40208333333</v>
      </c>
      <c r="I1915" s="2" t="n">
        <v>46325.41111111111</v>
      </c>
      <c r="J1915" t="inlineStr">
        <is>
          <t>Completed</t>
        </is>
      </c>
      <c r="K1915" t="n">
        <v>0.79</v>
      </c>
      <c r="L1915" t="n">
        <v>8</v>
      </c>
      <c r="M1915" t="b">
        <v>0</v>
      </c>
      <c r="N1915" t="n">
        <v>0</v>
      </c>
      <c r="O1915" t="b">
        <v>1</v>
      </c>
      <c r="P1915" t="b">
        <v>0</v>
      </c>
      <c r="Q1915" t="b">
        <v>0</v>
      </c>
    </row>
    <row r="1916">
      <c r="A1916" t="inlineStr">
        <is>
          <t>REQ01915</t>
        </is>
      </c>
      <c r="B1916" t="inlineStr">
        <is>
          <t>969500Q6LG0UVATM7180</t>
        </is>
      </c>
      <c r="C1916" t="inlineStr">
        <is>
          <t>signatory_change</t>
        </is>
      </c>
      <c r="D1916" s="2" t="n">
        <v>46325.37986111111</v>
      </c>
      <c r="E1916" s="2" t="n">
        <v>46325.71319444444</v>
      </c>
      <c r="F1916" t="inlineStr">
        <is>
          <t>M4</t>
        </is>
      </c>
      <c r="G1916" t="inlineStr">
        <is>
          <t>C3</t>
        </is>
      </c>
      <c r="H1916" s="2" t="n">
        <v>46325.40416666667</v>
      </c>
      <c r="I1916" s="2" t="n">
        <v>46325.42777777778</v>
      </c>
      <c r="J1916" t="inlineStr">
        <is>
          <t>Completed</t>
        </is>
      </c>
      <c r="K1916" t="n">
        <v>1.16</v>
      </c>
      <c r="L1916" t="n">
        <v>8</v>
      </c>
      <c r="M1916" t="b">
        <v>0</v>
      </c>
      <c r="N1916" t="n">
        <v>1</v>
      </c>
      <c r="O1916" t="b">
        <v>0</v>
      </c>
      <c r="P1916" t="b">
        <v>1</v>
      </c>
      <c r="Q1916" t="b">
        <v>0</v>
      </c>
    </row>
    <row r="1917">
      <c r="A1917" t="inlineStr">
        <is>
          <t>REQ01916</t>
        </is>
      </c>
      <c r="B1917" t="inlineStr">
        <is>
          <t>335800NY5J2RO18L7K46</t>
        </is>
      </c>
      <c r="C1917" t="inlineStr">
        <is>
          <t>document_refresh</t>
        </is>
      </c>
      <c r="D1917" s="2" t="n">
        <v>46325.38194444445</v>
      </c>
      <c r="E1917" s="2" t="n">
        <v>46328.50694444445</v>
      </c>
      <c r="F1917" t="inlineStr">
        <is>
          <t>M3</t>
        </is>
      </c>
      <c r="G1917" t="inlineStr">
        <is>
          <t>C1</t>
        </is>
      </c>
      <c r="H1917" s="2" t="n">
        <v>46325.40555555555</v>
      </c>
      <c r="I1917" s="2" t="n">
        <v>46325.41805555556</v>
      </c>
      <c r="J1917" t="inlineStr">
        <is>
          <t>Completed</t>
        </is>
      </c>
      <c r="K1917" t="n">
        <v>0.86</v>
      </c>
      <c r="L1917" t="n">
        <v>12</v>
      </c>
      <c r="M1917" t="b">
        <v>0</v>
      </c>
      <c r="N1917" t="n">
        <v>0</v>
      </c>
      <c r="O1917" t="b">
        <v>1</v>
      </c>
      <c r="P1917" t="b">
        <v>0</v>
      </c>
      <c r="Q1917" t="b">
        <v>0</v>
      </c>
    </row>
    <row r="1918">
      <c r="A1918" t="inlineStr">
        <is>
          <t>REQ01917</t>
        </is>
      </c>
      <c r="B1918" t="inlineStr">
        <is>
          <t>9845007E5CA1B0A14I46</t>
        </is>
      </c>
      <c r="C1918" t="inlineStr">
        <is>
          <t>signatory_change</t>
        </is>
      </c>
      <c r="D1918" s="2" t="n">
        <v>46325.39583333334</v>
      </c>
      <c r="E1918" s="2" t="n">
        <v>46325.72916666666</v>
      </c>
      <c r="F1918" t="inlineStr">
        <is>
          <t>M5</t>
        </is>
      </c>
      <c r="G1918" t="inlineStr">
        <is>
          <t>C1</t>
        </is>
      </c>
      <c r="H1918" s="2" t="n">
        <v>46325.42291666667</v>
      </c>
      <c r="I1918" s="2" t="n">
        <v>46325.43194444444</v>
      </c>
      <c r="J1918" t="inlineStr">
        <is>
          <t>Completed</t>
        </is>
      </c>
      <c r="K1918" t="n">
        <v>0.86</v>
      </c>
      <c r="L1918" t="n">
        <v>8</v>
      </c>
      <c r="M1918" t="b">
        <v>0</v>
      </c>
      <c r="N1918" t="n">
        <v>0</v>
      </c>
      <c r="O1918" t="b">
        <v>1</v>
      </c>
      <c r="P1918" t="b">
        <v>0</v>
      </c>
      <c r="Q1918" t="b">
        <v>0</v>
      </c>
    </row>
    <row r="1919">
      <c r="A1919" t="inlineStr">
        <is>
          <t>REQ01918</t>
        </is>
      </c>
      <c r="B1919" t="inlineStr">
        <is>
          <t>549300EG5CP47IUWA215</t>
        </is>
      </c>
      <c r="C1919" t="inlineStr">
        <is>
          <t>document_refresh</t>
        </is>
      </c>
      <c r="D1919" s="2" t="n">
        <v>46325.39722222222</v>
      </c>
      <c r="E1919" s="2" t="n">
        <v>46328.52222222222</v>
      </c>
      <c r="F1919" t="inlineStr">
        <is>
          <t>M1</t>
        </is>
      </c>
      <c r="G1919" t="inlineStr">
        <is>
          <t>C3</t>
        </is>
      </c>
      <c r="H1919" s="2" t="n">
        <v>46325.41805555556</v>
      </c>
      <c r="I1919" s="2" t="n">
        <v>46325.42430555556</v>
      </c>
      <c r="J1919" t="inlineStr">
        <is>
          <t>Completed</t>
        </is>
      </c>
      <c r="K1919" t="n">
        <v>0.66</v>
      </c>
      <c r="L1919" t="n">
        <v>12</v>
      </c>
      <c r="M1919" t="b">
        <v>0</v>
      </c>
      <c r="N1919" t="n">
        <v>0</v>
      </c>
      <c r="O1919" t="b">
        <v>1</v>
      </c>
      <c r="P1919" t="b">
        <v>0</v>
      </c>
      <c r="Q1919" t="b">
        <v>0</v>
      </c>
    </row>
    <row r="1920">
      <c r="A1920" t="inlineStr">
        <is>
          <t>REQ01919</t>
        </is>
      </c>
      <c r="B1920" t="inlineStr">
        <is>
          <t>724500ISB05U9I8YTJ53</t>
        </is>
      </c>
      <c r="C1920" t="inlineStr">
        <is>
          <t>new_account</t>
        </is>
      </c>
      <c r="D1920" s="2" t="n">
        <v>46325.40833333333</v>
      </c>
      <c r="E1920" s="2" t="n">
        <v>46328.7</v>
      </c>
      <c r="F1920" t="inlineStr">
        <is>
          <t>M6</t>
        </is>
      </c>
      <c r="G1920" t="inlineStr">
        <is>
          <t>C1</t>
        </is>
      </c>
      <c r="H1920" s="2" t="n">
        <v>46325.44791666666</v>
      </c>
      <c r="I1920" s="2" t="n">
        <v>46325.62708333333</v>
      </c>
      <c r="J1920" t="inlineStr">
        <is>
          <t>Completed</t>
        </is>
      </c>
      <c r="K1920" t="n">
        <v>5.25</v>
      </c>
      <c r="L1920" t="n">
        <v>16</v>
      </c>
      <c r="M1920" t="b">
        <v>0</v>
      </c>
      <c r="N1920" t="n">
        <v>0</v>
      </c>
      <c r="O1920" t="b">
        <v>1</v>
      </c>
      <c r="P1920" t="b">
        <v>0</v>
      </c>
      <c r="Q1920" t="b">
        <v>1</v>
      </c>
    </row>
    <row r="1921">
      <c r="A1921" t="inlineStr">
        <is>
          <t>REQ01920</t>
        </is>
      </c>
      <c r="B1921" t="inlineStr">
        <is>
          <t>254900OH200USAMOEA27</t>
        </is>
      </c>
      <c r="C1921" t="inlineStr">
        <is>
          <t>signatory_change</t>
        </is>
      </c>
      <c r="D1921" s="2" t="n">
        <v>46325.40902777778</v>
      </c>
      <c r="E1921" s="2" t="n">
        <v>46325.74236111111</v>
      </c>
      <c r="F1921" t="inlineStr">
        <is>
          <t>M4</t>
        </is>
      </c>
      <c r="G1921" t="inlineStr">
        <is>
          <t>C2</t>
        </is>
      </c>
      <c r="H1921" s="2" t="n">
        <v>46325.42986111111</v>
      </c>
      <c r="I1921" s="2" t="n">
        <v>46325.4375</v>
      </c>
      <c r="J1921" t="inlineStr">
        <is>
          <t>Completed</t>
        </is>
      </c>
      <c r="K1921" t="n">
        <v>0.68</v>
      </c>
      <c r="L1921" t="n">
        <v>8</v>
      </c>
      <c r="M1921" t="b">
        <v>0</v>
      </c>
      <c r="N1921" t="n">
        <v>0</v>
      </c>
      <c r="O1921" t="b">
        <v>1</v>
      </c>
      <c r="P1921" t="b">
        <v>0</v>
      </c>
      <c r="Q1921" t="b">
        <v>0</v>
      </c>
    </row>
    <row r="1922">
      <c r="A1922" t="inlineStr">
        <is>
          <t>REQ01921</t>
        </is>
      </c>
      <c r="B1922" t="inlineStr">
        <is>
          <t>5493005NEBCZS01WSE36</t>
        </is>
      </c>
      <c r="C1922" t="inlineStr">
        <is>
          <t>signatory_change</t>
        </is>
      </c>
      <c r="D1922" s="2" t="n">
        <v>46325.4125</v>
      </c>
      <c r="E1922" s="2" t="n">
        <v>46325.74583333333</v>
      </c>
      <c r="F1922" t="inlineStr">
        <is>
          <t>M3</t>
        </is>
      </c>
      <c r="G1922" t="inlineStr">
        <is>
          <t>C1</t>
        </is>
      </c>
      <c r="H1922" s="2" t="n">
        <v>46325.43680555555</v>
      </c>
      <c r="I1922" s="2" t="n">
        <v>46325.44305555556</v>
      </c>
      <c r="J1922" t="inlineStr">
        <is>
          <t>Completed</t>
        </is>
      </c>
      <c r="K1922" t="n">
        <v>0.73</v>
      </c>
      <c r="L1922" t="n">
        <v>8</v>
      </c>
      <c r="M1922" t="b">
        <v>0</v>
      </c>
      <c r="N1922" t="n">
        <v>0</v>
      </c>
      <c r="O1922" t="b">
        <v>1</v>
      </c>
      <c r="P1922" t="b">
        <v>0</v>
      </c>
      <c r="Q1922" t="b">
        <v>0</v>
      </c>
    </row>
    <row r="1923">
      <c r="A1923" t="inlineStr">
        <is>
          <t>REQ01922</t>
        </is>
      </c>
      <c r="B1923" t="inlineStr">
        <is>
          <t>969500TDR7N2N354HD81</t>
        </is>
      </c>
      <c r="C1923" t="inlineStr">
        <is>
          <t>document_refresh</t>
        </is>
      </c>
      <c r="D1923" s="2" t="n">
        <v>46325.41388888889</v>
      </c>
      <c r="E1923" s="2" t="n">
        <v>46328.53888888889</v>
      </c>
      <c r="F1923" t="inlineStr">
        <is>
          <t>M1</t>
        </is>
      </c>
      <c r="G1923" t="inlineStr">
        <is>
          <t>C2</t>
        </is>
      </c>
      <c r="H1923" s="2" t="n">
        <v>46325.43125</v>
      </c>
      <c r="I1923" s="2" t="n">
        <v>46325.55486111111</v>
      </c>
      <c r="J1923" t="inlineStr">
        <is>
          <t>Completed</t>
        </is>
      </c>
      <c r="K1923" t="n">
        <v>3.38</v>
      </c>
      <c r="L1923" t="n">
        <v>12</v>
      </c>
      <c r="M1923" t="b">
        <v>0</v>
      </c>
      <c r="N1923" t="n">
        <v>0</v>
      </c>
      <c r="O1923" t="b">
        <v>1</v>
      </c>
      <c r="P1923" t="b">
        <v>0</v>
      </c>
      <c r="Q1923" t="b">
        <v>1</v>
      </c>
    </row>
    <row r="1924">
      <c r="A1924" t="inlineStr">
        <is>
          <t>REQ01923</t>
        </is>
      </c>
      <c r="B1924" t="inlineStr">
        <is>
          <t>8755002BHD9T65EV0Q78</t>
        </is>
      </c>
      <c r="C1924" t="inlineStr">
        <is>
          <t>document_refresh</t>
        </is>
      </c>
      <c r="D1924" s="2" t="n">
        <v>46325.42152777778</v>
      </c>
      <c r="E1924" s="2" t="n">
        <v>46328.54652777778</v>
      </c>
      <c r="F1924" t="inlineStr">
        <is>
          <t>M2</t>
        </is>
      </c>
      <c r="G1924" t="inlineStr">
        <is>
          <t>C2</t>
        </is>
      </c>
      <c r="H1924" s="2" t="n">
        <v>46325.43541666667</v>
      </c>
      <c r="I1924" s="2" t="n">
        <v>46325.66388888889</v>
      </c>
      <c r="J1924" t="inlineStr">
        <is>
          <t>Completed</t>
        </is>
      </c>
      <c r="K1924" t="n">
        <v>5.82</v>
      </c>
      <c r="L1924" t="n">
        <v>12</v>
      </c>
      <c r="M1924" t="b">
        <v>0</v>
      </c>
      <c r="N1924" t="n">
        <v>0</v>
      </c>
      <c r="O1924" t="b">
        <v>1</v>
      </c>
      <c r="P1924" t="b">
        <v>0</v>
      </c>
      <c r="Q1924" t="b">
        <v>1</v>
      </c>
    </row>
    <row r="1925">
      <c r="A1925" t="inlineStr">
        <is>
          <t>REQ01924</t>
        </is>
      </c>
      <c r="B1925" t="inlineStr">
        <is>
          <t>7245004IAZYTNX3AG346</t>
        </is>
      </c>
      <c r="C1925" t="inlineStr">
        <is>
          <t>document_refresh</t>
        </is>
      </c>
      <c r="D1925" s="2" t="n">
        <v>46325.42361111111</v>
      </c>
      <c r="E1925" s="2" t="n">
        <v>46328.54861111111</v>
      </c>
      <c r="F1925" t="inlineStr">
        <is>
          <t>M5</t>
        </is>
      </c>
      <c r="G1925" t="inlineStr">
        <is>
          <t>C1</t>
        </is>
      </c>
      <c r="H1925" s="2" t="n">
        <v>46325.4375</v>
      </c>
      <c r="I1925" s="2" t="n">
        <v>46325.69652777778</v>
      </c>
      <c r="J1925" t="inlineStr">
        <is>
          <t>Completed</t>
        </is>
      </c>
      <c r="K1925" t="n">
        <v>6.56</v>
      </c>
      <c r="L1925" t="n">
        <v>12</v>
      </c>
      <c r="M1925" t="b">
        <v>0</v>
      </c>
      <c r="N1925" t="n">
        <v>0</v>
      </c>
      <c r="O1925" t="b">
        <v>1</v>
      </c>
      <c r="P1925" t="b">
        <v>0</v>
      </c>
      <c r="Q1925" t="b">
        <v>1</v>
      </c>
    </row>
    <row r="1926">
      <c r="A1926" t="inlineStr">
        <is>
          <t>REQ01925</t>
        </is>
      </c>
      <c r="B1926" t="inlineStr">
        <is>
          <t>54930003H10C6KT1EG88</t>
        </is>
      </c>
      <c r="C1926" t="inlineStr">
        <is>
          <t>new_account</t>
        </is>
      </c>
      <c r="D1926" s="2" t="n">
        <v>46325.43055555555</v>
      </c>
      <c r="E1926" s="2" t="n">
        <v>46328.72222222222</v>
      </c>
      <c r="F1926" t="inlineStr">
        <is>
          <t>M4</t>
        </is>
      </c>
      <c r="G1926" t="inlineStr">
        <is>
          <t>C3</t>
        </is>
      </c>
      <c r="H1926" s="2" t="n">
        <v>46325.46875</v>
      </c>
      <c r="I1926" s="2" t="n">
        <v>46325.65694444445</v>
      </c>
      <c r="J1926" t="inlineStr">
        <is>
          <t>Completed</t>
        </is>
      </c>
      <c r="K1926" t="n">
        <v>5.43</v>
      </c>
      <c r="L1926" t="n">
        <v>16</v>
      </c>
      <c r="M1926" t="b">
        <v>0</v>
      </c>
      <c r="N1926" t="n">
        <v>0</v>
      </c>
      <c r="O1926" t="b">
        <v>1</v>
      </c>
      <c r="P1926" t="b">
        <v>0</v>
      </c>
      <c r="Q1926" t="b">
        <v>1</v>
      </c>
    </row>
    <row r="1927">
      <c r="A1927" t="inlineStr">
        <is>
          <t>REQ01926</t>
        </is>
      </c>
      <c r="B1927" t="inlineStr">
        <is>
          <t>875500D0554JZC4C9F85</t>
        </is>
      </c>
      <c r="C1927" t="inlineStr">
        <is>
          <t>signatory_change</t>
        </is>
      </c>
      <c r="D1927" s="2" t="n">
        <v>46325.43125</v>
      </c>
      <c r="E1927" s="2" t="n">
        <v>46328.38958333333</v>
      </c>
      <c r="F1927" t="inlineStr">
        <is>
          <t>M1</t>
        </is>
      </c>
      <c r="G1927" t="inlineStr">
        <is>
          <t>C2</t>
        </is>
      </c>
      <c r="H1927" s="2" t="n">
        <v>46325.45</v>
      </c>
      <c r="I1927" s="2" t="n">
        <v>46325.56944444445</v>
      </c>
      <c r="J1927" t="inlineStr">
        <is>
          <t>Completed</t>
        </is>
      </c>
      <c r="K1927" t="n">
        <v>3.32</v>
      </c>
      <c r="L1927" t="n">
        <v>8</v>
      </c>
      <c r="M1927" t="b">
        <v>0</v>
      </c>
      <c r="N1927" t="n">
        <v>0</v>
      </c>
      <c r="O1927" t="b">
        <v>1</v>
      </c>
      <c r="P1927" t="b">
        <v>0</v>
      </c>
      <c r="Q1927" t="b">
        <v>1</v>
      </c>
    </row>
    <row r="1928">
      <c r="A1928" t="inlineStr">
        <is>
          <t>REQ01927</t>
        </is>
      </c>
      <c r="B1928" t="inlineStr">
        <is>
          <t>724500ID705DTQDKJE78</t>
        </is>
      </c>
      <c r="C1928" t="inlineStr">
        <is>
          <t>document_refresh</t>
        </is>
      </c>
      <c r="D1928" s="2" t="n">
        <v>46325.43333333333</v>
      </c>
      <c r="E1928" s="2" t="n">
        <v>46328.55833333333</v>
      </c>
      <c r="F1928" t="inlineStr">
        <is>
          <t>M2</t>
        </is>
      </c>
      <c r="G1928" t="inlineStr">
        <is>
          <t>C3</t>
        </is>
      </c>
      <c r="H1928" s="2" t="n">
        <v>46325.44930555556</v>
      </c>
      <c r="I1928" s="2" t="n">
        <v>46325.45555555556</v>
      </c>
      <c r="J1928" t="inlineStr">
        <is>
          <t>Completed</t>
        </is>
      </c>
      <c r="K1928" t="n">
        <v>0.53</v>
      </c>
      <c r="L1928" t="n">
        <v>12</v>
      </c>
      <c r="M1928" t="b">
        <v>0</v>
      </c>
      <c r="N1928" t="n">
        <v>0</v>
      </c>
      <c r="O1928" t="b">
        <v>1</v>
      </c>
      <c r="P1928" t="b">
        <v>0</v>
      </c>
      <c r="Q1928" t="b">
        <v>0</v>
      </c>
    </row>
    <row r="1929">
      <c r="A1929" t="inlineStr">
        <is>
          <t>REQ01928</t>
        </is>
      </c>
      <c r="B1929" t="inlineStr">
        <is>
          <t>549300017K2B85HI6S03</t>
        </is>
      </c>
      <c r="C1929" t="inlineStr">
        <is>
          <t>document_refresh</t>
        </is>
      </c>
      <c r="D1929" s="2" t="n">
        <v>46325.43472222222</v>
      </c>
      <c r="E1929" s="2" t="n">
        <v>46328.55972222222</v>
      </c>
      <c r="F1929" t="inlineStr">
        <is>
          <t>M3</t>
        </is>
      </c>
      <c r="G1929" t="inlineStr">
        <is>
          <t>C2</t>
        </is>
      </c>
      <c r="H1929" s="2" t="n">
        <v>46325.44930555556</v>
      </c>
      <c r="I1929" s="2" t="n">
        <v>46325.45347222222</v>
      </c>
      <c r="J1929" t="inlineStr">
        <is>
          <t>Completed</t>
        </is>
      </c>
      <c r="K1929" t="n">
        <v>0.45</v>
      </c>
      <c r="L1929" t="n">
        <v>12</v>
      </c>
      <c r="M1929" t="b">
        <v>0</v>
      </c>
      <c r="N1929" t="n">
        <v>0</v>
      </c>
      <c r="O1929" t="b">
        <v>1</v>
      </c>
      <c r="P1929" t="b">
        <v>0</v>
      </c>
      <c r="Q1929" t="b">
        <v>0</v>
      </c>
    </row>
    <row r="1930">
      <c r="A1930" t="inlineStr">
        <is>
          <t>REQ01929</t>
        </is>
      </c>
      <c r="B1930" t="inlineStr">
        <is>
          <t>213800HWNCWH2LL2M396</t>
        </is>
      </c>
      <c r="C1930" t="inlineStr">
        <is>
          <t>document_refresh</t>
        </is>
      </c>
      <c r="D1930" s="2" t="n">
        <v>46325.43888888889</v>
      </c>
      <c r="E1930" s="2" t="n">
        <v>46328.56388888889</v>
      </c>
      <c r="F1930" t="inlineStr">
        <is>
          <t>M5</t>
        </is>
      </c>
      <c r="G1930" t="inlineStr">
        <is>
          <t>C3</t>
        </is>
      </c>
      <c r="H1930" s="2" t="n">
        <v>46325.45</v>
      </c>
      <c r="I1930" s="2" t="n">
        <v>46325.55208333334</v>
      </c>
      <c r="J1930" t="inlineStr">
        <is>
          <t>Completed</t>
        </is>
      </c>
      <c r="K1930" t="n">
        <v>2.71</v>
      </c>
      <c r="L1930" t="n">
        <v>12</v>
      </c>
      <c r="M1930" t="b">
        <v>0</v>
      </c>
      <c r="N1930" t="n">
        <v>1</v>
      </c>
      <c r="O1930" t="b">
        <v>0</v>
      </c>
      <c r="P1930" t="b">
        <v>1</v>
      </c>
      <c r="Q1930" t="b">
        <v>1</v>
      </c>
    </row>
    <row r="1931">
      <c r="A1931" t="inlineStr">
        <is>
          <t>REQ01930</t>
        </is>
      </c>
      <c r="B1931" t="inlineStr">
        <is>
          <t>894500MYIS1YX68VBI33</t>
        </is>
      </c>
      <c r="C1931" t="inlineStr">
        <is>
          <t>document_refresh</t>
        </is>
      </c>
      <c r="D1931" s="2" t="n">
        <v>46325.44930555556</v>
      </c>
      <c r="E1931" s="2" t="n">
        <v>46328.57430555556</v>
      </c>
      <c r="F1931" t="inlineStr">
        <is>
          <t>M6</t>
        </is>
      </c>
      <c r="G1931" t="inlineStr">
        <is>
          <t>C2</t>
        </is>
      </c>
      <c r="H1931" s="2" t="n">
        <v>46325.4625</v>
      </c>
      <c r="I1931" s="2" t="n">
        <v>46325.47708333333</v>
      </c>
      <c r="J1931" t="inlineStr">
        <is>
          <t>Completed</t>
        </is>
      </c>
      <c r="K1931" t="n">
        <v>0.66</v>
      </c>
      <c r="L1931" t="n">
        <v>12</v>
      </c>
      <c r="M1931" t="b">
        <v>0</v>
      </c>
      <c r="N1931" t="n">
        <v>1</v>
      </c>
      <c r="O1931" t="b">
        <v>0</v>
      </c>
      <c r="P1931" t="b">
        <v>1</v>
      </c>
      <c r="Q1931" t="b">
        <v>0</v>
      </c>
    </row>
    <row r="1932">
      <c r="A1932" t="inlineStr">
        <is>
          <t>REQ01931</t>
        </is>
      </c>
      <c r="B1932" t="inlineStr">
        <is>
          <t>2549003JNNJ634CMKZ25</t>
        </is>
      </c>
      <c r="C1932" t="inlineStr">
        <is>
          <t>document_refresh</t>
        </is>
      </c>
      <c r="D1932" s="2" t="n">
        <v>46325.44930555556</v>
      </c>
      <c r="E1932" s="2" t="n">
        <v>46328.57430555556</v>
      </c>
      <c r="F1932" t="inlineStr">
        <is>
          <t>M2</t>
        </is>
      </c>
      <c r="G1932" t="inlineStr">
        <is>
          <t>C3</t>
        </is>
      </c>
      <c r="H1932" s="2" t="n">
        <v>46325.46458333333</v>
      </c>
      <c r="I1932" s="2" t="n">
        <v>46325.47013888889</v>
      </c>
      <c r="J1932" t="inlineStr">
        <is>
          <t>Completed</t>
        </is>
      </c>
      <c r="K1932" t="n">
        <v>0.5</v>
      </c>
      <c r="L1932" t="n">
        <v>12</v>
      </c>
      <c r="M1932" t="b">
        <v>0</v>
      </c>
      <c r="N1932" t="n">
        <v>0</v>
      </c>
      <c r="O1932" t="b">
        <v>1</v>
      </c>
      <c r="P1932" t="b">
        <v>0</v>
      </c>
      <c r="Q1932" t="b">
        <v>0</v>
      </c>
    </row>
    <row r="1933">
      <c r="A1933" t="inlineStr">
        <is>
          <t>REQ01932</t>
        </is>
      </c>
      <c r="B1933" t="inlineStr">
        <is>
          <t>6488GQ9O9UA2D106Z817</t>
        </is>
      </c>
      <c r="C1933" t="inlineStr">
        <is>
          <t>data_amendment</t>
        </is>
      </c>
      <c r="D1933" s="2" t="n">
        <v>46325.45138888889</v>
      </c>
      <c r="E1933" s="2" t="n">
        <v>46328.40972222222</v>
      </c>
      <c r="F1933" t="inlineStr">
        <is>
          <t>M3</t>
        </is>
      </c>
      <c r="G1933" t="inlineStr">
        <is>
          <t>C1</t>
        </is>
      </c>
      <c r="H1933" s="2" t="n">
        <v>46325.4625</v>
      </c>
      <c r="I1933" s="2" t="n">
        <v>46325.46597222222</v>
      </c>
      <c r="J1933" t="inlineStr">
        <is>
          <t>Completed</t>
        </is>
      </c>
      <c r="K1933" t="n">
        <v>0.35</v>
      </c>
      <c r="L1933" t="n">
        <v>8</v>
      </c>
      <c r="M1933" t="b">
        <v>0</v>
      </c>
      <c r="N1933" t="n">
        <v>0</v>
      </c>
      <c r="O1933" t="b">
        <v>1</v>
      </c>
      <c r="P1933" t="b">
        <v>0</v>
      </c>
      <c r="Q1933" t="b">
        <v>0</v>
      </c>
    </row>
    <row r="1934">
      <c r="A1934" t="inlineStr">
        <is>
          <t>REQ01933</t>
        </is>
      </c>
      <c r="B1934" t="inlineStr">
        <is>
          <t>969500C63DCOZ4N29E83</t>
        </is>
      </c>
      <c r="C1934" t="inlineStr">
        <is>
          <t>new_account</t>
        </is>
      </c>
      <c r="D1934" s="2" t="n">
        <v>46325.45138888889</v>
      </c>
      <c r="E1934" s="2" t="n">
        <v>46328.74305555555</v>
      </c>
      <c r="F1934" t="inlineStr">
        <is>
          <t>M1</t>
        </is>
      </c>
      <c r="G1934" t="inlineStr">
        <is>
          <t>C2</t>
        </is>
      </c>
      <c r="H1934" s="2" t="n">
        <v>46325.475</v>
      </c>
      <c r="I1934" s="2" t="n">
        <v>46325.60277777778</v>
      </c>
      <c r="J1934" t="inlineStr">
        <is>
          <t>Completed</t>
        </is>
      </c>
      <c r="K1934" t="n">
        <v>3.63</v>
      </c>
      <c r="L1934" t="n">
        <v>16</v>
      </c>
      <c r="M1934" t="b">
        <v>0</v>
      </c>
      <c r="N1934" t="n">
        <v>0</v>
      </c>
      <c r="O1934" t="b">
        <v>1</v>
      </c>
      <c r="P1934" t="b">
        <v>0</v>
      </c>
      <c r="Q1934" t="b">
        <v>1</v>
      </c>
    </row>
    <row r="1935">
      <c r="A1935" t="inlineStr">
        <is>
          <t>REQ01934</t>
        </is>
      </c>
      <c r="B1935" t="inlineStr">
        <is>
          <t>984500B5DC72FD7CA549</t>
        </is>
      </c>
      <c r="C1935" t="inlineStr">
        <is>
          <t>document_refresh</t>
        </is>
      </c>
      <c r="D1935" s="2" t="n">
        <v>46325.46180555555</v>
      </c>
      <c r="E1935" s="2" t="n">
        <v>46328.58680555555</v>
      </c>
      <c r="F1935" t="inlineStr">
        <is>
          <t>M5</t>
        </is>
      </c>
      <c r="G1935" t="inlineStr">
        <is>
          <t>C3</t>
        </is>
      </c>
      <c r="H1935" s="2" t="n">
        <v>46325.47361111111</v>
      </c>
      <c r="I1935" s="2" t="n">
        <v>46325.47847222222</v>
      </c>
      <c r="J1935" t="inlineStr">
        <is>
          <t>Completed</t>
        </is>
      </c>
      <c r="K1935" t="n">
        <v>0.4</v>
      </c>
      <c r="L1935" t="n">
        <v>12</v>
      </c>
      <c r="M1935" t="b">
        <v>0</v>
      </c>
      <c r="N1935" t="n">
        <v>0</v>
      </c>
      <c r="O1935" t="b">
        <v>1</v>
      </c>
      <c r="P1935" t="b">
        <v>0</v>
      </c>
      <c r="Q1935" t="b">
        <v>0</v>
      </c>
    </row>
    <row r="1936">
      <c r="A1936" t="inlineStr">
        <is>
          <t>REQ01935</t>
        </is>
      </c>
      <c r="B1936" t="inlineStr">
        <is>
          <t>984500GABA3C1A8WE093</t>
        </is>
      </c>
      <c r="C1936" t="inlineStr">
        <is>
          <t>document_refresh</t>
        </is>
      </c>
      <c r="D1936" s="2" t="n">
        <v>46325.46944444445</v>
      </c>
      <c r="E1936" s="2" t="n">
        <v>46328.59444444445</v>
      </c>
      <c r="F1936" t="inlineStr">
        <is>
          <t>M3</t>
        </is>
      </c>
      <c r="G1936" t="inlineStr">
        <is>
          <t>C1</t>
        </is>
      </c>
      <c r="H1936" s="2" t="n">
        <v>46325.48055555556</v>
      </c>
      <c r="I1936" s="2" t="n">
        <v>46325.4875</v>
      </c>
      <c r="J1936" t="inlineStr">
        <is>
          <t>Completed</t>
        </is>
      </c>
      <c r="K1936" t="n">
        <v>0.43</v>
      </c>
      <c r="L1936" t="n">
        <v>12</v>
      </c>
      <c r="M1936" t="b">
        <v>0</v>
      </c>
      <c r="N1936" t="n">
        <v>0</v>
      </c>
      <c r="O1936" t="b">
        <v>1</v>
      </c>
      <c r="P1936" t="b">
        <v>0</v>
      </c>
      <c r="Q1936" t="b">
        <v>0</v>
      </c>
    </row>
    <row r="1937">
      <c r="A1937" t="inlineStr">
        <is>
          <t>REQ01936</t>
        </is>
      </c>
      <c r="B1937" t="inlineStr">
        <is>
          <t>549300Y6CRFJM4WFIR45</t>
        </is>
      </c>
      <c r="C1937" t="inlineStr">
        <is>
          <t>signatory_change</t>
        </is>
      </c>
      <c r="D1937" s="2" t="n">
        <v>46325.47152777778</v>
      </c>
      <c r="E1937" s="2" t="n">
        <v>46328.42986111111</v>
      </c>
      <c r="F1937" t="inlineStr">
        <is>
          <t>M6</t>
        </is>
      </c>
      <c r="G1937" t="inlineStr">
        <is>
          <t>C3</t>
        </is>
      </c>
      <c r="H1937" s="2" t="n">
        <v>46325.49652777778</v>
      </c>
      <c r="I1937" s="2" t="n">
        <v>46325.61388888889</v>
      </c>
      <c r="J1937" t="inlineStr">
        <is>
          <t>Completed</t>
        </is>
      </c>
      <c r="K1937" t="n">
        <v>3.42</v>
      </c>
      <c r="L1937" t="n">
        <v>8</v>
      </c>
      <c r="M1937" t="b">
        <v>0</v>
      </c>
      <c r="N1937" t="n">
        <v>0</v>
      </c>
      <c r="O1937" t="b">
        <v>1</v>
      </c>
      <c r="P1937" t="b">
        <v>0</v>
      </c>
      <c r="Q1937" t="b">
        <v>1</v>
      </c>
    </row>
    <row r="1938">
      <c r="A1938" t="inlineStr">
        <is>
          <t>REQ01937</t>
        </is>
      </c>
      <c r="B1938" t="inlineStr">
        <is>
          <t>724500FLS1AHTF3D8F75</t>
        </is>
      </c>
      <c r="C1938" t="inlineStr">
        <is>
          <t>signatory_change</t>
        </is>
      </c>
      <c r="D1938" s="2" t="n">
        <v>46325.48055555556</v>
      </c>
      <c r="E1938" s="2" t="n">
        <v>46328.43888888889</v>
      </c>
      <c r="F1938" t="inlineStr">
        <is>
          <t>M2</t>
        </is>
      </c>
      <c r="G1938" t="inlineStr">
        <is>
          <t>C2</t>
        </is>
      </c>
      <c r="H1938" s="2" t="n">
        <v>46325.49583333333</v>
      </c>
      <c r="I1938" s="2" t="n">
        <v>46325.50486111111</v>
      </c>
      <c r="J1938" t="inlineStr">
        <is>
          <t>Completed</t>
        </is>
      </c>
      <c r="K1938" t="n">
        <v>0.58</v>
      </c>
      <c r="L1938" t="n">
        <v>8</v>
      </c>
      <c r="M1938" t="b">
        <v>0</v>
      </c>
      <c r="N1938" t="n">
        <v>0</v>
      </c>
      <c r="O1938" t="b">
        <v>1</v>
      </c>
      <c r="P1938" t="b">
        <v>0</v>
      </c>
      <c r="Q1938" t="b">
        <v>0</v>
      </c>
    </row>
    <row r="1939">
      <c r="A1939" t="inlineStr">
        <is>
          <t>REQ01938</t>
        </is>
      </c>
      <c r="B1939" t="inlineStr">
        <is>
          <t>5067005L4XFOB3X70265</t>
        </is>
      </c>
      <c r="C1939" t="inlineStr">
        <is>
          <t>document_refresh</t>
        </is>
      </c>
      <c r="D1939" s="2" t="n">
        <v>46325.48333333333</v>
      </c>
      <c r="E1939" s="2" t="n">
        <v>46328.60833333333</v>
      </c>
      <c r="F1939" t="inlineStr">
        <is>
          <t>M4</t>
        </is>
      </c>
      <c r="G1939" t="inlineStr">
        <is>
          <t>C1</t>
        </is>
      </c>
      <c r="H1939" s="2" t="n">
        <v>46325.5</v>
      </c>
      <c r="I1939" s="2" t="n">
        <v>46325.72083333333</v>
      </c>
      <c r="J1939" t="inlineStr">
        <is>
          <t>Completed</t>
        </is>
      </c>
      <c r="K1939" t="n">
        <v>5.69</v>
      </c>
      <c r="L1939" t="n">
        <v>12</v>
      </c>
      <c r="M1939" t="b">
        <v>0</v>
      </c>
      <c r="N1939" t="n">
        <v>0</v>
      </c>
      <c r="O1939" t="b">
        <v>1</v>
      </c>
      <c r="P1939" t="b">
        <v>0</v>
      </c>
      <c r="Q1939" t="b">
        <v>1</v>
      </c>
    </row>
    <row r="1940">
      <c r="A1940" t="inlineStr">
        <is>
          <t>REQ01939</t>
        </is>
      </c>
      <c r="B1940" t="inlineStr">
        <is>
          <t>549300017K2B85HI6S03</t>
        </is>
      </c>
      <c r="C1940" t="inlineStr">
        <is>
          <t>new_account</t>
        </is>
      </c>
      <c r="D1940" s="2" t="n">
        <v>46325.48333333333</v>
      </c>
      <c r="E1940" s="2" t="n">
        <v>46329.4</v>
      </c>
      <c r="F1940" t="inlineStr">
        <is>
          <t>M5</t>
        </is>
      </c>
      <c r="G1940" t="inlineStr">
        <is>
          <t>C3</t>
        </is>
      </c>
      <c r="H1940" s="2" t="n">
        <v>46325.51805555556</v>
      </c>
      <c r="I1940" s="2" t="n">
        <v>46325.52638888889</v>
      </c>
      <c r="J1940" t="inlineStr">
        <is>
          <t>Completed</t>
        </is>
      </c>
      <c r="K1940" t="n">
        <v>1.03</v>
      </c>
      <c r="L1940" t="n">
        <v>16</v>
      </c>
      <c r="M1940" t="b">
        <v>0</v>
      </c>
      <c r="N1940" t="n">
        <v>0</v>
      </c>
      <c r="O1940" t="b">
        <v>1</v>
      </c>
      <c r="P1940" t="b">
        <v>0</v>
      </c>
      <c r="Q1940" t="b">
        <v>0</v>
      </c>
    </row>
    <row r="1941">
      <c r="A1941" t="inlineStr">
        <is>
          <t>REQ01940</t>
        </is>
      </c>
      <c r="B1941" t="inlineStr">
        <is>
          <t>984500042DY409F61F78</t>
        </is>
      </c>
      <c r="C1941" t="inlineStr">
        <is>
          <t>new_account</t>
        </is>
      </c>
      <c r="D1941" s="2" t="n">
        <v>46325.48541666667</v>
      </c>
      <c r="E1941" s="2" t="n">
        <v>46329.40208333333</v>
      </c>
      <c r="F1941" t="inlineStr">
        <is>
          <t>M1</t>
        </is>
      </c>
      <c r="G1941" t="inlineStr">
        <is>
          <t>C2</t>
        </is>
      </c>
      <c r="H1941" s="2" t="n">
        <v>46325.51111111111</v>
      </c>
      <c r="I1941" s="2" t="n">
        <v>46325.68819444445</v>
      </c>
      <c r="J1941" t="inlineStr">
        <is>
          <t>Completed</t>
        </is>
      </c>
      <c r="K1941" t="n">
        <v>4.87</v>
      </c>
      <c r="L1941" t="n">
        <v>16</v>
      </c>
      <c r="M1941" t="b">
        <v>0</v>
      </c>
      <c r="N1941" t="n">
        <v>0</v>
      </c>
      <c r="O1941" t="b">
        <v>1</v>
      </c>
      <c r="P1941" t="b">
        <v>0</v>
      </c>
      <c r="Q1941" t="b">
        <v>1</v>
      </c>
    </row>
    <row r="1942">
      <c r="A1942" t="inlineStr">
        <is>
          <t>REQ01941</t>
        </is>
      </c>
      <c r="B1942" t="inlineStr">
        <is>
          <t>549300WQ5O3A9BVKPV18</t>
        </is>
      </c>
      <c r="C1942" t="inlineStr">
        <is>
          <t>data_amendment</t>
        </is>
      </c>
      <c r="D1942" s="2" t="n">
        <v>46325.48819444444</v>
      </c>
      <c r="E1942" s="2" t="n">
        <v>46328.44652777778</v>
      </c>
      <c r="F1942" t="inlineStr">
        <is>
          <t>M3</t>
        </is>
      </c>
      <c r="G1942" t="inlineStr">
        <is>
          <t>C2</t>
        </is>
      </c>
      <c r="H1942" s="2" t="n">
        <v>46325.50138888889</v>
      </c>
      <c r="I1942" s="2" t="n">
        <v>46325.50763888889</v>
      </c>
      <c r="J1942" t="inlineStr">
        <is>
          <t>Completed</t>
        </is>
      </c>
      <c r="K1942" t="n">
        <v>0.47</v>
      </c>
      <c r="L1942" t="n">
        <v>8</v>
      </c>
      <c r="M1942" t="b">
        <v>0</v>
      </c>
      <c r="N1942" t="n">
        <v>0</v>
      </c>
      <c r="O1942" t="b">
        <v>1</v>
      </c>
      <c r="P1942" t="b">
        <v>0</v>
      </c>
      <c r="Q1942" t="b">
        <v>0</v>
      </c>
    </row>
    <row r="1943">
      <c r="A1943" t="inlineStr">
        <is>
          <t>REQ01942</t>
        </is>
      </c>
      <c r="B1943" t="inlineStr">
        <is>
          <t>549300LRGUZYELQKAH25</t>
        </is>
      </c>
      <c r="C1943" t="inlineStr">
        <is>
          <t>signatory_change</t>
        </is>
      </c>
      <c r="D1943" s="2" t="n">
        <v>46325.48888888889</v>
      </c>
      <c r="E1943" s="2" t="n">
        <v>46328.44722222222</v>
      </c>
      <c r="F1943" t="inlineStr">
        <is>
          <t>M2</t>
        </is>
      </c>
      <c r="G1943" t="inlineStr">
        <is>
          <t>C2</t>
        </is>
      </c>
      <c r="H1943" s="2" t="n">
        <v>46325.51527777778</v>
      </c>
      <c r="I1943" s="2" t="n">
        <v>46325.73888888889</v>
      </c>
      <c r="J1943" t="inlineStr">
        <is>
          <t>Completed</t>
        </is>
      </c>
      <c r="K1943" t="n">
        <v>6</v>
      </c>
      <c r="L1943" t="n">
        <v>8</v>
      </c>
      <c r="M1943" t="b">
        <v>0</v>
      </c>
      <c r="N1943" t="n">
        <v>0</v>
      </c>
      <c r="O1943" t="b">
        <v>1</v>
      </c>
      <c r="P1943" t="b">
        <v>0</v>
      </c>
      <c r="Q1943" t="b">
        <v>1</v>
      </c>
    </row>
    <row r="1944">
      <c r="A1944" t="inlineStr">
        <is>
          <t>REQ01943</t>
        </is>
      </c>
      <c r="B1944" t="inlineStr">
        <is>
          <t>8755000DE76062E97D98</t>
        </is>
      </c>
      <c r="C1944" t="inlineStr">
        <is>
          <t>signatory_change</t>
        </is>
      </c>
      <c r="D1944" s="2" t="n">
        <v>46325.49305555555</v>
      </c>
      <c r="E1944" s="2" t="n">
        <v>46328.45138888889</v>
      </c>
      <c r="F1944" t="inlineStr">
        <is>
          <t>M6</t>
        </is>
      </c>
      <c r="G1944" t="inlineStr">
        <is>
          <t>C1</t>
        </is>
      </c>
      <c r="H1944" s="2" t="n">
        <v>46325.52013888889</v>
      </c>
      <c r="I1944" s="2" t="n">
        <v>46325.52638888889</v>
      </c>
      <c r="J1944" t="inlineStr">
        <is>
          <t>Completed</t>
        </is>
      </c>
      <c r="K1944" t="n">
        <v>0.8</v>
      </c>
      <c r="L1944" t="n">
        <v>8</v>
      </c>
      <c r="M1944" t="b">
        <v>0</v>
      </c>
      <c r="N1944" t="n">
        <v>0</v>
      </c>
      <c r="O1944" t="b">
        <v>1</v>
      </c>
      <c r="P1944" t="b">
        <v>0</v>
      </c>
      <c r="Q1944" t="b">
        <v>0</v>
      </c>
    </row>
    <row r="1945">
      <c r="A1945" t="inlineStr">
        <is>
          <t>REQ01944</t>
        </is>
      </c>
      <c r="B1945" t="inlineStr">
        <is>
          <t>254900OA25NETWT1OH76</t>
        </is>
      </c>
      <c r="C1945" t="inlineStr">
        <is>
          <t>document_refresh</t>
        </is>
      </c>
      <c r="D1945" s="2" t="n">
        <v>46325.49513888889</v>
      </c>
      <c r="E1945" s="2" t="n">
        <v>46328.62013888889</v>
      </c>
      <c r="F1945" t="inlineStr">
        <is>
          <t>M4</t>
        </is>
      </c>
      <c r="G1945" t="inlineStr">
        <is>
          <t>C2</t>
        </is>
      </c>
      <c r="H1945" s="2" t="n">
        <v>46325.5125</v>
      </c>
      <c r="I1945" s="2" t="n">
        <v>46325.52916666667</v>
      </c>
      <c r="J1945" t="inlineStr">
        <is>
          <t>Completed</t>
        </is>
      </c>
      <c r="K1945" t="n">
        <v>0.82</v>
      </c>
      <c r="L1945" t="n">
        <v>12</v>
      </c>
      <c r="M1945" t="b">
        <v>0</v>
      </c>
      <c r="N1945" t="n">
        <v>1</v>
      </c>
      <c r="O1945" t="b">
        <v>0</v>
      </c>
      <c r="P1945" t="b">
        <v>1</v>
      </c>
      <c r="Q1945" t="b">
        <v>0</v>
      </c>
    </row>
    <row r="1946">
      <c r="A1946" t="inlineStr">
        <is>
          <t>REQ01945</t>
        </is>
      </c>
      <c r="B1946" t="inlineStr">
        <is>
          <t>529900J8EHUMRP4M2F19</t>
        </is>
      </c>
      <c r="C1946" t="inlineStr">
        <is>
          <t>document_refresh</t>
        </is>
      </c>
      <c r="D1946" s="2" t="n">
        <v>46325.50763888889</v>
      </c>
      <c r="E1946" s="2" t="n">
        <v>46328.63263888889</v>
      </c>
      <c r="F1946" t="inlineStr">
        <is>
          <t>M3</t>
        </is>
      </c>
      <c r="G1946" t="inlineStr">
        <is>
          <t>C1</t>
        </is>
      </c>
      <c r="H1946" s="2" t="n">
        <v>46325.52361111111</v>
      </c>
      <c r="I1946" s="2" t="n">
        <v>46325.69375</v>
      </c>
      <c r="J1946" t="inlineStr">
        <is>
          <t>Completed</t>
        </is>
      </c>
      <c r="K1946" t="n">
        <v>4.47</v>
      </c>
      <c r="L1946" t="n">
        <v>12</v>
      </c>
      <c r="M1946" t="b">
        <v>0</v>
      </c>
      <c r="N1946" t="n">
        <v>1</v>
      </c>
      <c r="O1946" t="b">
        <v>0</v>
      </c>
      <c r="P1946" t="b">
        <v>1</v>
      </c>
      <c r="Q1946" t="b">
        <v>1</v>
      </c>
    </row>
    <row r="1947">
      <c r="A1947" t="inlineStr">
        <is>
          <t>REQ01946</t>
        </is>
      </c>
      <c r="B1947" t="inlineStr">
        <is>
          <t>2138008VCY2HYSN16C13</t>
        </is>
      </c>
      <c r="C1947" t="inlineStr">
        <is>
          <t>data_amendment</t>
        </is>
      </c>
      <c r="D1947" s="2" t="n">
        <v>46325.51319444444</v>
      </c>
      <c r="E1947" s="2" t="n">
        <v>46328.47152777778</v>
      </c>
      <c r="F1947" t="inlineStr">
        <is>
          <t>M1</t>
        </is>
      </c>
      <c r="G1947" t="inlineStr">
        <is>
          <t>C1</t>
        </is>
      </c>
      <c r="H1947" s="2" t="n">
        <v>46325.52083333334</v>
      </c>
      <c r="I1947" s="2" t="n">
        <v>46325.67638888889</v>
      </c>
      <c r="J1947" t="inlineStr">
        <is>
          <t>Completed</t>
        </is>
      </c>
      <c r="K1947" t="n">
        <v>3.91</v>
      </c>
      <c r="L1947" t="n">
        <v>8</v>
      </c>
      <c r="M1947" t="b">
        <v>0</v>
      </c>
      <c r="N1947" t="n">
        <v>0</v>
      </c>
      <c r="O1947" t="b">
        <v>1</v>
      </c>
      <c r="P1947" t="b">
        <v>0</v>
      </c>
      <c r="Q1947" t="b">
        <v>1</v>
      </c>
    </row>
    <row r="1948">
      <c r="A1948" t="inlineStr">
        <is>
          <t>REQ01947</t>
        </is>
      </c>
      <c r="B1948" t="inlineStr">
        <is>
          <t>64882E99TKEY9012TR58</t>
        </is>
      </c>
      <c r="C1948" t="inlineStr">
        <is>
          <t>new_account</t>
        </is>
      </c>
      <c r="D1948" s="2" t="n">
        <v>46325.52083333334</v>
      </c>
      <c r="E1948" s="2" t="n">
        <v>46329.4375</v>
      </c>
      <c r="F1948" t="inlineStr">
        <is>
          <t>M4</t>
        </is>
      </c>
      <c r="G1948" t="inlineStr">
        <is>
          <t>C3</t>
        </is>
      </c>
      <c r="H1948" s="2" t="n">
        <v>46325.55902777778</v>
      </c>
      <c r="I1948" s="2" t="n">
        <v>46325.56736111111</v>
      </c>
      <c r="J1948" t="inlineStr">
        <is>
          <t>Completed</t>
        </is>
      </c>
      <c r="K1948" t="n">
        <v>1.12</v>
      </c>
      <c r="L1948" t="n">
        <v>16</v>
      </c>
      <c r="M1948" t="b">
        <v>0</v>
      </c>
      <c r="N1948" t="n">
        <v>0</v>
      </c>
      <c r="O1948" t="b">
        <v>1</v>
      </c>
      <c r="P1948" t="b">
        <v>0</v>
      </c>
      <c r="Q1948" t="b">
        <v>0</v>
      </c>
    </row>
    <row r="1949">
      <c r="A1949" t="inlineStr">
        <is>
          <t>REQ01948</t>
        </is>
      </c>
      <c r="B1949" t="inlineStr">
        <is>
          <t>724500A8XWUKSSA33H35</t>
        </is>
      </c>
      <c r="C1949" t="inlineStr">
        <is>
          <t>data_amendment</t>
        </is>
      </c>
      <c r="D1949" s="2" t="n">
        <v>46325.52083333334</v>
      </c>
      <c r="E1949" s="2" t="n">
        <v>46328.47916666666</v>
      </c>
      <c r="F1949" t="inlineStr">
        <is>
          <t>M2</t>
        </is>
      </c>
      <c r="G1949" t="inlineStr">
        <is>
          <t>C3</t>
        </is>
      </c>
      <c r="H1949" s="2" t="n">
        <v>46325.53194444445</v>
      </c>
      <c r="I1949" s="2" t="n">
        <v>46325.69375</v>
      </c>
      <c r="J1949" t="inlineStr">
        <is>
          <t>Completed</t>
        </is>
      </c>
      <c r="K1949" t="n">
        <v>4.16</v>
      </c>
      <c r="L1949" t="n">
        <v>8</v>
      </c>
      <c r="M1949" t="b">
        <v>0</v>
      </c>
      <c r="N1949" t="n">
        <v>0</v>
      </c>
      <c r="O1949" t="b">
        <v>1</v>
      </c>
      <c r="P1949" t="b">
        <v>0</v>
      </c>
      <c r="Q1949" t="b">
        <v>1</v>
      </c>
    </row>
    <row r="1950">
      <c r="A1950" t="inlineStr">
        <is>
          <t>REQ01949</t>
        </is>
      </c>
      <c r="B1950" t="inlineStr">
        <is>
          <t>9695008P6KJ2TSPLSO82</t>
        </is>
      </c>
      <c r="C1950" t="inlineStr">
        <is>
          <t>data_amendment</t>
        </is>
      </c>
      <c r="D1950" s="2" t="n">
        <v>46325.52152777778</v>
      </c>
      <c r="E1950" s="2" t="n">
        <v>46328.47986111111</v>
      </c>
      <c r="F1950" t="inlineStr">
        <is>
          <t>M5</t>
        </is>
      </c>
      <c r="G1950" t="inlineStr">
        <is>
          <t>C2</t>
        </is>
      </c>
      <c r="H1950" s="2" t="n">
        <v>46325.53055555555</v>
      </c>
      <c r="I1950" s="2" t="n">
        <v>46325.63819444444</v>
      </c>
      <c r="J1950" t="inlineStr">
        <is>
          <t>Completed</t>
        </is>
      </c>
      <c r="K1950" t="n">
        <v>2.8</v>
      </c>
      <c r="L1950" t="n">
        <v>8</v>
      </c>
      <c r="M1950" t="b">
        <v>0</v>
      </c>
      <c r="N1950" t="n">
        <v>0</v>
      </c>
      <c r="O1950" t="b">
        <v>1</v>
      </c>
      <c r="P1950" t="b">
        <v>0</v>
      </c>
      <c r="Q1950" t="b">
        <v>1</v>
      </c>
    </row>
    <row r="1951">
      <c r="A1951" t="inlineStr">
        <is>
          <t>REQ01950</t>
        </is>
      </c>
      <c r="B1951" t="inlineStr">
        <is>
          <t>335800T16H469PQX4S25</t>
        </is>
      </c>
      <c r="C1951" t="inlineStr">
        <is>
          <t>document_refresh</t>
        </is>
      </c>
      <c r="D1951" s="2" t="n">
        <v>46325.52569444444</v>
      </c>
      <c r="E1951" s="2" t="n">
        <v>46328.65069444444</v>
      </c>
      <c r="F1951" t="inlineStr">
        <is>
          <t>M6</t>
        </is>
      </c>
      <c r="G1951" t="inlineStr">
        <is>
          <t>C2</t>
        </is>
      </c>
      <c r="H1951" s="2" t="n">
        <v>46325.5375</v>
      </c>
      <c r="I1951" s="2" t="n">
        <v>46325.54652777778</v>
      </c>
      <c r="J1951" t="inlineStr">
        <is>
          <t>Completed</t>
        </is>
      </c>
      <c r="K1951" t="n">
        <v>0.49</v>
      </c>
      <c r="L1951" t="n">
        <v>12</v>
      </c>
      <c r="M1951" t="b">
        <v>0</v>
      </c>
      <c r="N1951" t="n">
        <v>0</v>
      </c>
      <c r="O1951" t="b">
        <v>1</v>
      </c>
      <c r="P1951" t="b">
        <v>0</v>
      </c>
      <c r="Q1951" t="b">
        <v>0</v>
      </c>
    </row>
    <row r="1952">
      <c r="A1952" t="inlineStr">
        <is>
          <t>REQ01951</t>
        </is>
      </c>
      <c r="B1952" t="inlineStr">
        <is>
          <t>549300U3KTIXS510LL58</t>
        </is>
      </c>
      <c r="C1952" t="inlineStr">
        <is>
          <t>new_account</t>
        </is>
      </c>
      <c r="D1952" s="2" t="n">
        <v>46325.52569444444</v>
      </c>
      <c r="E1952" s="2" t="n">
        <v>46329.44236111111</v>
      </c>
      <c r="F1952" t="inlineStr">
        <is>
          <t>M1</t>
        </is>
      </c>
      <c r="G1952" t="inlineStr">
        <is>
          <t>C2</t>
        </is>
      </c>
      <c r="H1952" s="2" t="n">
        <v>46325.54861111111</v>
      </c>
      <c r="I1952" s="2" t="n"/>
      <c r="J1952" t="inlineStr">
        <is>
          <t>Open</t>
        </is>
      </c>
      <c r="L1952" t="n">
        <v>16</v>
      </c>
      <c r="Q1952" t="b">
        <v>1</v>
      </c>
    </row>
    <row r="1953">
      <c r="A1953" t="inlineStr">
        <is>
          <t>REQ01952</t>
        </is>
      </c>
      <c r="B1953" t="inlineStr">
        <is>
          <t>984500C761F978656758</t>
        </is>
      </c>
      <c r="C1953" t="inlineStr">
        <is>
          <t>new_account</t>
        </is>
      </c>
      <c r="D1953" s="2" t="n">
        <v>46325.52638888889</v>
      </c>
      <c r="E1953" s="2" t="n">
        <v>46329.44305555556</v>
      </c>
      <c r="F1953" t="inlineStr">
        <is>
          <t>M3</t>
        </is>
      </c>
      <c r="G1953" t="inlineStr">
        <is>
          <t>C1</t>
        </is>
      </c>
      <c r="H1953" s="2" t="n">
        <v>46325.55486111111</v>
      </c>
      <c r="I1953" s="2" t="n">
        <v>46325.56875</v>
      </c>
      <c r="J1953" t="inlineStr">
        <is>
          <t>Completed</t>
        </is>
      </c>
      <c r="K1953" t="n">
        <v>1.02</v>
      </c>
      <c r="L1953" t="n">
        <v>16</v>
      </c>
      <c r="M1953" t="b">
        <v>0</v>
      </c>
      <c r="N1953" t="n">
        <v>0</v>
      </c>
      <c r="O1953" t="b">
        <v>1</v>
      </c>
      <c r="P1953" t="b">
        <v>0</v>
      </c>
      <c r="Q1953" t="b">
        <v>0</v>
      </c>
    </row>
    <row r="1954">
      <c r="A1954" t="inlineStr">
        <is>
          <t>REQ01953</t>
        </is>
      </c>
      <c r="B1954" t="inlineStr">
        <is>
          <t>724500Y95N7LO8E19A03</t>
        </is>
      </c>
      <c r="C1954" t="inlineStr">
        <is>
          <t>document_refresh</t>
        </is>
      </c>
      <c r="D1954" s="2" t="n">
        <v>46325.53125</v>
      </c>
      <c r="E1954" s="2" t="n">
        <v>46328.65625</v>
      </c>
      <c r="F1954" t="inlineStr">
        <is>
          <t>M5</t>
        </is>
      </c>
      <c r="G1954" t="inlineStr">
        <is>
          <t>C1</t>
        </is>
      </c>
      <c r="H1954" s="2" t="n">
        <v>46325.54513888889</v>
      </c>
      <c r="I1954" s="2" t="n">
        <v>46325.69236111111</v>
      </c>
      <c r="J1954" t="inlineStr">
        <is>
          <t>Completed</t>
        </is>
      </c>
      <c r="K1954" t="n">
        <v>3.86</v>
      </c>
      <c r="L1954" t="n">
        <v>12</v>
      </c>
      <c r="M1954" t="b">
        <v>0</v>
      </c>
      <c r="N1954" t="n">
        <v>0</v>
      </c>
      <c r="O1954" t="b">
        <v>1</v>
      </c>
      <c r="P1954" t="b">
        <v>0</v>
      </c>
      <c r="Q1954" t="b">
        <v>1</v>
      </c>
    </row>
    <row r="1955">
      <c r="A1955" t="inlineStr">
        <is>
          <t>REQ01954</t>
        </is>
      </c>
      <c r="B1955" t="inlineStr">
        <is>
          <t>967600PKRKW8F7JKQT83</t>
        </is>
      </c>
      <c r="C1955" t="inlineStr">
        <is>
          <t>document_refresh</t>
        </is>
      </c>
      <c r="D1955" s="2" t="n">
        <v>46325.53472222222</v>
      </c>
      <c r="E1955" s="2" t="n">
        <v>46328.65972222222</v>
      </c>
      <c r="F1955" t="inlineStr">
        <is>
          <t>M2</t>
        </is>
      </c>
      <c r="G1955" t="inlineStr">
        <is>
          <t>C1</t>
        </is>
      </c>
      <c r="H1955" s="2" t="n">
        <v>46325.54444444444</v>
      </c>
      <c r="I1955" s="2" t="n">
        <v>46325.55069444444</v>
      </c>
      <c r="J1955" t="inlineStr">
        <is>
          <t>Completed</t>
        </is>
      </c>
      <c r="K1955" t="n">
        <v>0.39</v>
      </c>
      <c r="L1955" t="n">
        <v>12</v>
      </c>
      <c r="M1955" t="b">
        <v>0</v>
      </c>
      <c r="N1955" t="n">
        <v>0</v>
      </c>
      <c r="O1955" t="b">
        <v>1</v>
      </c>
      <c r="P1955" t="b">
        <v>0</v>
      </c>
      <c r="Q1955" t="b">
        <v>0</v>
      </c>
    </row>
    <row r="1956">
      <c r="A1956" t="inlineStr">
        <is>
          <t>REQ01955</t>
        </is>
      </c>
      <c r="B1956" t="inlineStr">
        <is>
          <t>724500KIFFQ7CZ7E2349</t>
        </is>
      </c>
      <c r="C1956" t="inlineStr">
        <is>
          <t>document_refresh</t>
        </is>
      </c>
      <c r="D1956" s="2" t="n">
        <v>46325.53819444445</v>
      </c>
      <c r="E1956" s="2" t="n">
        <v>46328.66319444445</v>
      </c>
      <c r="F1956" t="inlineStr">
        <is>
          <t>M6</t>
        </is>
      </c>
      <c r="G1956" t="inlineStr">
        <is>
          <t>C2</t>
        </is>
      </c>
      <c r="H1956" s="2" t="n">
        <v>46325.55486111111</v>
      </c>
      <c r="I1956" s="2" t="n">
        <v>46325.56111111111</v>
      </c>
      <c r="J1956" t="inlineStr">
        <is>
          <t>Completed</t>
        </is>
      </c>
      <c r="K1956" t="n">
        <v>0.55</v>
      </c>
      <c r="L1956" t="n">
        <v>12</v>
      </c>
      <c r="M1956" t="b">
        <v>0</v>
      </c>
      <c r="N1956" t="n">
        <v>0</v>
      </c>
      <c r="O1956" t="b">
        <v>1</v>
      </c>
      <c r="P1956" t="b">
        <v>0</v>
      </c>
      <c r="Q1956" t="b">
        <v>0</v>
      </c>
    </row>
    <row r="1957">
      <c r="A1957" t="inlineStr">
        <is>
          <t>REQ01956</t>
        </is>
      </c>
      <c r="B1957" t="inlineStr">
        <is>
          <t>5299006PXG54CJ020F45</t>
        </is>
      </c>
      <c r="C1957" t="inlineStr">
        <is>
          <t>new_account</t>
        </is>
      </c>
      <c r="D1957" s="2" t="n">
        <v>46325.54166666666</v>
      </c>
      <c r="E1957" s="2" t="n">
        <v>46329.45833333334</v>
      </c>
      <c r="F1957" t="inlineStr">
        <is>
          <t>M2</t>
        </is>
      </c>
      <c r="G1957" t="inlineStr">
        <is>
          <t>C3</t>
        </is>
      </c>
      <c r="H1957" s="2" t="n">
        <v>46325.57847222222</v>
      </c>
      <c r="I1957" s="2" t="n">
        <v>46325.68888888889</v>
      </c>
      <c r="J1957" t="inlineStr">
        <is>
          <t>Completed</t>
        </is>
      </c>
      <c r="K1957" t="n">
        <v>3.54</v>
      </c>
      <c r="L1957" t="n">
        <v>16</v>
      </c>
      <c r="M1957" t="b">
        <v>0</v>
      </c>
      <c r="N1957" t="n">
        <v>0</v>
      </c>
      <c r="O1957" t="b">
        <v>1</v>
      </c>
      <c r="P1957" t="b">
        <v>0</v>
      </c>
      <c r="Q1957" t="b">
        <v>1</v>
      </c>
    </row>
    <row r="1958">
      <c r="A1958" t="inlineStr">
        <is>
          <t>REQ01957</t>
        </is>
      </c>
      <c r="B1958" t="inlineStr">
        <is>
          <t>549300WPKQ51OPEQNJ94</t>
        </is>
      </c>
      <c r="C1958" t="inlineStr">
        <is>
          <t>new_account</t>
        </is>
      </c>
      <c r="D1958" s="2" t="n">
        <v>46325.55069444444</v>
      </c>
      <c r="E1958" s="2" t="n">
        <v>46329.46736111111</v>
      </c>
      <c r="F1958" t="inlineStr">
        <is>
          <t>M5</t>
        </is>
      </c>
      <c r="G1958" t="inlineStr">
        <is>
          <t>C1</t>
        </is>
      </c>
      <c r="H1958" s="2" t="n">
        <v>46325.58611111111</v>
      </c>
      <c r="I1958" s="2" t="n"/>
      <c r="J1958" t="inlineStr">
        <is>
          <t>Open</t>
        </is>
      </c>
      <c r="L1958" t="n">
        <v>16</v>
      </c>
      <c r="Q1958" t="b">
        <v>1</v>
      </c>
    </row>
    <row r="1959">
      <c r="A1959" t="inlineStr">
        <is>
          <t>REQ01958</t>
        </is>
      </c>
      <c r="B1959" t="inlineStr">
        <is>
          <t>5067002E9XESLN4AG690</t>
        </is>
      </c>
      <c r="C1959" t="inlineStr">
        <is>
          <t>new_account</t>
        </is>
      </c>
      <c r="D1959" s="2" t="n">
        <v>46325.55486111111</v>
      </c>
      <c r="E1959" s="2" t="n">
        <v>46329.47152777778</v>
      </c>
      <c r="F1959" t="inlineStr">
        <is>
          <t>M1</t>
        </is>
      </c>
      <c r="G1959" t="inlineStr">
        <is>
          <t>C3</t>
        </is>
      </c>
      <c r="H1959" s="2" t="n">
        <v>46325.58194444444</v>
      </c>
      <c r="I1959" s="2" t="n">
        <v>46325.61111111111</v>
      </c>
      <c r="J1959" t="inlineStr">
        <is>
          <t>Completed</t>
        </is>
      </c>
      <c r="K1959" t="n">
        <v>1.35</v>
      </c>
      <c r="L1959" t="n">
        <v>16</v>
      </c>
      <c r="M1959" t="b">
        <v>0</v>
      </c>
      <c r="N1959" t="n">
        <v>1</v>
      </c>
      <c r="O1959" t="b">
        <v>0</v>
      </c>
      <c r="P1959" t="b">
        <v>1</v>
      </c>
      <c r="Q1959" t="b">
        <v>0</v>
      </c>
    </row>
    <row r="1960">
      <c r="A1960" t="inlineStr">
        <is>
          <t>REQ01959</t>
        </is>
      </c>
      <c r="B1960" t="inlineStr">
        <is>
          <t>6488B6W6T9Z41QZ6C145</t>
        </is>
      </c>
      <c r="C1960" t="inlineStr">
        <is>
          <t>document_refresh</t>
        </is>
      </c>
      <c r="D1960" s="2" t="n">
        <v>46325.55833333333</v>
      </c>
      <c r="E1960" s="2" t="n">
        <v>46328.68333333333</v>
      </c>
      <c r="F1960" t="inlineStr">
        <is>
          <t>M6</t>
        </is>
      </c>
      <c r="G1960" t="inlineStr">
        <is>
          <t>C1</t>
        </is>
      </c>
      <c r="H1960" s="2" t="n">
        <v>46325.57638888889</v>
      </c>
      <c r="I1960" s="2" t="n">
        <v>46325.58263888889</v>
      </c>
      <c r="J1960" t="inlineStr">
        <is>
          <t>Completed</t>
        </is>
      </c>
      <c r="K1960" t="n">
        <v>0.59</v>
      </c>
      <c r="L1960" t="n">
        <v>12</v>
      </c>
      <c r="M1960" t="b">
        <v>0</v>
      </c>
      <c r="N1960" t="n">
        <v>0</v>
      </c>
      <c r="O1960" t="b">
        <v>1</v>
      </c>
      <c r="P1960" t="b">
        <v>0</v>
      </c>
      <c r="Q1960" t="b">
        <v>0</v>
      </c>
    </row>
    <row r="1961">
      <c r="A1961" t="inlineStr">
        <is>
          <t>REQ01960</t>
        </is>
      </c>
      <c r="B1961" t="inlineStr">
        <is>
          <t>25490061M5YV739O2V36</t>
        </is>
      </c>
      <c r="C1961" t="inlineStr">
        <is>
          <t>data_amendment</t>
        </is>
      </c>
      <c r="D1961" s="2" t="n">
        <v>46325.56388888889</v>
      </c>
      <c r="E1961" s="2" t="n">
        <v>46328.52222222222</v>
      </c>
      <c r="F1961" t="inlineStr">
        <is>
          <t>M3</t>
        </is>
      </c>
      <c r="G1961" t="inlineStr">
        <is>
          <t>C2</t>
        </is>
      </c>
      <c r="H1961" s="2" t="n">
        <v>46325.57638888889</v>
      </c>
      <c r="I1961" s="2" t="n">
        <v>46325.58125</v>
      </c>
      <c r="J1961" t="inlineStr">
        <is>
          <t>Completed</t>
        </is>
      </c>
      <c r="K1961" t="n">
        <v>0.42</v>
      </c>
      <c r="L1961" t="n">
        <v>8</v>
      </c>
      <c r="M1961" t="b">
        <v>0</v>
      </c>
      <c r="N1961" t="n">
        <v>0</v>
      </c>
      <c r="O1961" t="b">
        <v>1</v>
      </c>
      <c r="P1961" t="b">
        <v>0</v>
      </c>
      <c r="Q1961" t="b">
        <v>0</v>
      </c>
    </row>
    <row r="1962">
      <c r="A1962" t="inlineStr">
        <is>
          <t>REQ01961</t>
        </is>
      </c>
      <c r="B1962" t="inlineStr">
        <is>
          <t>21380028UFOFCNOKAN57</t>
        </is>
      </c>
      <c r="C1962" t="inlineStr">
        <is>
          <t>new_account</t>
        </is>
      </c>
      <c r="D1962" s="2" t="n">
        <v>46325.58402777778</v>
      </c>
      <c r="E1962" s="2" t="n">
        <v>46329.50069444445</v>
      </c>
      <c r="F1962" t="inlineStr">
        <is>
          <t>M4</t>
        </is>
      </c>
      <c r="G1962" t="inlineStr">
        <is>
          <t>C2</t>
        </is>
      </c>
      <c r="H1962" s="2" t="n">
        <v>46325.62430555555</v>
      </c>
      <c r="I1962" s="2" t="n"/>
      <c r="J1962" t="inlineStr">
        <is>
          <t>Open</t>
        </is>
      </c>
      <c r="L1962" t="n">
        <v>16</v>
      </c>
      <c r="Q1962" t="b">
        <v>1</v>
      </c>
    </row>
    <row r="1963">
      <c r="A1963" t="inlineStr">
        <is>
          <t>REQ01962</t>
        </is>
      </c>
      <c r="B1963" t="inlineStr">
        <is>
          <t>213800DW8SI3ORBKF348</t>
        </is>
      </c>
      <c r="C1963" t="inlineStr">
        <is>
          <t>new_account</t>
        </is>
      </c>
      <c r="D1963" s="2" t="n">
        <v>46325.59583333333</v>
      </c>
      <c r="E1963" s="2" t="n">
        <v>46329.5125</v>
      </c>
      <c r="F1963" t="inlineStr">
        <is>
          <t>M6</t>
        </is>
      </c>
      <c r="G1963" t="inlineStr">
        <is>
          <t>C1</t>
        </is>
      </c>
      <c r="H1963" s="2" t="n">
        <v>46325.63472222222</v>
      </c>
      <c r="I1963" s="2" t="n">
        <v>46325.64791666667</v>
      </c>
      <c r="J1963" t="inlineStr">
        <is>
          <t>Completed</t>
        </is>
      </c>
      <c r="K1963" t="n">
        <v>1.25</v>
      </c>
      <c r="L1963" t="n">
        <v>16</v>
      </c>
      <c r="M1963" t="b">
        <v>0</v>
      </c>
      <c r="N1963" t="n">
        <v>0</v>
      </c>
      <c r="O1963" t="b">
        <v>1</v>
      </c>
      <c r="P1963" t="b">
        <v>0</v>
      </c>
      <c r="Q1963" t="b">
        <v>0</v>
      </c>
    </row>
    <row r="1964">
      <c r="A1964" t="inlineStr">
        <is>
          <t>REQ01963</t>
        </is>
      </c>
      <c r="B1964" t="inlineStr">
        <is>
          <t>724500KQBNE1V85UX769</t>
        </is>
      </c>
      <c r="C1964" t="inlineStr">
        <is>
          <t>document_refresh</t>
        </is>
      </c>
      <c r="D1964" s="2" t="n">
        <v>46325.6</v>
      </c>
      <c r="E1964" s="2" t="n">
        <v>46328.725</v>
      </c>
      <c r="F1964" t="inlineStr">
        <is>
          <t>M3</t>
        </is>
      </c>
      <c r="G1964" t="inlineStr">
        <is>
          <t>C2</t>
        </is>
      </c>
      <c r="H1964" s="2" t="n">
        <v>46325.6125</v>
      </c>
      <c r="I1964" s="2" t="n">
        <v>46325.61944444444</v>
      </c>
      <c r="J1964" t="inlineStr">
        <is>
          <t>Completed</t>
        </is>
      </c>
      <c r="K1964" t="n">
        <v>0.47</v>
      </c>
      <c r="L1964" t="n">
        <v>12</v>
      </c>
      <c r="M1964" t="b">
        <v>0</v>
      </c>
      <c r="N1964" t="n">
        <v>0</v>
      </c>
      <c r="O1964" t="b">
        <v>1</v>
      </c>
      <c r="P1964" t="b">
        <v>0</v>
      </c>
      <c r="Q1964" t="b">
        <v>0</v>
      </c>
    </row>
    <row r="1965">
      <c r="A1965" t="inlineStr">
        <is>
          <t>REQ01964</t>
        </is>
      </c>
      <c r="B1965" t="inlineStr">
        <is>
          <t>2549009UTNWRFTYYLS82</t>
        </is>
      </c>
      <c r="C1965" t="inlineStr">
        <is>
          <t>document_refresh</t>
        </is>
      </c>
      <c r="D1965" s="2" t="n">
        <v>46325.60694444444</v>
      </c>
      <c r="E1965" s="2" t="n">
        <v>46328.73194444444</v>
      </c>
      <c r="F1965" t="inlineStr">
        <is>
          <t>M2</t>
        </is>
      </c>
      <c r="G1965" t="inlineStr">
        <is>
          <t>C3</t>
        </is>
      </c>
      <c r="H1965" s="2" t="n">
        <v>46325.62430555555</v>
      </c>
      <c r="I1965" s="2" t="n">
        <v>46325.63125</v>
      </c>
      <c r="J1965" t="inlineStr">
        <is>
          <t>Completed</t>
        </is>
      </c>
      <c r="K1965" t="n">
        <v>0.58</v>
      </c>
      <c r="L1965" t="n">
        <v>12</v>
      </c>
      <c r="M1965" t="b">
        <v>0</v>
      </c>
      <c r="N1965" t="n">
        <v>0</v>
      </c>
      <c r="O1965" t="b">
        <v>1</v>
      </c>
      <c r="P1965" t="b">
        <v>0</v>
      </c>
      <c r="Q1965" t="b">
        <v>0</v>
      </c>
    </row>
    <row r="1966">
      <c r="A1966" t="inlineStr">
        <is>
          <t>REQ01965</t>
        </is>
      </c>
      <c r="B1966" t="inlineStr">
        <is>
          <t>9845009V1FBD05C83E19</t>
        </is>
      </c>
      <c r="C1966" t="inlineStr">
        <is>
          <t>new_account</t>
        </is>
      </c>
      <c r="D1966" s="2" t="n">
        <v>46325.60833333333</v>
      </c>
      <c r="E1966" s="2" t="n">
        <v>46329.525</v>
      </c>
      <c r="F1966" t="inlineStr">
        <is>
          <t>M1</t>
        </is>
      </c>
      <c r="G1966" t="inlineStr">
        <is>
          <t>C1</t>
        </is>
      </c>
      <c r="H1966" s="2" t="n">
        <v>46325.64722222222</v>
      </c>
      <c r="I1966" s="2" t="n"/>
      <c r="J1966" t="inlineStr">
        <is>
          <t>Open</t>
        </is>
      </c>
      <c r="L1966" t="n">
        <v>16</v>
      </c>
      <c r="Q1966" t="b">
        <v>1</v>
      </c>
    </row>
    <row r="1967">
      <c r="A1967" t="inlineStr">
        <is>
          <t>REQ01966</t>
        </is>
      </c>
      <c r="B1967" t="inlineStr">
        <is>
          <t>984500EKEBFD4BHB6933</t>
        </is>
      </c>
      <c r="C1967" t="inlineStr">
        <is>
          <t>new_account</t>
        </is>
      </c>
      <c r="D1967" s="2" t="n">
        <v>46325.60972222222</v>
      </c>
      <c r="E1967" s="2" t="n">
        <v>46329.52638888889</v>
      </c>
      <c r="F1967" t="inlineStr">
        <is>
          <t>M5</t>
        </is>
      </c>
      <c r="G1967" t="inlineStr">
        <is>
          <t>C1</t>
        </is>
      </c>
      <c r="H1967" s="2" t="n">
        <v>46325.64861111111</v>
      </c>
      <c r="I1967" s="2" t="n">
        <v>46325.65555555555</v>
      </c>
      <c r="J1967" t="inlineStr">
        <is>
          <t>Completed</t>
        </is>
      </c>
      <c r="K1967" t="n">
        <v>1.11</v>
      </c>
      <c r="L1967" t="n">
        <v>16</v>
      </c>
      <c r="M1967" t="b">
        <v>0</v>
      </c>
      <c r="N1967" t="n">
        <v>0</v>
      </c>
      <c r="O1967" t="b">
        <v>1</v>
      </c>
      <c r="P1967" t="b">
        <v>0</v>
      </c>
      <c r="Q1967" t="b">
        <v>0</v>
      </c>
    </row>
    <row r="1968">
      <c r="A1968" t="inlineStr">
        <is>
          <t>REQ01967</t>
        </is>
      </c>
      <c r="B1968" t="inlineStr">
        <is>
          <t>391200IMWO12OC3F1120</t>
        </is>
      </c>
      <c r="C1968" t="inlineStr">
        <is>
          <t>new_account</t>
        </is>
      </c>
      <c r="D1968" s="2" t="n">
        <v>46325.61180555556</v>
      </c>
      <c r="E1968" s="2" t="n">
        <v>46329.52847222222</v>
      </c>
      <c r="F1968" t="inlineStr">
        <is>
          <t>M3</t>
        </is>
      </c>
      <c r="G1968" t="inlineStr">
        <is>
          <t>C2</t>
        </is>
      </c>
      <c r="H1968" s="2" t="n">
        <v>46325.63680555556</v>
      </c>
      <c r="I1968" s="2" t="n">
        <v>46325.64722222222</v>
      </c>
      <c r="J1968" t="inlineStr">
        <is>
          <t>Completed</t>
        </is>
      </c>
      <c r="K1968" t="n">
        <v>0.84</v>
      </c>
      <c r="L1968" t="n">
        <v>16</v>
      </c>
      <c r="M1968" t="b">
        <v>0</v>
      </c>
      <c r="N1968" t="n">
        <v>0</v>
      </c>
      <c r="O1968" t="b">
        <v>1</v>
      </c>
      <c r="P1968" t="b">
        <v>0</v>
      </c>
      <c r="Q1968" t="b">
        <v>0</v>
      </c>
    </row>
    <row r="1969">
      <c r="A1969" t="inlineStr">
        <is>
          <t>REQ01968</t>
        </is>
      </c>
      <c r="B1969" t="inlineStr">
        <is>
          <t>6488U84R8Z5I8ZBY0278</t>
        </is>
      </c>
      <c r="C1969" t="inlineStr">
        <is>
          <t>new_account</t>
        </is>
      </c>
      <c r="D1969" s="2" t="n">
        <v>46325.6125</v>
      </c>
      <c r="E1969" s="2" t="n">
        <v>46329.52916666667</v>
      </c>
      <c r="F1969" t="inlineStr">
        <is>
          <t>M4</t>
        </is>
      </c>
      <c r="G1969" t="inlineStr">
        <is>
          <t>C2</t>
        </is>
      </c>
      <c r="H1969" s="2" t="n">
        <v>46325.66388888889</v>
      </c>
      <c r="I1969" s="2" t="n">
        <v>46325.67708333334</v>
      </c>
      <c r="J1969" t="inlineStr">
        <is>
          <t>Completed</t>
        </is>
      </c>
      <c r="K1969" t="n">
        <v>1.55</v>
      </c>
      <c r="L1969" t="n">
        <v>16</v>
      </c>
      <c r="M1969" t="b">
        <v>0</v>
      </c>
      <c r="N1969" t="n">
        <v>0</v>
      </c>
      <c r="O1969" t="b">
        <v>1</v>
      </c>
      <c r="P1969" t="b">
        <v>0</v>
      </c>
      <c r="Q1969" t="b">
        <v>0</v>
      </c>
    </row>
    <row r="1970">
      <c r="A1970" t="inlineStr">
        <is>
          <t>REQ01969</t>
        </is>
      </c>
      <c r="B1970" t="inlineStr">
        <is>
          <t>984500FC84D939858695</t>
        </is>
      </c>
      <c r="C1970" t="inlineStr">
        <is>
          <t>document_refresh</t>
        </is>
      </c>
      <c r="D1970" s="2" t="n">
        <v>46325.61319444444</v>
      </c>
      <c r="E1970" s="2" t="n">
        <v>46328.73819444444</v>
      </c>
      <c r="F1970" t="inlineStr">
        <is>
          <t>M2</t>
        </is>
      </c>
      <c r="G1970" t="inlineStr">
        <is>
          <t>C3</t>
        </is>
      </c>
      <c r="H1970" s="2" t="n">
        <v>46325.64166666667</v>
      </c>
      <c r="I1970" s="2" t="n">
        <v>46325.64722222222</v>
      </c>
      <c r="J1970" t="inlineStr">
        <is>
          <t>Completed</t>
        </is>
      </c>
      <c r="K1970" t="n">
        <v>0.82</v>
      </c>
      <c r="L1970" t="n">
        <v>12</v>
      </c>
      <c r="M1970" t="b">
        <v>0</v>
      </c>
      <c r="N1970" t="n">
        <v>0</v>
      </c>
      <c r="O1970" t="b">
        <v>1</v>
      </c>
      <c r="P1970" t="b">
        <v>0</v>
      </c>
      <c r="Q1970" t="b">
        <v>0</v>
      </c>
    </row>
    <row r="1971">
      <c r="A1971" t="inlineStr">
        <is>
          <t>REQ01970</t>
        </is>
      </c>
      <c r="B1971" t="inlineStr">
        <is>
          <t>33580068UF4PJ8DSE754</t>
        </is>
      </c>
      <c r="C1971" t="inlineStr">
        <is>
          <t>data_amendment</t>
        </is>
      </c>
      <c r="D1971" s="2" t="n">
        <v>46325.61666666667</v>
      </c>
      <c r="E1971" s="2" t="n">
        <v>46328.575</v>
      </c>
      <c r="F1971" t="inlineStr">
        <is>
          <t>M6</t>
        </is>
      </c>
      <c r="G1971" t="inlineStr">
        <is>
          <t>C2</t>
        </is>
      </c>
      <c r="H1971" s="2" t="n">
        <v>46325.64375</v>
      </c>
      <c r="I1971" s="2" t="n">
        <v>46325.65069444444</v>
      </c>
      <c r="J1971" t="inlineStr">
        <is>
          <t>Completed</t>
        </is>
      </c>
      <c r="K1971" t="n">
        <v>0.8100000000000001</v>
      </c>
      <c r="L1971" t="n">
        <v>8</v>
      </c>
      <c r="M1971" t="b">
        <v>0</v>
      </c>
      <c r="N1971" t="n">
        <v>0</v>
      </c>
      <c r="O1971" t="b">
        <v>1</v>
      </c>
      <c r="P1971" t="b">
        <v>0</v>
      </c>
      <c r="Q1971" t="b">
        <v>0</v>
      </c>
    </row>
    <row r="1972">
      <c r="A1972" t="inlineStr">
        <is>
          <t>REQ01971</t>
        </is>
      </c>
      <c r="B1972" t="inlineStr">
        <is>
          <t>5493007MO3WVGVPYES14</t>
        </is>
      </c>
      <c r="C1972" t="inlineStr">
        <is>
          <t>signatory_change</t>
        </is>
      </c>
      <c r="D1972" s="2" t="n">
        <v>46325.61736111111</v>
      </c>
      <c r="E1972" s="2" t="n">
        <v>46328.57569444444</v>
      </c>
      <c r="F1972" t="inlineStr">
        <is>
          <t>M3</t>
        </is>
      </c>
      <c r="G1972" t="inlineStr">
        <is>
          <t>C3</t>
        </is>
      </c>
      <c r="H1972" s="2" t="n">
        <v>46325.65763888889</v>
      </c>
      <c r="I1972" s="2" t="n"/>
      <c r="J1972" t="inlineStr">
        <is>
          <t>Open</t>
        </is>
      </c>
      <c r="L1972" t="n">
        <v>8</v>
      </c>
      <c r="Q1972" t="b">
        <v>1</v>
      </c>
    </row>
    <row r="1973">
      <c r="A1973" t="inlineStr">
        <is>
          <t>REQ01972</t>
        </is>
      </c>
      <c r="B1973" t="inlineStr">
        <is>
          <t>9845007BFCF368F96D71</t>
        </is>
      </c>
      <c r="C1973" t="inlineStr">
        <is>
          <t>signatory_change</t>
        </is>
      </c>
      <c r="D1973" s="2" t="n">
        <v>46325.62291666667</v>
      </c>
      <c r="E1973" s="2" t="n">
        <v>46328.58125</v>
      </c>
      <c r="F1973" t="inlineStr">
        <is>
          <t>M2</t>
        </is>
      </c>
      <c r="G1973" t="inlineStr">
        <is>
          <t>C1</t>
        </is>
      </c>
      <c r="H1973" s="2" t="n">
        <v>46325.66527777778</v>
      </c>
      <c r="I1973" s="2" t="n">
        <v>46325.67291666667</v>
      </c>
      <c r="J1973" t="inlineStr">
        <is>
          <t>Completed</t>
        </is>
      </c>
      <c r="K1973" t="n">
        <v>1.21</v>
      </c>
      <c r="L1973" t="n">
        <v>8</v>
      </c>
      <c r="M1973" t="b">
        <v>0</v>
      </c>
      <c r="N1973" t="n">
        <v>0</v>
      </c>
      <c r="O1973" t="b">
        <v>1</v>
      </c>
      <c r="P1973" t="b">
        <v>0</v>
      </c>
      <c r="Q1973" t="b">
        <v>0</v>
      </c>
    </row>
    <row r="1974">
      <c r="A1974" t="inlineStr">
        <is>
          <t>REQ01973</t>
        </is>
      </c>
      <c r="B1974" t="inlineStr">
        <is>
          <t>724500ZWIDWEEEVLF636</t>
        </is>
      </c>
      <c r="C1974" t="inlineStr">
        <is>
          <t>signatory_change</t>
        </is>
      </c>
      <c r="D1974" s="2" t="n">
        <v>46325.62986111111</v>
      </c>
      <c r="E1974" s="2" t="n">
        <v>46328.58819444444</v>
      </c>
      <c r="F1974" t="inlineStr">
        <is>
          <t>M6</t>
        </is>
      </c>
      <c r="G1974" t="inlineStr">
        <is>
          <t>C1</t>
        </is>
      </c>
      <c r="H1974" s="2" t="n">
        <v>46325.6625</v>
      </c>
      <c r="I1974" s="2" t="n">
        <v>46325.66805555556</v>
      </c>
      <c r="J1974" t="inlineStr">
        <is>
          <t>Completed</t>
        </is>
      </c>
      <c r="K1974" t="n">
        <v>0.92</v>
      </c>
      <c r="L1974" t="n">
        <v>8</v>
      </c>
      <c r="M1974" t="b">
        <v>0</v>
      </c>
      <c r="N1974" t="n">
        <v>0</v>
      </c>
      <c r="O1974" t="b">
        <v>1</v>
      </c>
      <c r="P1974" t="b">
        <v>0</v>
      </c>
      <c r="Q1974" t="b">
        <v>0</v>
      </c>
    </row>
    <row r="1975">
      <c r="A1975" t="inlineStr">
        <is>
          <t>REQ01974</t>
        </is>
      </c>
      <c r="B1975" t="inlineStr">
        <is>
          <t>335800NSIVUEIR6FJ268</t>
        </is>
      </c>
      <c r="C1975" t="inlineStr">
        <is>
          <t>new_account</t>
        </is>
      </c>
      <c r="D1975" s="2" t="n">
        <v>46325.63402777778</v>
      </c>
      <c r="E1975" s="2" t="n">
        <v>46329.55069444444</v>
      </c>
      <c r="F1975" t="inlineStr">
        <is>
          <t>M1</t>
        </is>
      </c>
      <c r="G1975" t="inlineStr">
        <is>
          <t>C2</t>
        </is>
      </c>
      <c r="H1975" s="2" t="n">
        <v>46325.67916666667</v>
      </c>
      <c r="I1975" s="2" t="n"/>
      <c r="J1975" t="inlineStr">
        <is>
          <t>Open</t>
        </is>
      </c>
      <c r="L1975" t="n">
        <v>16</v>
      </c>
      <c r="Q1975" t="b">
        <v>1</v>
      </c>
    </row>
    <row r="1976">
      <c r="A1976" t="inlineStr">
        <is>
          <t>REQ01975</t>
        </is>
      </c>
      <c r="B1976" t="inlineStr">
        <is>
          <t>254900NJOSEUHIQGYF69</t>
        </is>
      </c>
      <c r="C1976" t="inlineStr">
        <is>
          <t>document_refresh</t>
        </is>
      </c>
      <c r="D1976" s="2" t="n">
        <v>46325.63888888889</v>
      </c>
      <c r="E1976" s="2" t="n">
        <v>46329.38888888889</v>
      </c>
      <c r="F1976" t="inlineStr">
        <is>
          <t>M5</t>
        </is>
      </c>
      <c r="G1976" t="inlineStr">
        <is>
          <t>C3</t>
        </is>
      </c>
      <c r="H1976" s="2" t="n">
        <v>46325.66527777778</v>
      </c>
      <c r="I1976" s="2" t="n">
        <v>46325.67847222222</v>
      </c>
      <c r="J1976" t="inlineStr">
        <is>
          <t>Completed</t>
        </is>
      </c>
      <c r="K1976" t="n">
        <v>0.96</v>
      </c>
      <c r="L1976" t="n">
        <v>12</v>
      </c>
      <c r="M1976" t="b">
        <v>0</v>
      </c>
      <c r="N1976" t="n">
        <v>0</v>
      </c>
      <c r="O1976" t="b">
        <v>1</v>
      </c>
      <c r="P1976" t="b">
        <v>0</v>
      </c>
      <c r="Q1976" t="b">
        <v>0</v>
      </c>
    </row>
    <row r="1977">
      <c r="A1977" t="inlineStr">
        <is>
          <t>REQ01976</t>
        </is>
      </c>
      <c r="B1977" t="inlineStr">
        <is>
          <t>3358005OFE58DX7BK626</t>
        </is>
      </c>
      <c r="C1977" t="inlineStr">
        <is>
          <t>document_refresh</t>
        </is>
      </c>
      <c r="D1977" s="2" t="n">
        <v>46325.64097222222</v>
      </c>
      <c r="E1977" s="2" t="n">
        <v>46329.39097222222</v>
      </c>
      <c r="F1977" t="inlineStr">
        <is>
          <t>M3</t>
        </is>
      </c>
      <c r="G1977" t="inlineStr">
        <is>
          <t>C1</t>
        </is>
      </c>
      <c r="H1977" s="2" t="n">
        <v>46325.67152777778</v>
      </c>
      <c r="I1977" s="2" t="n">
        <v>46325.68680555555</v>
      </c>
      <c r="J1977" t="inlineStr">
        <is>
          <t>Completed</t>
        </is>
      </c>
      <c r="K1977" t="n">
        <v>1.11</v>
      </c>
      <c r="L1977" t="n">
        <v>12</v>
      </c>
      <c r="M1977" t="b">
        <v>0</v>
      </c>
      <c r="N1977" t="n">
        <v>0</v>
      </c>
      <c r="O1977" t="b">
        <v>1</v>
      </c>
      <c r="P1977" t="b">
        <v>0</v>
      </c>
      <c r="Q1977" t="b">
        <v>0</v>
      </c>
    </row>
    <row r="1978">
      <c r="A1978" t="inlineStr">
        <is>
          <t>REQ01977</t>
        </is>
      </c>
      <c r="B1978" t="inlineStr">
        <is>
          <t>5299007PVHRXHMGHHE98</t>
        </is>
      </c>
      <c r="C1978" t="inlineStr">
        <is>
          <t>new_account</t>
        </is>
      </c>
      <c r="D1978" s="2" t="n">
        <v>46325.64583333334</v>
      </c>
      <c r="E1978" s="2" t="n">
        <v>46329.5625</v>
      </c>
      <c r="F1978" t="inlineStr">
        <is>
          <t>M6</t>
        </is>
      </c>
      <c r="G1978" t="inlineStr">
        <is>
          <t>C1</t>
        </is>
      </c>
      <c r="H1978" s="2" t="n">
        <v>46325.7</v>
      </c>
      <c r="I1978" s="2" t="n"/>
      <c r="J1978" t="inlineStr">
        <is>
          <t>Open</t>
        </is>
      </c>
      <c r="L1978" t="n">
        <v>16</v>
      </c>
      <c r="Q1978" t="b">
        <v>1</v>
      </c>
    </row>
    <row r="1979">
      <c r="A1979" t="inlineStr">
        <is>
          <t>REQ01978</t>
        </is>
      </c>
      <c r="B1979" t="inlineStr">
        <is>
          <t>549300QTYCKLMFSE8I97</t>
        </is>
      </c>
      <c r="C1979" t="inlineStr">
        <is>
          <t>document_refresh</t>
        </is>
      </c>
      <c r="D1979" s="2" t="n">
        <v>46325.65</v>
      </c>
      <c r="E1979" s="2" t="n">
        <v>46329.4</v>
      </c>
      <c r="F1979" t="inlineStr">
        <is>
          <t>M4</t>
        </is>
      </c>
      <c r="G1979" t="inlineStr">
        <is>
          <t>C2</t>
        </is>
      </c>
      <c r="H1979" s="2" t="n">
        <v>46325.675</v>
      </c>
      <c r="I1979" s="2" t="n">
        <v>46325.69513888889</v>
      </c>
      <c r="J1979" t="inlineStr">
        <is>
          <t>Completed</t>
        </is>
      </c>
      <c r="K1979" t="n">
        <v>1.09</v>
      </c>
      <c r="L1979" t="n">
        <v>12</v>
      </c>
      <c r="M1979" t="b">
        <v>0</v>
      </c>
      <c r="N1979" t="n">
        <v>0</v>
      </c>
      <c r="O1979" t="b">
        <v>1</v>
      </c>
      <c r="P1979" t="b">
        <v>0</v>
      </c>
      <c r="Q1979" t="b">
        <v>0</v>
      </c>
    </row>
    <row r="1980">
      <c r="A1980" t="inlineStr">
        <is>
          <t>REQ01979</t>
        </is>
      </c>
      <c r="B1980" t="inlineStr">
        <is>
          <t>50670008Z198L91UYD95</t>
        </is>
      </c>
      <c r="C1980" t="inlineStr">
        <is>
          <t>document_refresh</t>
        </is>
      </c>
      <c r="D1980" s="2" t="n">
        <v>46325.65625</v>
      </c>
      <c r="E1980" s="2" t="n">
        <v>46329.40625</v>
      </c>
      <c r="F1980" t="inlineStr">
        <is>
          <t>M2</t>
        </is>
      </c>
      <c r="G1980" t="inlineStr">
        <is>
          <t>C3</t>
        </is>
      </c>
      <c r="H1980" s="2" t="n">
        <v>46325.68055555555</v>
      </c>
      <c r="I1980" s="2" t="n"/>
      <c r="J1980" t="inlineStr">
        <is>
          <t>Open</t>
        </is>
      </c>
      <c r="L1980" t="n">
        <v>12</v>
      </c>
      <c r="Q1980" t="b">
        <v>1</v>
      </c>
    </row>
    <row r="1981">
      <c r="A1981" t="inlineStr">
        <is>
          <t>REQ01980</t>
        </is>
      </c>
      <c r="B1981" t="inlineStr">
        <is>
          <t>5493002441KMPN2RF456</t>
        </is>
      </c>
      <c r="C1981" t="inlineStr">
        <is>
          <t>data_amendment</t>
        </is>
      </c>
      <c r="D1981" s="2" t="n">
        <v>46325.65625</v>
      </c>
      <c r="E1981" s="2" t="n">
        <v>46328.61458333334</v>
      </c>
      <c r="F1981" t="inlineStr">
        <is>
          <t>M5</t>
        </is>
      </c>
      <c r="G1981" t="inlineStr">
        <is>
          <t>C3</t>
        </is>
      </c>
      <c r="H1981" s="2" t="n">
        <v>46325.67638888889</v>
      </c>
      <c r="I1981" s="2" t="n"/>
      <c r="J1981" t="inlineStr">
        <is>
          <t>Open</t>
        </is>
      </c>
      <c r="L1981" t="n">
        <v>8</v>
      </c>
      <c r="Q1981" t="b">
        <v>1</v>
      </c>
    </row>
    <row r="1982">
      <c r="A1982" t="inlineStr">
        <is>
          <t>REQ01981</t>
        </is>
      </c>
      <c r="B1982" t="inlineStr">
        <is>
          <t>1DCOC38Y51QCUN4ZWE81</t>
        </is>
      </c>
      <c r="C1982" t="inlineStr">
        <is>
          <t>signatory_change</t>
        </is>
      </c>
      <c r="D1982" s="2" t="n">
        <v>46325.66180555556</v>
      </c>
      <c r="E1982" s="2" t="n">
        <v>46328.62013888889</v>
      </c>
      <c r="F1982" t="inlineStr">
        <is>
          <t>M3</t>
        </is>
      </c>
      <c r="G1982" t="inlineStr">
        <is>
          <t>C2</t>
        </is>
      </c>
      <c r="H1982" s="2" t="n">
        <v>46325.69236111111</v>
      </c>
      <c r="I1982" s="2" t="n">
        <v>46325.70416666667</v>
      </c>
      <c r="J1982" t="inlineStr">
        <is>
          <t>Completed</t>
        </is>
      </c>
      <c r="K1982" t="n">
        <v>1.02</v>
      </c>
      <c r="L1982" t="n">
        <v>8</v>
      </c>
      <c r="M1982" t="b">
        <v>0</v>
      </c>
      <c r="N1982" t="n">
        <v>0</v>
      </c>
      <c r="O1982" t="b">
        <v>1</v>
      </c>
      <c r="P1982" t="b">
        <v>0</v>
      </c>
      <c r="Q1982" t="b">
        <v>0</v>
      </c>
    </row>
    <row r="1983">
      <c r="A1983" t="inlineStr">
        <is>
          <t>REQ01982</t>
        </is>
      </c>
      <c r="B1983" t="inlineStr">
        <is>
          <t>969500QU7802NFICSS55</t>
        </is>
      </c>
      <c r="C1983" t="inlineStr">
        <is>
          <t>document_refresh</t>
        </is>
      </c>
      <c r="D1983" s="2" t="n">
        <v>46325.66388888889</v>
      </c>
      <c r="E1983" s="2" t="n">
        <v>46329.41388888889</v>
      </c>
      <c r="F1983" t="inlineStr">
        <is>
          <t>M4</t>
        </is>
      </c>
      <c r="G1983" t="inlineStr">
        <is>
          <t>C3</t>
        </is>
      </c>
      <c r="H1983" s="2" t="n">
        <v>46325.68958333333</v>
      </c>
      <c r="I1983" s="2" t="n"/>
      <c r="J1983" t="inlineStr">
        <is>
          <t>Open</t>
        </is>
      </c>
      <c r="L1983" t="n">
        <v>12</v>
      </c>
      <c r="Q1983" t="b">
        <v>1</v>
      </c>
    </row>
    <row r="1984">
      <c r="A1984" t="inlineStr">
        <is>
          <t>REQ01983</t>
        </is>
      </c>
      <c r="B1984" t="inlineStr">
        <is>
          <t>984500BE584593865820</t>
        </is>
      </c>
      <c r="C1984" t="inlineStr">
        <is>
          <t>data_amendment</t>
        </is>
      </c>
      <c r="D1984" s="2" t="n">
        <v>46325.67291666667</v>
      </c>
      <c r="E1984" s="2" t="n">
        <v>46328.63125</v>
      </c>
      <c r="F1984" t="inlineStr">
        <is>
          <t>M5</t>
        </is>
      </c>
      <c r="G1984" t="inlineStr">
        <is>
          <t>C3</t>
        </is>
      </c>
      <c r="H1984" s="2" t="n">
        <v>46325.68958333333</v>
      </c>
      <c r="I1984" s="2" t="n"/>
      <c r="J1984" t="inlineStr">
        <is>
          <t>Open</t>
        </is>
      </c>
      <c r="L1984" t="n">
        <v>8</v>
      </c>
      <c r="Q1984" t="b">
        <v>1</v>
      </c>
    </row>
    <row r="1985">
      <c r="A1985" t="inlineStr">
        <is>
          <t>REQ01984</t>
        </is>
      </c>
      <c r="B1985" t="inlineStr">
        <is>
          <t>6488CQ2Z387WH2O36B78</t>
        </is>
      </c>
      <c r="C1985" t="inlineStr">
        <is>
          <t>signatory_change</t>
        </is>
      </c>
      <c r="D1985" s="2" t="n">
        <v>46325.67847222222</v>
      </c>
      <c r="E1985" s="2" t="n">
        <v>46328.63680555556</v>
      </c>
      <c r="F1985" t="inlineStr">
        <is>
          <t>M1</t>
        </is>
      </c>
      <c r="G1985" t="inlineStr">
        <is>
          <t>C1</t>
        </is>
      </c>
      <c r="H1985" s="2" t="n">
        <v>46325.69583333333</v>
      </c>
      <c r="I1985" s="2" t="n">
        <v>46325.70208333333</v>
      </c>
      <c r="J1985" t="inlineStr">
        <is>
          <t>Completed</t>
        </is>
      </c>
      <c r="K1985" t="n">
        <v>0.57</v>
      </c>
      <c r="L1985" t="n">
        <v>8</v>
      </c>
      <c r="M1985" t="b">
        <v>0</v>
      </c>
      <c r="N1985" t="n">
        <v>0</v>
      </c>
      <c r="O1985" t="b">
        <v>1</v>
      </c>
      <c r="P1985" t="b">
        <v>0</v>
      </c>
      <c r="Q1985" t="b">
        <v>0</v>
      </c>
    </row>
    <row r="1986">
      <c r="A1986" t="inlineStr">
        <is>
          <t>REQ01985</t>
        </is>
      </c>
      <c r="B1986" t="inlineStr">
        <is>
          <t>52990001MRCN0SKVUG51</t>
        </is>
      </c>
      <c r="C1986" t="inlineStr">
        <is>
          <t>data_amendment</t>
        </is>
      </c>
      <c r="D1986" s="2" t="n">
        <v>46325.67986111111</v>
      </c>
      <c r="E1986" s="2" t="n">
        <v>46328.63819444444</v>
      </c>
      <c r="F1986" t="inlineStr">
        <is>
          <t>M2</t>
        </is>
      </c>
      <c r="G1986" t="inlineStr">
        <is>
          <t>C3</t>
        </is>
      </c>
      <c r="H1986" s="2" t="n">
        <v>46325.68819444445</v>
      </c>
      <c r="I1986" s="2" t="n">
        <v>46325.69861111111</v>
      </c>
      <c r="J1986" t="inlineStr">
        <is>
          <t>Completed</t>
        </is>
      </c>
      <c r="K1986" t="n">
        <v>0.44</v>
      </c>
      <c r="L1986" t="n">
        <v>8</v>
      </c>
      <c r="M1986" t="b">
        <v>0</v>
      </c>
      <c r="N1986" t="n">
        <v>0</v>
      </c>
      <c r="O1986" t="b">
        <v>1</v>
      </c>
      <c r="P1986" t="b">
        <v>0</v>
      </c>
      <c r="Q1986" t="b">
        <v>0</v>
      </c>
    </row>
    <row r="1987">
      <c r="A1987" t="inlineStr">
        <is>
          <t>REQ01986</t>
        </is>
      </c>
      <c r="B1987" t="inlineStr">
        <is>
          <t>2138004AJ1E9JFCXYM85</t>
        </is>
      </c>
      <c r="C1987" t="inlineStr">
        <is>
          <t>new_account</t>
        </is>
      </c>
      <c r="D1987" s="2" t="n">
        <v>46325.68125</v>
      </c>
      <c r="E1987" s="2" t="n">
        <v>46329.59791666667</v>
      </c>
      <c r="F1987" t="inlineStr">
        <is>
          <t>M2</t>
        </is>
      </c>
      <c r="G1987" t="inlineStr">
        <is>
          <t>C1</t>
        </is>
      </c>
      <c r="H1987" s="2" t="n">
        <v>46325.725</v>
      </c>
      <c r="I1987" s="2" t="n">
        <v>46325.73611111111</v>
      </c>
      <c r="J1987" t="inlineStr">
        <is>
          <t>Completed</t>
        </is>
      </c>
      <c r="K1987" t="n">
        <v>1.31</v>
      </c>
      <c r="L1987" t="n">
        <v>16</v>
      </c>
      <c r="M1987" t="b">
        <v>0</v>
      </c>
      <c r="N1987" t="n">
        <v>0</v>
      </c>
      <c r="O1987" t="b">
        <v>1</v>
      </c>
      <c r="P1987" t="b">
        <v>0</v>
      </c>
      <c r="Q1987" t="b">
        <v>0</v>
      </c>
    </row>
    <row r="1988">
      <c r="A1988" t="inlineStr">
        <is>
          <t>REQ01987</t>
        </is>
      </c>
      <c r="B1988" t="inlineStr">
        <is>
          <t>335800GEDQ8JG9L2O364</t>
        </is>
      </c>
      <c r="C1988" t="inlineStr">
        <is>
          <t>signatory_change</t>
        </is>
      </c>
      <c r="D1988" s="2" t="n">
        <v>46325.68194444444</v>
      </c>
      <c r="E1988" s="2" t="n">
        <v>46328.64027777778</v>
      </c>
      <c r="F1988" t="inlineStr">
        <is>
          <t>M4</t>
        </is>
      </c>
      <c r="G1988" t="inlineStr">
        <is>
          <t>C3</t>
        </is>
      </c>
      <c r="H1988" s="2" t="n">
        <v>46325.70416666667</v>
      </c>
      <c r="I1988" s="2" t="n">
        <v>46325.72638888889</v>
      </c>
      <c r="J1988" t="inlineStr">
        <is>
          <t>Completed</t>
        </is>
      </c>
      <c r="K1988" t="n">
        <v>1.06</v>
      </c>
      <c r="L1988" t="n">
        <v>8</v>
      </c>
      <c r="M1988" t="b">
        <v>0</v>
      </c>
      <c r="N1988" t="n">
        <v>1</v>
      </c>
      <c r="O1988" t="b">
        <v>0</v>
      </c>
      <c r="P1988" t="b">
        <v>1</v>
      </c>
      <c r="Q1988" t="b">
        <v>0</v>
      </c>
    </row>
    <row r="1989">
      <c r="A1989" t="inlineStr">
        <is>
          <t>REQ01988</t>
        </is>
      </c>
      <c r="B1989" t="inlineStr">
        <is>
          <t>549300OLPHCJ2151YK93</t>
        </is>
      </c>
      <c r="C1989" t="inlineStr">
        <is>
          <t>data_amendment</t>
        </is>
      </c>
      <c r="D1989" s="2" t="n">
        <v>46325.68263888889</v>
      </c>
      <c r="E1989" s="2" t="n">
        <v>46328.64097222222</v>
      </c>
      <c r="F1989" t="inlineStr">
        <is>
          <t>M5</t>
        </is>
      </c>
      <c r="G1989" t="inlineStr">
        <is>
          <t>C3</t>
        </is>
      </c>
      <c r="H1989" s="2" t="n">
        <v>46325.70138888889</v>
      </c>
      <c r="I1989" s="2" t="n"/>
      <c r="J1989" t="inlineStr">
        <is>
          <t>Open</t>
        </is>
      </c>
      <c r="L1989" t="n">
        <v>8</v>
      </c>
      <c r="Q1989" t="b">
        <v>1</v>
      </c>
    </row>
    <row r="1990">
      <c r="A1990" t="inlineStr">
        <is>
          <t>REQ01989</t>
        </is>
      </c>
      <c r="B1990" t="inlineStr">
        <is>
          <t>984500A60E7FEB0DE421</t>
        </is>
      </c>
      <c r="C1990" t="inlineStr">
        <is>
          <t>signatory_change</t>
        </is>
      </c>
      <c r="D1990" s="2" t="n">
        <v>46325.70069444444</v>
      </c>
      <c r="E1990" s="2" t="n">
        <v>46328.65902777778</v>
      </c>
      <c r="F1990" t="inlineStr">
        <is>
          <t>M3</t>
        </is>
      </c>
      <c r="G1990" t="inlineStr">
        <is>
          <t>C2</t>
        </is>
      </c>
      <c r="H1990" s="2" t="n">
        <v>46325.71597222222</v>
      </c>
      <c r="I1990" s="2" t="n">
        <v>46325.72222222222</v>
      </c>
      <c r="J1990" t="inlineStr">
        <is>
          <t>Completed</t>
        </is>
      </c>
      <c r="K1990" t="n">
        <v>0.52</v>
      </c>
      <c r="L1990" t="n">
        <v>8</v>
      </c>
      <c r="M1990" t="b">
        <v>0</v>
      </c>
      <c r="N1990" t="n">
        <v>0</v>
      </c>
      <c r="O1990" t="b">
        <v>1</v>
      </c>
      <c r="P1990" t="b">
        <v>0</v>
      </c>
      <c r="Q1990" t="b">
        <v>0</v>
      </c>
    </row>
    <row r="1991">
      <c r="A1991" t="inlineStr">
        <is>
          <t>REQ01990</t>
        </is>
      </c>
      <c r="B1991" t="inlineStr">
        <is>
          <t>335800M4C2Z9DHLEX348</t>
        </is>
      </c>
      <c r="C1991" t="inlineStr">
        <is>
          <t>document_refresh</t>
        </is>
      </c>
      <c r="D1991" s="2" t="n">
        <v>46325.70625</v>
      </c>
      <c r="E1991" s="2" t="n">
        <v>46329.45625</v>
      </c>
      <c r="F1991" t="inlineStr">
        <is>
          <t>M1</t>
        </is>
      </c>
      <c r="G1991" t="inlineStr">
        <is>
          <t>C3</t>
        </is>
      </c>
      <c r="H1991" s="2" t="n">
        <v>46325.72013888889</v>
      </c>
      <c r="I1991" s="2" t="n">
        <v>46325.72708333333</v>
      </c>
      <c r="J1991" t="inlineStr">
        <is>
          <t>Completed</t>
        </is>
      </c>
      <c r="K1991" t="n">
        <v>0.51</v>
      </c>
      <c r="L1991" t="n">
        <v>12</v>
      </c>
      <c r="M1991" t="b">
        <v>0</v>
      </c>
      <c r="N1991" t="n">
        <v>0</v>
      </c>
      <c r="O1991" t="b">
        <v>1</v>
      </c>
      <c r="P1991" t="b">
        <v>0</v>
      </c>
      <c r="Q1991" t="b">
        <v>0</v>
      </c>
    </row>
    <row r="1992">
      <c r="A1992" t="inlineStr">
        <is>
          <t>REQ01991</t>
        </is>
      </c>
      <c r="B1992" t="inlineStr">
        <is>
          <t>549300AV0OY3BL4FCI17</t>
        </is>
      </c>
      <c r="C1992" t="inlineStr">
        <is>
          <t>data_amendment</t>
        </is>
      </c>
      <c r="D1992" s="2" t="n">
        <v>46325.70833333334</v>
      </c>
      <c r="E1992" s="2" t="n">
        <v>46328.66666666666</v>
      </c>
      <c r="F1992" t="inlineStr">
        <is>
          <t>M6</t>
        </is>
      </c>
      <c r="G1992" t="inlineStr">
        <is>
          <t>C3</t>
        </is>
      </c>
      <c r="H1992" s="2" t="n">
        <v>46325.71875</v>
      </c>
      <c r="I1992" s="2" t="n"/>
      <c r="J1992" t="inlineStr">
        <is>
          <t>Open</t>
        </is>
      </c>
      <c r="L1992" t="n">
        <v>8</v>
      </c>
      <c r="Q1992" t="b">
        <v>1</v>
      </c>
    </row>
    <row r="1993">
      <c r="A1993" t="inlineStr">
        <is>
          <t>REQ01992</t>
        </is>
      </c>
      <c r="B1993" t="inlineStr">
        <is>
          <t>894500TUKEC8EPWLFA33</t>
        </is>
      </c>
      <c r="C1993" t="inlineStr">
        <is>
          <t>document_refresh</t>
        </is>
      </c>
      <c r="D1993" s="2" t="n">
        <v>46325.71180555555</v>
      </c>
      <c r="E1993" s="2" t="n">
        <v>46329.46180555555</v>
      </c>
      <c r="F1993" t="inlineStr">
        <is>
          <t>M5</t>
        </is>
      </c>
      <c r="G1993" t="inlineStr">
        <is>
          <t>C3</t>
        </is>
      </c>
      <c r="H1993" s="2" t="n">
        <v>46325.72569444445</v>
      </c>
      <c r="I1993" s="2" t="n">
        <v>46325.73194444444</v>
      </c>
      <c r="J1993" t="inlineStr">
        <is>
          <t>Completed</t>
        </is>
      </c>
      <c r="K1993" t="n">
        <v>0.48</v>
      </c>
      <c r="L1993" t="n">
        <v>12</v>
      </c>
      <c r="M1993" t="b">
        <v>0</v>
      </c>
      <c r="N1993" t="n">
        <v>0</v>
      </c>
      <c r="O1993" t="b">
        <v>1</v>
      </c>
      <c r="P1993" t="b">
        <v>0</v>
      </c>
      <c r="Q1993" t="b">
        <v>0</v>
      </c>
    </row>
    <row r="1994">
      <c r="A1994" t="inlineStr">
        <is>
          <t>REQ01993</t>
        </is>
      </c>
      <c r="B1994" t="inlineStr">
        <is>
          <t>984500EDFN84D96I8O92</t>
        </is>
      </c>
      <c r="C1994" t="inlineStr">
        <is>
          <t>data_amendment</t>
        </is>
      </c>
      <c r="D1994" s="2" t="n">
        <v>46325.71805555555</v>
      </c>
      <c r="E1994" s="2" t="n">
        <v>46328.67638888889</v>
      </c>
      <c r="F1994" t="inlineStr">
        <is>
          <t>M4</t>
        </is>
      </c>
      <c r="G1994" t="inlineStr">
        <is>
          <t>C2</t>
        </is>
      </c>
      <c r="H1994" s="2" t="n">
        <v>46325.72569444445</v>
      </c>
      <c r="I1994" s="2" t="n">
        <v>46325.72986111111</v>
      </c>
      <c r="J1994" t="inlineStr">
        <is>
          <t>Completed</t>
        </is>
      </c>
      <c r="K1994" t="n">
        <v>0.29</v>
      </c>
      <c r="L1994" t="n">
        <v>8</v>
      </c>
      <c r="M1994" t="b">
        <v>0</v>
      </c>
      <c r="N1994" t="n">
        <v>0</v>
      </c>
      <c r="O1994" t="b">
        <v>1</v>
      </c>
      <c r="P1994" t="b">
        <v>0</v>
      </c>
      <c r="Q1994" t="b">
        <v>0</v>
      </c>
    </row>
    <row r="1995">
      <c r="A1995" t="inlineStr">
        <is>
          <t>REQ01994</t>
        </is>
      </c>
      <c r="B1995" t="inlineStr">
        <is>
          <t>969500Y0PO8A4ZK7MV72</t>
        </is>
      </c>
      <c r="C1995" t="inlineStr">
        <is>
          <t>signatory_change</t>
        </is>
      </c>
      <c r="D1995" s="2" t="n">
        <v>46325.71944444445</v>
      </c>
      <c r="E1995" s="2" t="n">
        <v>46328.67777777778</v>
      </c>
      <c r="F1995" t="inlineStr">
        <is>
          <t>M3</t>
        </is>
      </c>
      <c r="G1995" t="inlineStr">
        <is>
          <t>C3</t>
        </is>
      </c>
      <c r="H1995" s="2" t="n">
        <v>46325.74305555555</v>
      </c>
      <c r="I1995" s="2" t="n"/>
      <c r="J1995" t="inlineStr">
        <is>
          <t>Open</t>
        </is>
      </c>
      <c r="L1995" t="n">
        <v>8</v>
      </c>
      <c r="Q1995" t="b">
        <v>0</v>
      </c>
    </row>
    <row r="1996">
      <c r="A1996" t="inlineStr">
        <is>
          <t>REQ01995</t>
        </is>
      </c>
      <c r="B1996" t="inlineStr">
        <is>
          <t>213800RAZ3PCDZRQY754</t>
        </is>
      </c>
      <c r="C1996" t="inlineStr">
        <is>
          <t>data_amendment</t>
        </is>
      </c>
      <c r="D1996" s="2" t="n">
        <v>46325.73263888889</v>
      </c>
      <c r="E1996" s="2" t="n">
        <v>46328.69097222222</v>
      </c>
      <c r="F1996" t="inlineStr">
        <is>
          <t>M6</t>
        </is>
      </c>
      <c r="G1996" t="inlineStr">
        <is>
          <t>C1</t>
        </is>
      </c>
      <c r="H1996" s="2" t="n">
        <v>46325.74305555555</v>
      </c>
      <c r="I1996" s="2" t="n"/>
      <c r="J1996" t="inlineStr">
        <is>
          <t>Open</t>
        </is>
      </c>
      <c r="L1996" t="n">
        <v>8</v>
      </c>
      <c r="Q1996" t="b">
        <v>1</v>
      </c>
    </row>
    <row r="1997">
      <c r="A1997" t="inlineStr">
        <is>
          <t>REQ01996</t>
        </is>
      </c>
      <c r="B1997" t="inlineStr">
        <is>
          <t>984500E0E961A441E336</t>
        </is>
      </c>
      <c r="C1997" t="inlineStr">
        <is>
          <t>document_refresh</t>
        </is>
      </c>
      <c r="D1997" s="2" t="n">
        <v>46325.74375</v>
      </c>
      <c r="E1997" s="2" t="n">
        <v>46329.49375</v>
      </c>
      <c r="F1997" t="inlineStr">
        <is>
          <t>M1</t>
        </is>
      </c>
      <c r="G1997" t="inlineStr">
        <is>
          <t>C1</t>
        </is>
      </c>
      <c r="H1997" s="2" t="n"/>
      <c r="I1997" s="2" t="n"/>
      <c r="J1997" t="inlineStr">
        <is>
          <t>Open</t>
        </is>
      </c>
      <c r="L1997" t="n">
        <v>12</v>
      </c>
      <c r="Q1997" t="b">
        <v>0</v>
      </c>
    </row>
    <row r="1998">
      <c r="A1998" t="inlineStr">
        <is>
          <t>REQ01997</t>
        </is>
      </c>
      <c r="B1998" t="inlineStr">
        <is>
          <t>391200ENLZPO0V3JSZ83</t>
        </is>
      </c>
      <c r="C1998" t="inlineStr">
        <is>
          <t>signatory_change</t>
        </is>
      </c>
      <c r="D1998" s="2" t="n">
        <v>46325.74444444444</v>
      </c>
      <c r="E1998" s="2" t="n">
        <v>46328.70277777778</v>
      </c>
      <c r="F1998" t="inlineStr">
        <is>
          <t>M2</t>
        </is>
      </c>
      <c r="G1998" t="inlineStr">
        <is>
          <t>C1</t>
        </is>
      </c>
      <c r="H1998" s="2" t="n"/>
      <c r="I1998" s="2" t="n"/>
      <c r="J1998" t="inlineStr">
        <is>
          <t>Open</t>
        </is>
      </c>
      <c r="L1998" t="n">
        <v>8</v>
      </c>
      <c r="Q1998" t="b">
        <v>0</v>
      </c>
    </row>
    <row r="1999">
      <c r="A1999" t="inlineStr">
        <is>
          <t>REQ01998</t>
        </is>
      </c>
      <c r="B1999" t="inlineStr">
        <is>
          <t>894500V7OTTOZ93W5N62</t>
        </is>
      </c>
      <c r="C1999" t="inlineStr">
        <is>
          <t>document_refresh</t>
        </is>
      </c>
      <c r="D1999" s="2" t="n">
        <v>46325.74513888889</v>
      </c>
      <c r="E1999" s="2" t="n">
        <v>46329.49513888889</v>
      </c>
      <c r="F1999" t="inlineStr">
        <is>
          <t>M4</t>
        </is>
      </c>
      <c r="G1999" t="inlineStr">
        <is>
          <t>C2</t>
        </is>
      </c>
      <c r="H1999" s="2" t="n"/>
      <c r="I1999" s="2" t="n"/>
      <c r="J1999" t="inlineStr">
        <is>
          <t>Open</t>
        </is>
      </c>
      <c r="L1999" t="n">
        <v>12</v>
      </c>
      <c r="Q1999" t="b">
        <v>0</v>
      </c>
    </row>
    <row r="2000">
      <c r="A2000" t="inlineStr">
        <is>
          <t>REQ01999</t>
        </is>
      </c>
      <c r="B2000" t="inlineStr">
        <is>
          <t>549300SMVYUX870L9836</t>
        </is>
      </c>
      <c r="C2000" t="inlineStr">
        <is>
          <t>document_refresh</t>
        </is>
      </c>
      <c r="D2000" s="2" t="n">
        <v>46325.74791666667</v>
      </c>
      <c r="E2000" s="2" t="n">
        <v>46329.49791666667</v>
      </c>
      <c r="F2000" t="inlineStr">
        <is>
          <t>M5</t>
        </is>
      </c>
      <c r="G2000" t="inlineStr">
        <is>
          <t>C2</t>
        </is>
      </c>
      <c r="H2000" s="2" t="n"/>
      <c r="I2000" s="2" t="n"/>
      <c r="J2000" t="inlineStr">
        <is>
          <t>Open</t>
        </is>
      </c>
      <c r="L2000" t="n">
        <v>12</v>
      </c>
      <c r="Q2000" t="b">
        <v>0</v>
      </c>
    </row>
    <row r="2001">
      <c r="A2001" t="inlineStr">
        <is>
          <t>REQ02000</t>
        </is>
      </c>
      <c r="B2001" t="inlineStr">
        <is>
          <t>3OQOCPKUZCQOP7F5Z687</t>
        </is>
      </c>
      <c r="C2001" t="inlineStr">
        <is>
          <t>document_refresh</t>
        </is>
      </c>
      <c r="D2001" s="2" t="n">
        <v>46325.74930555555</v>
      </c>
      <c r="E2001" s="2" t="n">
        <v>46329.49930555555</v>
      </c>
      <c r="F2001" t="inlineStr">
        <is>
          <t>M3</t>
        </is>
      </c>
      <c r="G2001" t="inlineStr">
        <is>
          <t>C2</t>
        </is>
      </c>
      <c r="H2001" s="2" t="n"/>
      <c r="I2001" s="2" t="n"/>
      <c r="J2001" t="inlineStr">
        <is>
          <t>Open</t>
        </is>
      </c>
      <c r="L2001" t="n">
        <v>12</v>
      </c>
      <c r="Q2001" t="b">
        <v>0</v>
      </c>
    </row>
  </sheetData>
  <pageMargins left="0.75" right="0.75" top="1" bottom="1" header="0.5" footer="0.5"/>
  <headerFooter>
    <oddHeader/>
    <oddFooter>&amp;CSimulated workflow on real GLEIF entity data. Not Citi data.</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4.4"/>
  <sheetData>
    <row r="1">
      <c r="A1" t="inlineStr">
        <is>
          <t>error_code</t>
        </is>
      </c>
      <c r="B1" t="inlineStr">
        <is>
          <t>description</t>
        </is>
      </c>
    </row>
    <row r="2">
      <c r="A2" t="inlineStr">
        <is>
          <t>R08</t>
        </is>
      </c>
      <c r="B2" t="inlineStr">
        <is>
          <t>Required document missing</t>
        </is>
      </c>
    </row>
    <row r="3">
      <c r="A3" t="inlineStr">
        <is>
          <t>R09</t>
        </is>
      </c>
      <c r="B3" t="inlineStr">
        <is>
          <t>Document expired</t>
        </is>
      </c>
    </row>
    <row r="4">
      <c r="A4" t="inlineStr">
        <is>
          <t>R10</t>
        </is>
      </c>
      <c r="B4" t="inlineStr">
        <is>
          <t>Signatory authority evidence missing</t>
        </is>
      </c>
    </row>
    <row r="5">
      <c r="A5" t="inlineStr">
        <is>
          <t>R11</t>
        </is>
      </c>
      <c r="B5" t="inlineStr">
        <is>
          <t>Form name differs from registry name</t>
        </is>
      </c>
    </row>
    <row r="6">
      <c r="A6" t="inlineStr">
        <is>
          <t>R12</t>
        </is>
      </c>
      <c r="B6" t="inlineStr">
        <is>
          <t>Data entry 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pane ySplit="3" topLeftCell="A4" activePane="bottomLeft" state="frozen"/>
      <selection pane="bottomLeft" activeCell="A1" sqref="A1"/>
    </sheetView>
  </sheetViews>
  <sheetFormatPr baseColWidth="8" defaultRowHeight="14.4"/>
  <cols>
    <col width="14" customWidth="1" min="1" max="1"/>
    <col width="18" customWidth="1" min="2" max="4"/>
    <col width="10" customWidth="1" min="5" max="5"/>
    <col width="11" customWidth="1" min="6" max="6"/>
    <col width="16" customWidth="1" min="7" max="7"/>
    <col width="18" customWidth="1" min="8" max="8"/>
  </cols>
  <sheetData>
    <row r="1">
      <c r="A1" t="inlineStr">
        <is>
          <t>Simulation clock</t>
        </is>
      </c>
      <c r="B1" s="2" t="n">
        <v>46325.75</v>
      </c>
      <c r="C1" t="inlineStr">
        <is>
          <t>Hours left = calendar hours to due time. Priority bands are my assumption.</t>
        </is>
      </c>
    </row>
    <row r="3">
      <c r="A3" s="3" t="inlineStr">
        <is>
          <t>request_id</t>
        </is>
      </c>
      <c r="B3" s="3" t="inlineStr">
        <is>
          <t>request_type</t>
        </is>
      </c>
      <c r="C3" s="3" t="inlineStr">
        <is>
          <t>received_ts</t>
        </is>
      </c>
      <c r="D3" s="3" t="inlineStr">
        <is>
          <t>due_ts</t>
        </is>
      </c>
      <c r="E3" s="3" t="inlineStr">
        <is>
          <t>maker_id</t>
        </is>
      </c>
      <c r="F3" s="3" t="inlineStr">
        <is>
          <t>hours_left</t>
        </is>
      </c>
      <c r="G3" s="3" t="inlineStr">
        <is>
          <t>priority_band</t>
        </is>
      </c>
      <c r="H3" s="3" t="inlineStr">
        <is>
          <t>action_status</t>
        </is>
      </c>
    </row>
    <row r="4">
      <c r="A4" t="inlineStr">
        <is>
          <t>REQ01971</t>
        </is>
      </c>
      <c r="B4" t="inlineStr">
        <is>
          <t>signatory_change</t>
        </is>
      </c>
      <c r="C4" s="2" t="n">
        <v>46325.61736111111</v>
      </c>
      <c r="D4" s="2" t="n">
        <v>46328.57569444444</v>
      </c>
      <c r="E4" t="inlineStr">
        <is>
          <t>M3</t>
        </is>
      </c>
      <c r="F4" s="4">
        <f>(D4-$B$1)*24</f>
        <v/>
      </c>
      <c r="G4">
        <f>IF(F4&lt;0,"P0 Overdue",IF(F4&lt;24,"P1 under 24h",IF(F4&lt;72,"P2 under 72h","P3 later")))</f>
        <v/>
      </c>
      <c r="H4" t="inlineStr">
        <is>
          <t>Not started</t>
        </is>
      </c>
    </row>
    <row r="5">
      <c r="A5" t="inlineStr">
        <is>
          <t>REQ01980</t>
        </is>
      </c>
      <c r="B5" t="inlineStr">
        <is>
          <t>data_amendment</t>
        </is>
      </c>
      <c r="C5" s="2" t="n">
        <v>46325.65625</v>
      </c>
      <c r="D5" s="2" t="n">
        <v>46328.61458333334</v>
      </c>
      <c r="E5" t="inlineStr">
        <is>
          <t>M5</t>
        </is>
      </c>
      <c r="F5" s="4">
        <f>(D5-$B$1)*24</f>
        <v/>
      </c>
      <c r="G5">
        <f>IF(F5&lt;0,"P0 Overdue",IF(F5&lt;24,"P1 under 24h",IF(F5&lt;72,"P2 under 72h","P3 later")))</f>
        <v/>
      </c>
      <c r="H5" t="inlineStr">
        <is>
          <t>Not started</t>
        </is>
      </c>
    </row>
    <row r="6">
      <c r="A6" t="inlineStr">
        <is>
          <t>REQ01983</t>
        </is>
      </c>
      <c r="B6" t="inlineStr">
        <is>
          <t>data_amendment</t>
        </is>
      </c>
      <c r="C6" s="2" t="n">
        <v>46325.67291666667</v>
      </c>
      <c r="D6" s="2" t="n">
        <v>46328.63125</v>
      </c>
      <c r="E6" t="inlineStr">
        <is>
          <t>M5</t>
        </is>
      </c>
      <c r="F6" s="4">
        <f>(D6-$B$1)*24</f>
        <v/>
      </c>
      <c r="G6">
        <f>IF(F6&lt;0,"P0 Overdue",IF(F6&lt;24,"P1 under 24h",IF(F6&lt;72,"P2 under 72h","P3 later")))</f>
        <v/>
      </c>
      <c r="H6" t="inlineStr">
        <is>
          <t>Not started</t>
        </is>
      </c>
    </row>
    <row r="7">
      <c r="A7" t="inlineStr">
        <is>
          <t>REQ01988</t>
        </is>
      </c>
      <c r="B7" t="inlineStr">
        <is>
          <t>data_amendment</t>
        </is>
      </c>
      <c r="C7" s="2" t="n">
        <v>46325.68263888889</v>
      </c>
      <c r="D7" s="2" t="n">
        <v>46328.64097222222</v>
      </c>
      <c r="E7" t="inlineStr">
        <is>
          <t>M5</t>
        </is>
      </c>
      <c r="F7" s="4">
        <f>(D7-$B$1)*24</f>
        <v/>
      </c>
      <c r="G7">
        <f>IF(F7&lt;0,"P0 Overdue",IF(F7&lt;24,"P1 under 24h",IF(F7&lt;72,"P2 under 72h","P3 later")))</f>
        <v/>
      </c>
      <c r="H7" t="inlineStr">
        <is>
          <t>Not started</t>
        </is>
      </c>
    </row>
    <row r="8">
      <c r="A8" t="inlineStr">
        <is>
          <t>REQ01991</t>
        </is>
      </c>
      <c r="B8" t="inlineStr">
        <is>
          <t>data_amendment</t>
        </is>
      </c>
      <c r="C8" s="2" t="n">
        <v>46325.70833333334</v>
      </c>
      <c r="D8" s="2" t="n">
        <v>46328.66666666666</v>
      </c>
      <c r="E8" t="inlineStr">
        <is>
          <t>M6</t>
        </is>
      </c>
      <c r="F8" s="4">
        <f>(D8-$B$1)*24</f>
        <v/>
      </c>
      <c r="G8">
        <f>IF(F8&lt;0,"P0 Overdue",IF(F8&lt;24,"P1 under 24h",IF(F8&lt;72,"P2 under 72h","P3 later")))</f>
        <v/>
      </c>
      <c r="H8" t="inlineStr">
        <is>
          <t>Not started</t>
        </is>
      </c>
    </row>
    <row r="9">
      <c r="A9" t="inlineStr">
        <is>
          <t>REQ01994</t>
        </is>
      </c>
      <c r="B9" t="inlineStr">
        <is>
          <t>signatory_change</t>
        </is>
      </c>
      <c r="C9" s="2" t="n">
        <v>46325.71944444445</v>
      </c>
      <c r="D9" s="2" t="n">
        <v>46328.67777777778</v>
      </c>
      <c r="E9" t="inlineStr">
        <is>
          <t>M3</t>
        </is>
      </c>
      <c r="F9" s="4">
        <f>(D9-$B$1)*24</f>
        <v/>
      </c>
      <c r="G9">
        <f>IF(F9&lt;0,"P0 Overdue",IF(F9&lt;24,"P1 under 24h",IF(F9&lt;72,"P2 under 72h","P3 later")))</f>
        <v/>
      </c>
      <c r="H9" t="inlineStr">
        <is>
          <t>Not started</t>
        </is>
      </c>
    </row>
    <row r="10">
      <c r="A10" t="inlineStr">
        <is>
          <t>REQ01995</t>
        </is>
      </c>
      <c r="B10" t="inlineStr">
        <is>
          <t>data_amendment</t>
        </is>
      </c>
      <c r="C10" s="2" t="n">
        <v>46325.73263888889</v>
      </c>
      <c r="D10" s="2" t="n">
        <v>46328.69097222222</v>
      </c>
      <c r="E10" t="inlineStr">
        <is>
          <t>M6</t>
        </is>
      </c>
      <c r="F10" s="4">
        <f>(D10-$B$1)*24</f>
        <v/>
      </c>
      <c r="G10">
        <f>IF(F10&lt;0,"P0 Overdue",IF(F10&lt;24,"P1 under 24h",IF(F10&lt;72,"P2 under 72h","P3 later")))</f>
        <v/>
      </c>
      <c r="H10" t="inlineStr">
        <is>
          <t>Not started</t>
        </is>
      </c>
    </row>
    <row r="11">
      <c r="A11" t="inlineStr">
        <is>
          <t>REQ01997</t>
        </is>
      </c>
      <c r="B11" t="inlineStr">
        <is>
          <t>signatory_change</t>
        </is>
      </c>
      <c r="C11" s="2" t="n">
        <v>46325.74444444444</v>
      </c>
      <c r="D11" s="2" t="n">
        <v>46328.70277777778</v>
      </c>
      <c r="E11" t="inlineStr">
        <is>
          <t>M2</t>
        </is>
      </c>
      <c r="F11" s="4">
        <f>(D11-$B$1)*24</f>
        <v/>
      </c>
      <c r="G11">
        <f>IF(F11&lt;0,"P0 Overdue",IF(F11&lt;24,"P1 under 24h",IF(F11&lt;72,"P2 under 72h","P3 later")))</f>
        <v/>
      </c>
      <c r="H11" t="inlineStr">
        <is>
          <t>Not started</t>
        </is>
      </c>
    </row>
    <row r="12">
      <c r="A12" t="inlineStr">
        <is>
          <t>REQ01979</t>
        </is>
      </c>
      <c r="B12" t="inlineStr">
        <is>
          <t>document_refresh</t>
        </is>
      </c>
      <c r="C12" s="2" t="n">
        <v>46325.65625</v>
      </c>
      <c r="D12" s="2" t="n">
        <v>46329.40625</v>
      </c>
      <c r="E12" t="inlineStr">
        <is>
          <t>M2</t>
        </is>
      </c>
      <c r="F12" s="4">
        <f>(D12-$B$1)*24</f>
        <v/>
      </c>
      <c r="G12">
        <f>IF(F12&lt;0,"P0 Overdue",IF(F12&lt;24,"P1 under 24h",IF(F12&lt;72,"P2 under 72h","P3 later")))</f>
        <v/>
      </c>
      <c r="H12" t="inlineStr">
        <is>
          <t>Not started</t>
        </is>
      </c>
    </row>
    <row r="13">
      <c r="A13" t="inlineStr">
        <is>
          <t>REQ01982</t>
        </is>
      </c>
      <c r="B13" t="inlineStr">
        <is>
          <t>document_refresh</t>
        </is>
      </c>
      <c r="C13" s="2" t="n">
        <v>46325.66388888889</v>
      </c>
      <c r="D13" s="2" t="n">
        <v>46329.41388888889</v>
      </c>
      <c r="E13" t="inlineStr">
        <is>
          <t>M4</t>
        </is>
      </c>
      <c r="F13" s="4">
        <f>(D13-$B$1)*24</f>
        <v/>
      </c>
      <c r="G13">
        <f>IF(F13&lt;0,"P0 Overdue",IF(F13&lt;24,"P1 under 24h",IF(F13&lt;72,"P2 under 72h","P3 later")))</f>
        <v/>
      </c>
      <c r="H13" t="inlineStr">
        <is>
          <t>Not started</t>
        </is>
      </c>
    </row>
    <row r="14">
      <c r="A14" t="inlineStr">
        <is>
          <t>REQ01951</t>
        </is>
      </c>
      <c r="B14" t="inlineStr">
        <is>
          <t>new_account</t>
        </is>
      </c>
      <c r="C14" s="2" t="n">
        <v>46325.52569444444</v>
      </c>
      <c r="D14" s="2" t="n">
        <v>46329.44236111111</v>
      </c>
      <c r="E14" t="inlineStr">
        <is>
          <t>M1</t>
        </is>
      </c>
      <c r="F14" s="4">
        <f>(D14-$B$1)*24</f>
        <v/>
      </c>
      <c r="G14">
        <f>IF(F14&lt;0,"P0 Overdue",IF(F14&lt;24,"P1 under 24h",IF(F14&lt;72,"P2 under 72h","P3 later")))</f>
        <v/>
      </c>
      <c r="H14" t="inlineStr">
        <is>
          <t>Not started</t>
        </is>
      </c>
    </row>
    <row r="15">
      <c r="A15" t="inlineStr">
        <is>
          <t>REQ01957</t>
        </is>
      </c>
      <c r="B15" t="inlineStr">
        <is>
          <t>new_account</t>
        </is>
      </c>
      <c r="C15" s="2" t="n">
        <v>46325.55069444444</v>
      </c>
      <c r="D15" s="2" t="n">
        <v>46329.46736111111</v>
      </c>
      <c r="E15" t="inlineStr">
        <is>
          <t>M5</t>
        </is>
      </c>
      <c r="F15" s="4">
        <f>(D15-$B$1)*24</f>
        <v/>
      </c>
      <c r="G15">
        <f>IF(F15&lt;0,"P0 Overdue",IF(F15&lt;24,"P1 under 24h",IF(F15&lt;72,"P2 under 72h","P3 later")))</f>
        <v/>
      </c>
      <c r="H15" t="inlineStr">
        <is>
          <t>Not started</t>
        </is>
      </c>
    </row>
    <row r="16">
      <c r="A16" t="inlineStr">
        <is>
          <t>REQ01996</t>
        </is>
      </c>
      <c r="B16" t="inlineStr">
        <is>
          <t>document_refresh</t>
        </is>
      </c>
      <c r="C16" s="2" t="n">
        <v>46325.74375</v>
      </c>
      <c r="D16" s="2" t="n">
        <v>46329.49375</v>
      </c>
      <c r="E16" t="inlineStr">
        <is>
          <t>M1</t>
        </is>
      </c>
      <c r="F16" s="4">
        <f>(D16-$B$1)*24</f>
        <v/>
      </c>
      <c r="G16">
        <f>IF(F16&lt;0,"P0 Overdue",IF(F16&lt;24,"P1 under 24h",IF(F16&lt;72,"P2 under 72h","P3 later")))</f>
        <v/>
      </c>
      <c r="H16" t="inlineStr">
        <is>
          <t>Not started</t>
        </is>
      </c>
    </row>
    <row r="17">
      <c r="A17" t="inlineStr">
        <is>
          <t>REQ01998</t>
        </is>
      </c>
      <c r="B17" t="inlineStr">
        <is>
          <t>document_refresh</t>
        </is>
      </c>
      <c r="C17" s="2" t="n">
        <v>46325.74513888889</v>
      </c>
      <c r="D17" s="2" t="n">
        <v>46329.49513888889</v>
      </c>
      <c r="E17" t="inlineStr">
        <is>
          <t>M4</t>
        </is>
      </c>
      <c r="F17" s="4">
        <f>(D17-$B$1)*24</f>
        <v/>
      </c>
      <c r="G17">
        <f>IF(F17&lt;0,"P0 Overdue",IF(F17&lt;24,"P1 under 24h",IF(F17&lt;72,"P2 under 72h","P3 later")))</f>
        <v/>
      </c>
      <c r="H17" t="inlineStr">
        <is>
          <t>Not started</t>
        </is>
      </c>
    </row>
    <row r="18">
      <c r="A18" t="inlineStr">
        <is>
          <t>REQ01999</t>
        </is>
      </c>
      <c r="B18" t="inlineStr">
        <is>
          <t>document_refresh</t>
        </is>
      </c>
      <c r="C18" s="2" t="n">
        <v>46325.74791666667</v>
      </c>
      <c r="D18" s="2" t="n">
        <v>46329.49791666667</v>
      </c>
      <c r="E18" t="inlineStr">
        <is>
          <t>M5</t>
        </is>
      </c>
      <c r="F18" s="4">
        <f>(D18-$B$1)*24</f>
        <v/>
      </c>
      <c r="G18">
        <f>IF(F18&lt;0,"P0 Overdue",IF(F18&lt;24,"P1 under 24h",IF(F18&lt;72,"P2 under 72h","P3 later")))</f>
        <v/>
      </c>
      <c r="H18" t="inlineStr">
        <is>
          <t>Not started</t>
        </is>
      </c>
    </row>
    <row r="19">
      <c r="A19" t="inlineStr">
        <is>
          <t>REQ02000</t>
        </is>
      </c>
      <c r="B19" t="inlineStr">
        <is>
          <t>document_refresh</t>
        </is>
      </c>
      <c r="C19" s="2" t="n">
        <v>46325.74930555555</v>
      </c>
      <c r="D19" s="2" t="n">
        <v>46329.49930555555</v>
      </c>
      <c r="E19" t="inlineStr">
        <is>
          <t>M3</t>
        </is>
      </c>
      <c r="F19" s="4">
        <f>(D19-$B$1)*24</f>
        <v/>
      </c>
      <c r="G19">
        <f>IF(F19&lt;0,"P0 Overdue",IF(F19&lt;24,"P1 under 24h",IF(F19&lt;72,"P2 under 72h","P3 later")))</f>
        <v/>
      </c>
      <c r="H19" t="inlineStr">
        <is>
          <t>Not started</t>
        </is>
      </c>
    </row>
    <row r="20">
      <c r="A20" t="inlineStr">
        <is>
          <t>REQ01961</t>
        </is>
      </c>
      <c r="B20" t="inlineStr">
        <is>
          <t>new_account</t>
        </is>
      </c>
      <c r="C20" s="2" t="n">
        <v>46325.58402777778</v>
      </c>
      <c r="D20" s="2" t="n">
        <v>46329.50069444445</v>
      </c>
      <c r="E20" t="inlineStr">
        <is>
          <t>M4</t>
        </is>
      </c>
      <c r="F20" s="4">
        <f>(D20-$B$1)*24</f>
        <v/>
      </c>
      <c r="G20">
        <f>IF(F20&lt;0,"P0 Overdue",IF(F20&lt;24,"P1 under 24h",IF(F20&lt;72,"P2 under 72h","P3 later")))</f>
        <v/>
      </c>
      <c r="H20" t="inlineStr">
        <is>
          <t>Not started</t>
        </is>
      </c>
    </row>
    <row r="21">
      <c r="A21" t="inlineStr">
        <is>
          <t>REQ01965</t>
        </is>
      </c>
      <c r="B21" t="inlineStr">
        <is>
          <t>new_account</t>
        </is>
      </c>
      <c r="C21" s="2" t="n">
        <v>46325.60833333333</v>
      </c>
      <c r="D21" s="2" t="n">
        <v>46329.525</v>
      </c>
      <c r="E21" t="inlineStr">
        <is>
          <t>M1</t>
        </is>
      </c>
      <c r="F21" s="4">
        <f>(D21-$B$1)*24</f>
        <v/>
      </c>
      <c r="G21">
        <f>IF(F21&lt;0,"P0 Overdue",IF(F21&lt;24,"P1 under 24h",IF(F21&lt;72,"P2 under 72h","P3 later")))</f>
        <v/>
      </c>
      <c r="H21" t="inlineStr">
        <is>
          <t>Not started</t>
        </is>
      </c>
    </row>
    <row r="22">
      <c r="A22" t="inlineStr">
        <is>
          <t>REQ01974</t>
        </is>
      </c>
      <c r="B22" t="inlineStr">
        <is>
          <t>new_account</t>
        </is>
      </c>
      <c r="C22" s="2" t="n">
        <v>46325.63402777778</v>
      </c>
      <c r="D22" s="2" t="n">
        <v>46329.55069444444</v>
      </c>
      <c r="E22" t="inlineStr">
        <is>
          <t>M1</t>
        </is>
      </c>
      <c r="F22" s="4">
        <f>(D22-$B$1)*24</f>
        <v/>
      </c>
      <c r="G22">
        <f>IF(F22&lt;0,"P0 Overdue",IF(F22&lt;24,"P1 under 24h",IF(F22&lt;72,"P2 under 72h","P3 later")))</f>
        <v/>
      </c>
      <c r="H22" t="inlineStr">
        <is>
          <t>Not started</t>
        </is>
      </c>
    </row>
    <row r="23">
      <c r="A23" t="inlineStr">
        <is>
          <t>REQ01977</t>
        </is>
      </c>
      <c r="B23" t="inlineStr">
        <is>
          <t>new_account</t>
        </is>
      </c>
      <c r="C23" s="2" t="n">
        <v>46325.64583333334</v>
      </c>
      <c r="D23" s="2" t="n">
        <v>46329.5625</v>
      </c>
      <c r="E23" t="inlineStr">
        <is>
          <t>M6</t>
        </is>
      </c>
      <c r="F23" s="4">
        <f>(D23-$B$1)*24</f>
        <v/>
      </c>
      <c r="G23">
        <f>IF(F23&lt;0,"P0 Overdue",IF(F23&lt;24,"P1 under 24h",IF(F23&lt;72,"P2 under 72h","P3 later")))</f>
        <v/>
      </c>
      <c r="H23" t="inlineStr">
        <is>
          <t>Not started</t>
        </is>
      </c>
    </row>
  </sheetData>
  <autoFilter ref="A3:H23"/>
  <conditionalFormatting sqref="F4:F23">
    <cfRule type="cellIs" priority="1" operator="lessThan" dxfId="0">
      <formula>0</formula>
    </cfRule>
    <cfRule type="cellIs" priority="2" operator="lessThan" dxfId="15">
      <formula>24</formula>
    </cfRule>
  </conditionalFormatting>
  <dataValidations count="1">
    <dataValidation sqref="H4:H23" showDropDown="0" showInputMessage="0" showErrorMessage="0" allowBlank="1" type="list">
      <formula1>"Not started,In progress,Waiting on client,Done"</formula1>
    </dataValidation>
  </dataValidations>
  <pageMargins left="0.75" right="0.75" top="1" bottom="1" header="0.5" footer="0.5"/>
  <headerFooter>
    <oddHeader/>
    <oddFooter>&amp;CSimulated workflow on real GLEIF entity data. Not Citi data.</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D3" sqref="D3"/>
    </sheetView>
  </sheetViews>
  <sheetFormatPr baseColWidth="8" defaultRowHeight="14.4"/>
  <cols>
    <col width="14" customWidth="1" min="1" max="6"/>
    <col width="20" customWidth="1" min="7" max="8"/>
    <col width="14.44140625" customWidth="1" min="9" max="9"/>
  </cols>
  <sheetData>
    <row r="1">
      <c r="A1" s="3" t="inlineStr">
        <is>
          <t>log_id</t>
        </is>
      </c>
      <c r="B1" s="3" t="inlineStr">
        <is>
          <t>request_id</t>
        </is>
      </c>
      <c r="C1" s="3" t="inlineStr">
        <is>
          <t>maker_id</t>
        </is>
      </c>
      <c r="D1" s="3" t="inlineStr">
        <is>
          <t>checker_id</t>
        </is>
      </c>
      <c r="E1" s="3" t="inlineStr">
        <is>
          <t>result</t>
        </is>
      </c>
      <c r="F1" s="3" t="inlineStr">
        <is>
          <t>error_code</t>
        </is>
      </c>
      <c r="G1" s="3" t="inlineStr">
        <is>
          <t>checked_ts</t>
        </is>
      </c>
      <c r="H1" s="3" t="inlineStr">
        <is>
          <t>comment</t>
        </is>
      </c>
      <c r="I1" s="10" t="inlineStr">
        <is>
          <t>flag</t>
        </is>
      </c>
    </row>
    <row r="2">
      <c r="A2" t="inlineStr">
        <is>
          <t>LOG0001</t>
        </is>
      </c>
      <c r="B2" t="inlineStr">
        <is>
          <t>REQ01971</t>
        </is>
      </c>
      <c r="C2">
        <f>IF(B2="","",IFERROR(INDEX(Data_Requests!$F$2:$F$2001,MATCH(B2,Data_Requests!$A$2:$A$2001,0)),""))</f>
        <v/>
      </c>
      <c r="G2" s="2" t="n"/>
      <c r="I2">
        <f>IF(AND(C2&lt;&gt;"",D2&lt;&gt;"",C2=D2),"CHECK: maker equals checker","")</f>
        <v/>
      </c>
    </row>
    <row r="3">
      <c r="A3" t="inlineStr">
        <is>
          <t>LOG0002</t>
        </is>
      </c>
      <c r="B3" t="inlineStr">
        <is>
          <t>REQ01980</t>
        </is>
      </c>
      <c r="C3">
        <f>IF(B3="","",IFERROR(INDEX(Data_Requests!$F$2:$F$2001,MATCH(B3,Data_Requests!$A$2:$A$2001,0)),""))</f>
        <v/>
      </c>
      <c r="G3" s="2" t="n"/>
      <c r="I3">
        <f>IF(AND(C3&lt;&gt;"",D3&lt;&gt;"",C3=D3),"CHECK: maker equals checker","")</f>
        <v/>
      </c>
    </row>
    <row r="4">
      <c r="A4" t="inlineStr">
        <is>
          <t>LOG0003</t>
        </is>
      </c>
      <c r="B4" t="inlineStr">
        <is>
          <t>REQ01983</t>
        </is>
      </c>
      <c r="C4">
        <f>IF(B4="","",IFERROR(INDEX(Data_Requests!$F$2:$F$2001,MATCH(B4,Data_Requests!$A$2:$A$2001,0)),""))</f>
        <v/>
      </c>
      <c r="G4" s="2" t="n"/>
      <c r="I4">
        <f>IF(AND(C4&lt;&gt;"",D4&lt;&gt;"",C4=D4),"CHECK: maker equals checker","")</f>
        <v/>
      </c>
    </row>
    <row r="5">
      <c r="A5" t="inlineStr">
        <is>
          <t>LOG0004</t>
        </is>
      </c>
      <c r="B5" t="inlineStr">
        <is>
          <t>REQ01988</t>
        </is>
      </c>
      <c r="C5">
        <f>IF(B5="","",IFERROR(INDEX(Data_Requests!$F$2:$F$2001,MATCH(B5,Data_Requests!$A$2:$A$2001,0)),""))</f>
        <v/>
      </c>
      <c r="G5" s="2" t="n"/>
      <c r="I5">
        <f>IF(AND(C5&lt;&gt;"",D5&lt;&gt;"",C5=D5),"CHECK: maker equals checker","")</f>
        <v/>
      </c>
    </row>
    <row r="6">
      <c r="A6" t="inlineStr">
        <is>
          <t>LOG0005</t>
        </is>
      </c>
      <c r="B6" t="inlineStr">
        <is>
          <t>REQ01991</t>
        </is>
      </c>
      <c r="C6">
        <f>IF(B6="","",IFERROR(INDEX(Data_Requests!$F$2:$F$2001,MATCH(B6,Data_Requests!$A$2:$A$2001,0)),""))</f>
        <v/>
      </c>
      <c r="G6" s="2" t="n"/>
      <c r="I6">
        <f>IF(AND(C6&lt;&gt;"",D6&lt;&gt;"",C6=D6),"CHECK: maker equals checker","")</f>
        <v/>
      </c>
    </row>
    <row r="7">
      <c r="A7" t="inlineStr">
        <is>
          <t>LOG0006</t>
        </is>
      </c>
      <c r="B7" t="inlineStr">
        <is>
          <t>REQ01994</t>
        </is>
      </c>
      <c r="C7">
        <f>IF(B7="","",IFERROR(INDEX(Data_Requests!$F$2:$F$2001,MATCH(B7,Data_Requests!$A$2:$A$2001,0)),""))</f>
        <v/>
      </c>
      <c r="G7" s="2" t="n"/>
      <c r="I7">
        <f>IF(AND(C7&lt;&gt;"",D7&lt;&gt;"",C7=D7),"CHECK: maker equals checker","")</f>
        <v/>
      </c>
    </row>
    <row r="8">
      <c r="A8" t="inlineStr">
        <is>
          <t>LOG0007</t>
        </is>
      </c>
      <c r="B8" t="inlineStr">
        <is>
          <t>REQ01995</t>
        </is>
      </c>
      <c r="C8">
        <f>IF(B8="","",IFERROR(INDEX(Data_Requests!$F$2:$F$2001,MATCH(B8,Data_Requests!$A$2:$A$2001,0)),""))</f>
        <v/>
      </c>
      <c r="G8" s="2" t="n"/>
      <c r="I8">
        <f>IF(AND(C8&lt;&gt;"",D8&lt;&gt;"",C8=D8),"CHECK: maker equals checker","")</f>
        <v/>
      </c>
    </row>
    <row r="9">
      <c r="A9" t="inlineStr">
        <is>
          <t>LOG0008</t>
        </is>
      </c>
      <c r="B9" t="inlineStr">
        <is>
          <t>REQ01997</t>
        </is>
      </c>
      <c r="C9">
        <f>IF(B9="","",IFERROR(INDEX(Data_Requests!$F$2:$F$2001,MATCH(B9,Data_Requests!$A$2:$A$2001,0)),""))</f>
        <v/>
      </c>
      <c r="G9" s="2" t="n"/>
      <c r="I9">
        <f>IF(AND(C9&lt;&gt;"",D9&lt;&gt;"",C9=D9),"CHECK: maker equals checker","")</f>
        <v/>
      </c>
    </row>
    <row r="10">
      <c r="A10" t="inlineStr">
        <is>
          <t>LOG0009</t>
        </is>
      </c>
      <c r="B10" t="inlineStr">
        <is>
          <t>REQ01979</t>
        </is>
      </c>
      <c r="C10">
        <f>IF(B10="","",IFERROR(INDEX(Data_Requests!$F$2:$F$2001,MATCH(B10,Data_Requests!$A$2:$A$2001,0)),""))</f>
        <v/>
      </c>
      <c r="G10" s="2" t="n"/>
      <c r="I10">
        <f>IF(AND(C10&lt;&gt;"",D10&lt;&gt;"",C10=D10),"CHECK: maker equals checker","")</f>
        <v/>
      </c>
    </row>
    <row r="11">
      <c r="A11" t="inlineStr">
        <is>
          <t>LOG0010</t>
        </is>
      </c>
      <c r="B11" t="inlineStr">
        <is>
          <t>REQ01982</t>
        </is>
      </c>
      <c r="C11">
        <f>IF(B11="","",IFERROR(INDEX(Data_Requests!$F$2:$F$2001,MATCH(B11,Data_Requests!$A$2:$A$2001,0)),""))</f>
        <v/>
      </c>
      <c r="G11" s="2" t="n"/>
      <c r="I11">
        <f>IF(AND(C11&lt;&gt;"",D11&lt;&gt;"",C11=D11),"CHECK: maker equals checker","")</f>
        <v/>
      </c>
    </row>
    <row r="12">
      <c r="A12" t="inlineStr">
        <is>
          <t>LOG0011</t>
        </is>
      </c>
      <c r="B12" t="inlineStr">
        <is>
          <t>REQ01951</t>
        </is>
      </c>
      <c r="C12">
        <f>IF(B12="","",IFERROR(INDEX(Data_Requests!$F$2:$F$2001,MATCH(B12,Data_Requests!$A$2:$A$2001,0)),""))</f>
        <v/>
      </c>
      <c r="G12" s="2" t="n"/>
      <c r="I12">
        <f>IF(AND(C12&lt;&gt;"",D12&lt;&gt;"",C12=D12),"CHECK: maker equals checker","")</f>
        <v/>
      </c>
    </row>
    <row r="13">
      <c r="A13" t="inlineStr">
        <is>
          <t>LOG0012</t>
        </is>
      </c>
      <c r="B13" t="inlineStr">
        <is>
          <t>REQ01957</t>
        </is>
      </c>
      <c r="C13">
        <f>IF(B13="","",IFERROR(INDEX(Data_Requests!$F$2:$F$2001,MATCH(B13,Data_Requests!$A$2:$A$2001,0)),""))</f>
        <v/>
      </c>
      <c r="G13" s="2" t="n"/>
      <c r="I13">
        <f>IF(AND(C13&lt;&gt;"",D13&lt;&gt;"",C13=D13),"CHECK: maker equals checker","")</f>
        <v/>
      </c>
    </row>
    <row r="14">
      <c r="A14" t="inlineStr">
        <is>
          <t>LOG0013</t>
        </is>
      </c>
      <c r="B14" t="inlineStr">
        <is>
          <t>REQ01996</t>
        </is>
      </c>
      <c r="C14">
        <f>IF(B14="","",IFERROR(INDEX(Data_Requests!$F$2:$F$2001,MATCH(B14,Data_Requests!$A$2:$A$2001,0)),""))</f>
        <v/>
      </c>
      <c r="G14" s="2" t="n"/>
      <c r="I14">
        <f>IF(AND(C14&lt;&gt;"",D14&lt;&gt;"",C14=D14),"CHECK: maker equals checker","")</f>
        <v/>
      </c>
    </row>
    <row r="15">
      <c r="A15" t="inlineStr">
        <is>
          <t>LOG0014</t>
        </is>
      </c>
      <c r="B15" t="inlineStr">
        <is>
          <t>REQ01998</t>
        </is>
      </c>
      <c r="C15">
        <f>IF(B15="","",IFERROR(INDEX(Data_Requests!$F$2:$F$2001,MATCH(B15,Data_Requests!$A$2:$A$2001,0)),""))</f>
        <v/>
      </c>
      <c r="G15" s="2" t="n"/>
      <c r="I15">
        <f>IF(AND(C15&lt;&gt;"",D15&lt;&gt;"",C15=D15),"CHECK: maker equals checker","")</f>
        <v/>
      </c>
    </row>
    <row r="16">
      <c r="A16" t="inlineStr">
        <is>
          <t>LOG0015</t>
        </is>
      </c>
      <c r="B16" t="inlineStr">
        <is>
          <t>REQ01999</t>
        </is>
      </c>
      <c r="C16">
        <f>IF(B16="","",IFERROR(INDEX(Data_Requests!$F$2:$F$2001,MATCH(B16,Data_Requests!$A$2:$A$2001,0)),""))</f>
        <v/>
      </c>
      <c r="G16" s="2" t="n"/>
      <c r="I16">
        <f>IF(AND(C16&lt;&gt;"",D16&lt;&gt;"",C16=D16),"CHECK: maker equals checker","")</f>
        <v/>
      </c>
    </row>
    <row r="17">
      <c r="A17" t="inlineStr">
        <is>
          <t>LOG0016</t>
        </is>
      </c>
      <c r="B17" t="inlineStr">
        <is>
          <t>REQ02000</t>
        </is>
      </c>
      <c r="C17">
        <f>IF(B17="","",IFERROR(INDEX(Data_Requests!$F$2:$F$2001,MATCH(B17,Data_Requests!$A$2:$A$2001,0)),""))</f>
        <v/>
      </c>
      <c r="G17" s="2" t="n"/>
      <c r="I17">
        <f>IF(AND(C17&lt;&gt;"",D17&lt;&gt;"",C17=D17),"CHECK: maker equals checker","")</f>
        <v/>
      </c>
    </row>
    <row r="18">
      <c r="A18" t="inlineStr">
        <is>
          <t>LOG0017</t>
        </is>
      </c>
      <c r="B18" t="inlineStr">
        <is>
          <t>REQ01961</t>
        </is>
      </c>
      <c r="C18">
        <f>IF(B18="","",IFERROR(INDEX(Data_Requests!$F$2:$F$2001,MATCH(B18,Data_Requests!$A$2:$A$2001,0)),""))</f>
        <v/>
      </c>
      <c r="G18" s="2" t="n"/>
      <c r="I18">
        <f>IF(AND(C18&lt;&gt;"",D18&lt;&gt;"",C18=D18),"CHECK: maker equals checker","")</f>
        <v/>
      </c>
    </row>
    <row r="19">
      <c r="A19" t="inlineStr">
        <is>
          <t>LOG0018</t>
        </is>
      </c>
      <c r="B19" t="inlineStr">
        <is>
          <t>REQ01965</t>
        </is>
      </c>
      <c r="C19">
        <f>IF(B19="","",IFERROR(INDEX(Data_Requests!$F$2:$F$2001,MATCH(B19,Data_Requests!$A$2:$A$2001,0)),""))</f>
        <v/>
      </c>
      <c r="G19" s="2" t="n"/>
      <c r="I19">
        <f>IF(AND(C19&lt;&gt;"",D19&lt;&gt;"",C19=D19),"CHECK: maker equals checker","")</f>
        <v/>
      </c>
    </row>
    <row r="20">
      <c r="A20" t="inlineStr">
        <is>
          <t>LOG0019</t>
        </is>
      </c>
      <c r="B20" t="inlineStr">
        <is>
          <t>REQ01974</t>
        </is>
      </c>
      <c r="C20">
        <f>IF(B20="","",IFERROR(INDEX(Data_Requests!$F$2:$F$2001,MATCH(B20,Data_Requests!$A$2:$A$2001,0)),""))</f>
        <v/>
      </c>
      <c r="G20" s="2" t="n"/>
      <c r="I20">
        <f>IF(AND(C20&lt;&gt;"",D20&lt;&gt;"",C20=D20),"CHECK: maker equals checker","")</f>
        <v/>
      </c>
    </row>
    <row r="21">
      <c r="A21" t="inlineStr">
        <is>
          <t>LOG0020</t>
        </is>
      </c>
      <c r="B21" t="inlineStr">
        <is>
          <t>REQ01977</t>
        </is>
      </c>
      <c r="C21">
        <f>IF(B21="","",IFERROR(INDEX(Data_Requests!$F$2:$F$2001,MATCH(B21,Data_Requests!$A$2:$A$2001,0)),""))</f>
        <v/>
      </c>
      <c r="G21" s="2" t="n"/>
      <c r="I21">
        <f>IF(AND(C21&lt;&gt;"",D21&lt;&gt;"",C21=D21),"CHECK: maker equals checker","")</f>
        <v/>
      </c>
    </row>
    <row r="22">
      <c r="A22" t="inlineStr">
        <is>
          <t>LOG0021</t>
        </is>
      </c>
      <c r="C22">
        <f>IF(B22="","",IFERROR(INDEX(Data_Requests!$F$2:$F$2001,MATCH(B22,Data_Requests!$A$2:$A$2001,0)),""))</f>
        <v/>
      </c>
      <c r="G22" s="2" t="n"/>
    </row>
    <row r="23">
      <c r="A23" t="inlineStr">
        <is>
          <t>LOG0022</t>
        </is>
      </c>
      <c r="C23">
        <f>IF(B23="","",IFERROR(INDEX(Data_Requests!$F$2:$F$2001,MATCH(B23,Data_Requests!$A$2:$A$2001,0)),""))</f>
        <v/>
      </c>
      <c r="G23" s="2" t="n"/>
    </row>
    <row r="24">
      <c r="A24" t="inlineStr">
        <is>
          <t>LOG0023</t>
        </is>
      </c>
      <c r="C24">
        <f>IF(B24="","",IFERROR(INDEX(Data_Requests!$F$2:$F$2001,MATCH(B24,Data_Requests!$A$2:$A$2001,0)),""))</f>
        <v/>
      </c>
      <c r="G24" s="2" t="n"/>
    </row>
    <row r="25">
      <c r="A25" t="inlineStr">
        <is>
          <t>LOG0024</t>
        </is>
      </c>
      <c r="C25">
        <f>IF(B25="","",IFERROR(INDEX(Data_Requests!$F$2:$F$2001,MATCH(B25,Data_Requests!$A$2:$A$2001,0)),""))</f>
        <v/>
      </c>
      <c r="G25" s="2" t="n"/>
    </row>
    <row r="26">
      <c r="A26" t="inlineStr">
        <is>
          <t>LOG0025</t>
        </is>
      </c>
      <c r="C26">
        <f>IF(B26="","",IFERROR(INDEX(Data_Requests!$F$2:$F$2001,MATCH(B26,Data_Requests!$A$2:$A$2001,0)),""))</f>
        <v/>
      </c>
      <c r="G26" s="2" t="n"/>
    </row>
    <row r="27">
      <c r="A27" t="inlineStr">
        <is>
          <t>LOG0026</t>
        </is>
      </c>
      <c r="C27">
        <f>IF(B27="","",IFERROR(INDEX(Data_Requests!$F$2:$F$2001,MATCH(B27,Data_Requests!$A$2:$A$2001,0)),""))</f>
        <v/>
      </c>
      <c r="G27" s="2" t="n"/>
    </row>
    <row r="28">
      <c r="A28" t="inlineStr">
        <is>
          <t>LOG0027</t>
        </is>
      </c>
      <c r="C28">
        <f>IF(B28="","",IFERROR(INDEX(Data_Requests!$F$2:$F$2001,MATCH(B28,Data_Requests!$A$2:$A$2001,0)),""))</f>
        <v/>
      </c>
      <c r="G28" s="2" t="n"/>
    </row>
    <row r="29">
      <c r="A29" t="inlineStr">
        <is>
          <t>LOG0028</t>
        </is>
      </c>
      <c r="C29">
        <f>IF(B29="","",IFERROR(INDEX(Data_Requests!$F$2:$F$2001,MATCH(B29,Data_Requests!$A$2:$A$2001,0)),""))</f>
        <v/>
      </c>
      <c r="G29" s="2" t="n"/>
    </row>
    <row r="30">
      <c r="A30" t="inlineStr">
        <is>
          <t>LOG0029</t>
        </is>
      </c>
      <c r="C30">
        <f>IF(B30="","",IFERROR(INDEX(Data_Requests!$F$2:$F$2001,MATCH(B30,Data_Requests!$A$2:$A$2001,0)),""))</f>
        <v/>
      </c>
      <c r="G30" s="2" t="n"/>
    </row>
    <row r="31">
      <c r="A31" t="inlineStr">
        <is>
          <t>LOG0030</t>
        </is>
      </c>
      <c r="C31">
        <f>IF(B31="","",IFERROR(INDEX(Data_Requests!$F$2:$F$2001,MATCH(B31,Data_Requests!$A$2:$A$2001,0)),""))</f>
        <v/>
      </c>
      <c r="G31" s="2" t="n"/>
    </row>
    <row r="32">
      <c r="A32" t="inlineStr">
        <is>
          <t>LOG0031</t>
        </is>
      </c>
      <c r="C32">
        <f>IF(B32="","",IFERROR(INDEX(Data_Requests!$F$2:$F$2001,MATCH(B32,Data_Requests!$A$2:$A$2001,0)),""))</f>
        <v/>
      </c>
      <c r="G32" s="2" t="n"/>
    </row>
    <row r="33">
      <c r="A33" t="inlineStr">
        <is>
          <t>LOG0032</t>
        </is>
      </c>
      <c r="C33">
        <f>IF(B33="","",IFERROR(INDEX(Data_Requests!$F$2:$F$2001,MATCH(B33,Data_Requests!$A$2:$A$2001,0)),""))</f>
        <v/>
      </c>
      <c r="G33" s="2" t="n"/>
    </row>
    <row r="34">
      <c r="A34" t="inlineStr">
        <is>
          <t>LOG0033</t>
        </is>
      </c>
      <c r="C34">
        <f>IF(B34="","",IFERROR(INDEX(Data_Requests!$F$2:$F$2001,MATCH(B34,Data_Requests!$A$2:$A$2001,0)),""))</f>
        <v/>
      </c>
      <c r="G34" s="2" t="n"/>
    </row>
    <row r="35">
      <c r="A35" t="inlineStr">
        <is>
          <t>LOG0034</t>
        </is>
      </c>
      <c r="C35">
        <f>IF(B35="","",IFERROR(INDEX(Data_Requests!$F$2:$F$2001,MATCH(B35,Data_Requests!$A$2:$A$2001,0)),""))</f>
        <v/>
      </c>
      <c r="G35" s="2" t="n"/>
    </row>
    <row r="36">
      <c r="A36" t="inlineStr">
        <is>
          <t>LOG0035</t>
        </is>
      </c>
      <c r="C36">
        <f>IF(B36="","",IFERROR(INDEX(Data_Requests!$F$2:$F$2001,MATCH(B36,Data_Requests!$A$2:$A$2001,0)),""))</f>
        <v/>
      </c>
      <c r="G36" s="2" t="n"/>
    </row>
    <row r="37">
      <c r="A37" t="inlineStr">
        <is>
          <t>LOG0036</t>
        </is>
      </c>
      <c r="C37">
        <f>IF(B37="","",IFERROR(INDEX(Data_Requests!$F$2:$F$2001,MATCH(B37,Data_Requests!$A$2:$A$2001,0)),""))</f>
        <v/>
      </c>
      <c r="G37" s="2" t="n"/>
    </row>
    <row r="38">
      <c r="A38" t="inlineStr">
        <is>
          <t>LOG0037</t>
        </is>
      </c>
      <c r="C38">
        <f>IF(B38="","",IFERROR(INDEX(Data_Requests!$F$2:$F$2001,MATCH(B38,Data_Requests!$A$2:$A$2001,0)),""))</f>
        <v/>
      </c>
      <c r="G38" s="2" t="n"/>
    </row>
    <row r="39">
      <c r="A39" t="inlineStr">
        <is>
          <t>LOG0038</t>
        </is>
      </c>
      <c r="C39">
        <f>IF(B39="","",IFERROR(INDEX(Data_Requests!$F$2:$F$2001,MATCH(B39,Data_Requests!$A$2:$A$2001,0)),""))</f>
        <v/>
      </c>
      <c r="G39" s="2" t="n"/>
    </row>
    <row r="40">
      <c r="A40" t="inlineStr">
        <is>
          <t>LOG0039</t>
        </is>
      </c>
      <c r="C40">
        <f>IF(B40="","",IFERROR(INDEX(Data_Requests!$F$2:$F$2001,MATCH(B40,Data_Requests!$A$2:$A$2001,0)),""))</f>
        <v/>
      </c>
      <c r="G40" s="2" t="n"/>
    </row>
    <row r="41">
      <c r="A41" t="inlineStr">
        <is>
          <t>LOG0040</t>
        </is>
      </c>
      <c r="C41">
        <f>IF(B41="","",IFERROR(INDEX(Data_Requests!$F$2:$F$2001,MATCH(B41,Data_Requests!$A$2:$A$2001,0)),""))</f>
        <v/>
      </c>
      <c r="G41" s="2" t="n"/>
    </row>
    <row r="42">
      <c r="A42" t="inlineStr">
        <is>
          <t>LOG0041</t>
        </is>
      </c>
      <c r="C42">
        <f>IF(B42="","",IFERROR(INDEX(Data_Requests!$F$2:$F$2001,MATCH(B42,Data_Requests!$A$2:$A$2001,0)),""))</f>
        <v/>
      </c>
      <c r="G42" s="2" t="n"/>
    </row>
    <row r="43">
      <c r="A43" t="inlineStr">
        <is>
          <t>LOG0042</t>
        </is>
      </c>
      <c r="C43">
        <f>IF(B43="","",IFERROR(INDEX(Data_Requests!$F$2:$F$2001,MATCH(B43,Data_Requests!$A$2:$A$2001,0)),""))</f>
        <v/>
      </c>
      <c r="G43" s="2" t="n"/>
    </row>
    <row r="44">
      <c r="A44" t="inlineStr">
        <is>
          <t>LOG0043</t>
        </is>
      </c>
      <c r="C44">
        <f>IF(B44="","",IFERROR(INDEX(Data_Requests!$F$2:$F$2001,MATCH(B44,Data_Requests!$A$2:$A$2001,0)),""))</f>
        <v/>
      </c>
      <c r="G44" s="2" t="n"/>
    </row>
    <row r="45">
      <c r="A45" t="inlineStr">
        <is>
          <t>LOG0044</t>
        </is>
      </c>
      <c r="C45">
        <f>IF(B45="","",IFERROR(INDEX(Data_Requests!$F$2:$F$2001,MATCH(B45,Data_Requests!$A$2:$A$2001,0)),""))</f>
        <v/>
      </c>
      <c r="G45" s="2" t="n"/>
    </row>
    <row r="46">
      <c r="A46" t="inlineStr">
        <is>
          <t>LOG0045</t>
        </is>
      </c>
      <c r="C46">
        <f>IF(B46="","",IFERROR(INDEX(Data_Requests!$F$2:$F$2001,MATCH(B46,Data_Requests!$A$2:$A$2001,0)),""))</f>
        <v/>
      </c>
      <c r="G46" s="2" t="n"/>
    </row>
    <row r="47">
      <c r="A47" t="inlineStr">
        <is>
          <t>LOG0046</t>
        </is>
      </c>
      <c r="C47">
        <f>IF(B47="","",IFERROR(INDEX(Data_Requests!$F$2:$F$2001,MATCH(B47,Data_Requests!$A$2:$A$2001,0)),""))</f>
        <v/>
      </c>
      <c r="G47" s="2" t="n"/>
    </row>
    <row r="48">
      <c r="A48" t="inlineStr">
        <is>
          <t>LOG0047</t>
        </is>
      </c>
      <c r="C48">
        <f>IF(B48="","",IFERROR(INDEX(Data_Requests!$F$2:$F$2001,MATCH(B48,Data_Requests!$A$2:$A$2001,0)),""))</f>
        <v/>
      </c>
      <c r="G48" s="2" t="n"/>
    </row>
    <row r="49">
      <c r="A49" t="inlineStr">
        <is>
          <t>LOG0048</t>
        </is>
      </c>
      <c r="C49">
        <f>IF(B49="","",IFERROR(INDEX(Data_Requests!$F$2:$F$2001,MATCH(B49,Data_Requests!$A$2:$A$2001,0)),""))</f>
        <v/>
      </c>
      <c r="G49" s="2" t="n"/>
    </row>
    <row r="50">
      <c r="A50" t="inlineStr">
        <is>
          <t>LOG0049</t>
        </is>
      </c>
      <c r="C50">
        <f>IF(B50="","",IFERROR(INDEX(Data_Requests!$F$2:$F$2001,MATCH(B50,Data_Requests!$A$2:$A$2001,0)),""))</f>
        <v/>
      </c>
      <c r="G50" s="2" t="n"/>
    </row>
    <row r="51">
      <c r="A51" t="inlineStr">
        <is>
          <t>LOG0050</t>
        </is>
      </c>
      <c r="C51">
        <f>IF(B51="","",IFERROR(INDEX(Data_Requests!$F$2:$F$2001,MATCH(B51,Data_Requests!$A$2:$A$2001,0)),""))</f>
        <v/>
      </c>
      <c r="G51" s="2" t="n"/>
    </row>
    <row r="52">
      <c r="A52" t="inlineStr">
        <is>
          <t>LOG0051</t>
        </is>
      </c>
      <c r="C52">
        <f>IF(B52="","",IFERROR(INDEX(Data_Requests!$F$2:$F$2001,MATCH(B52,Data_Requests!$A$2:$A$2001,0)),""))</f>
        <v/>
      </c>
      <c r="G52" s="2" t="n"/>
    </row>
    <row r="53">
      <c r="A53" t="inlineStr">
        <is>
          <t>LOG0052</t>
        </is>
      </c>
      <c r="C53">
        <f>IF(B53="","",IFERROR(INDEX(Data_Requests!$F$2:$F$2001,MATCH(B53,Data_Requests!$A$2:$A$2001,0)),""))</f>
        <v/>
      </c>
      <c r="G53" s="2" t="n"/>
    </row>
    <row r="54">
      <c r="A54" t="inlineStr">
        <is>
          <t>LOG0053</t>
        </is>
      </c>
      <c r="C54">
        <f>IF(B54="","",IFERROR(INDEX(Data_Requests!$F$2:$F$2001,MATCH(B54,Data_Requests!$A$2:$A$2001,0)),""))</f>
        <v/>
      </c>
      <c r="G54" s="2" t="n"/>
    </row>
    <row r="55">
      <c r="A55" t="inlineStr">
        <is>
          <t>LOG0054</t>
        </is>
      </c>
      <c r="C55">
        <f>IF(B55="","",IFERROR(INDEX(Data_Requests!$F$2:$F$2001,MATCH(B55,Data_Requests!$A$2:$A$2001,0)),""))</f>
        <v/>
      </c>
      <c r="G55" s="2" t="n"/>
    </row>
    <row r="56">
      <c r="A56" t="inlineStr">
        <is>
          <t>LOG0055</t>
        </is>
      </c>
      <c r="C56">
        <f>IF(B56="","",IFERROR(INDEX(Data_Requests!$F$2:$F$2001,MATCH(B56,Data_Requests!$A$2:$A$2001,0)),""))</f>
        <v/>
      </c>
      <c r="G56" s="2" t="n"/>
    </row>
    <row r="57">
      <c r="A57" t="inlineStr">
        <is>
          <t>LOG0056</t>
        </is>
      </c>
      <c r="C57">
        <f>IF(B57="","",IFERROR(INDEX(Data_Requests!$F$2:$F$2001,MATCH(B57,Data_Requests!$A$2:$A$2001,0)),""))</f>
        <v/>
      </c>
      <c r="G57" s="2" t="n"/>
    </row>
    <row r="58">
      <c r="A58" t="inlineStr">
        <is>
          <t>LOG0057</t>
        </is>
      </c>
      <c r="C58">
        <f>IF(B58="","",IFERROR(INDEX(Data_Requests!$F$2:$F$2001,MATCH(B58,Data_Requests!$A$2:$A$2001,0)),""))</f>
        <v/>
      </c>
      <c r="G58" s="2" t="n"/>
    </row>
    <row r="59">
      <c r="A59" t="inlineStr">
        <is>
          <t>LOG0058</t>
        </is>
      </c>
      <c r="C59">
        <f>IF(B59="","",IFERROR(INDEX(Data_Requests!$F$2:$F$2001,MATCH(B59,Data_Requests!$A$2:$A$2001,0)),""))</f>
        <v/>
      </c>
      <c r="G59" s="2" t="n"/>
    </row>
    <row r="60">
      <c r="A60" t="inlineStr">
        <is>
          <t>LOG0059</t>
        </is>
      </c>
      <c r="C60">
        <f>IF(B60="","",IFERROR(INDEX(Data_Requests!$F$2:$F$2001,MATCH(B60,Data_Requests!$A$2:$A$2001,0)),""))</f>
        <v/>
      </c>
      <c r="G60" s="2" t="n"/>
    </row>
    <row r="61">
      <c r="A61" t="inlineStr">
        <is>
          <t>LOG0060</t>
        </is>
      </c>
      <c r="C61">
        <f>IF(B61="","",IFERROR(INDEX(Data_Requests!$F$2:$F$2001,MATCH(B61,Data_Requests!$A$2:$A$2001,0)),""))</f>
        <v/>
      </c>
      <c r="G61" s="2" t="n"/>
    </row>
    <row r="62">
      <c r="A62" t="inlineStr">
        <is>
          <t>LOG0061</t>
        </is>
      </c>
      <c r="C62">
        <f>IF(B62="","",IFERROR(INDEX(Data_Requests!$F$2:$F$2001,MATCH(B62,Data_Requests!$A$2:$A$2001,0)),""))</f>
        <v/>
      </c>
      <c r="G62" s="2" t="n"/>
    </row>
    <row r="63">
      <c r="A63" t="inlineStr">
        <is>
          <t>LOG0062</t>
        </is>
      </c>
      <c r="C63">
        <f>IF(B63="","",IFERROR(INDEX(Data_Requests!$F$2:$F$2001,MATCH(B63,Data_Requests!$A$2:$A$2001,0)),""))</f>
        <v/>
      </c>
      <c r="G63" s="2" t="n"/>
    </row>
    <row r="64">
      <c r="A64" t="inlineStr">
        <is>
          <t>LOG0063</t>
        </is>
      </c>
      <c r="C64">
        <f>IF(B64="","",IFERROR(INDEX(Data_Requests!$F$2:$F$2001,MATCH(B64,Data_Requests!$A$2:$A$2001,0)),""))</f>
        <v/>
      </c>
      <c r="G64" s="2" t="n"/>
    </row>
    <row r="65">
      <c r="A65" t="inlineStr">
        <is>
          <t>LOG0064</t>
        </is>
      </c>
      <c r="C65">
        <f>IF(B65="","",IFERROR(INDEX(Data_Requests!$F$2:$F$2001,MATCH(B65,Data_Requests!$A$2:$A$2001,0)),""))</f>
        <v/>
      </c>
      <c r="G65" s="2" t="n"/>
    </row>
    <row r="66">
      <c r="A66" t="inlineStr">
        <is>
          <t>LOG0065</t>
        </is>
      </c>
      <c r="C66">
        <f>IF(B66="","",IFERROR(INDEX(Data_Requests!$F$2:$F$2001,MATCH(B66,Data_Requests!$A$2:$A$2001,0)),""))</f>
        <v/>
      </c>
      <c r="G66" s="2" t="n"/>
    </row>
    <row r="67">
      <c r="A67" t="inlineStr">
        <is>
          <t>LOG0066</t>
        </is>
      </c>
      <c r="C67">
        <f>IF(B67="","",IFERROR(INDEX(Data_Requests!$F$2:$F$2001,MATCH(B67,Data_Requests!$A$2:$A$2001,0)),""))</f>
        <v/>
      </c>
      <c r="G67" s="2" t="n"/>
    </row>
    <row r="68">
      <c r="A68" t="inlineStr">
        <is>
          <t>LOG0067</t>
        </is>
      </c>
      <c r="C68">
        <f>IF(B68="","",IFERROR(INDEX(Data_Requests!$F$2:$F$2001,MATCH(B68,Data_Requests!$A$2:$A$2001,0)),""))</f>
        <v/>
      </c>
      <c r="G68" s="2" t="n"/>
    </row>
    <row r="69">
      <c r="A69" t="inlineStr">
        <is>
          <t>LOG0068</t>
        </is>
      </c>
      <c r="C69">
        <f>IF(B69="","",IFERROR(INDEX(Data_Requests!$F$2:$F$2001,MATCH(B69,Data_Requests!$A$2:$A$2001,0)),""))</f>
        <v/>
      </c>
      <c r="G69" s="2" t="n"/>
    </row>
    <row r="70">
      <c r="A70" t="inlineStr">
        <is>
          <t>LOG0069</t>
        </is>
      </c>
      <c r="C70">
        <f>IF(B70="","",IFERROR(INDEX(Data_Requests!$F$2:$F$2001,MATCH(B70,Data_Requests!$A$2:$A$2001,0)),""))</f>
        <v/>
      </c>
      <c r="G70" s="2" t="n"/>
    </row>
    <row r="71">
      <c r="A71" t="inlineStr">
        <is>
          <t>LOG0070</t>
        </is>
      </c>
      <c r="C71">
        <f>IF(B71="","",IFERROR(INDEX(Data_Requests!$F$2:$F$2001,MATCH(B71,Data_Requests!$A$2:$A$2001,0)),""))</f>
        <v/>
      </c>
      <c r="G71" s="2" t="n"/>
    </row>
    <row r="72">
      <c r="A72" t="inlineStr">
        <is>
          <t>LOG0071</t>
        </is>
      </c>
      <c r="C72">
        <f>IF(B72="","",IFERROR(INDEX(Data_Requests!$F$2:$F$2001,MATCH(B72,Data_Requests!$A$2:$A$2001,0)),""))</f>
        <v/>
      </c>
      <c r="G72" s="2" t="n"/>
    </row>
    <row r="73">
      <c r="A73" t="inlineStr">
        <is>
          <t>LOG0072</t>
        </is>
      </c>
      <c r="C73">
        <f>IF(B73="","",IFERROR(INDEX(Data_Requests!$F$2:$F$2001,MATCH(B73,Data_Requests!$A$2:$A$2001,0)),""))</f>
        <v/>
      </c>
      <c r="G73" s="2" t="n"/>
    </row>
    <row r="74">
      <c r="A74" t="inlineStr">
        <is>
          <t>LOG0073</t>
        </is>
      </c>
      <c r="C74">
        <f>IF(B74="","",IFERROR(INDEX(Data_Requests!$F$2:$F$2001,MATCH(B74,Data_Requests!$A$2:$A$2001,0)),""))</f>
        <v/>
      </c>
      <c r="G74" s="2" t="n"/>
    </row>
    <row r="75">
      <c r="A75" t="inlineStr">
        <is>
          <t>LOG0074</t>
        </is>
      </c>
      <c r="C75">
        <f>IF(B75="","",IFERROR(INDEX(Data_Requests!$F$2:$F$2001,MATCH(B75,Data_Requests!$A$2:$A$2001,0)),""))</f>
        <v/>
      </c>
      <c r="G75" s="2" t="n"/>
    </row>
    <row r="76">
      <c r="A76" t="inlineStr">
        <is>
          <t>LOG0075</t>
        </is>
      </c>
      <c r="C76">
        <f>IF(B76="","",IFERROR(INDEX(Data_Requests!$F$2:$F$2001,MATCH(B76,Data_Requests!$A$2:$A$2001,0)),""))</f>
        <v/>
      </c>
      <c r="G76" s="2" t="n"/>
    </row>
    <row r="77">
      <c r="A77" t="inlineStr">
        <is>
          <t>LOG0076</t>
        </is>
      </c>
      <c r="C77">
        <f>IF(B77="","",IFERROR(INDEX(Data_Requests!$F$2:$F$2001,MATCH(B77,Data_Requests!$A$2:$A$2001,0)),""))</f>
        <v/>
      </c>
      <c r="G77" s="2" t="n"/>
    </row>
    <row r="78">
      <c r="A78" t="inlineStr">
        <is>
          <t>LOG0077</t>
        </is>
      </c>
      <c r="C78">
        <f>IF(B78="","",IFERROR(INDEX(Data_Requests!$F$2:$F$2001,MATCH(B78,Data_Requests!$A$2:$A$2001,0)),""))</f>
        <v/>
      </c>
      <c r="G78" s="2" t="n"/>
    </row>
    <row r="79">
      <c r="A79" t="inlineStr">
        <is>
          <t>LOG0078</t>
        </is>
      </c>
      <c r="C79">
        <f>IF(B79="","",IFERROR(INDEX(Data_Requests!$F$2:$F$2001,MATCH(B79,Data_Requests!$A$2:$A$2001,0)),""))</f>
        <v/>
      </c>
      <c r="G79" s="2" t="n"/>
    </row>
    <row r="80">
      <c r="A80" t="inlineStr">
        <is>
          <t>LOG0079</t>
        </is>
      </c>
      <c r="C80">
        <f>IF(B80="","",IFERROR(INDEX(Data_Requests!$F$2:$F$2001,MATCH(B80,Data_Requests!$A$2:$A$2001,0)),""))</f>
        <v/>
      </c>
      <c r="G80" s="2" t="n"/>
    </row>
    <row r="81">
      <c r="A81" t="inlineStr">
        <is>
          <t>LOG0080</t>
        </is>
      </c>
      <c r="C81">
        <f>IF(B81="","",IFERROR(INDEX(Data_Requests!$F$2:$F$2001,MATCH(B81,Data_Requests!$A$2:$A$2001,0)),""))</f>
        <v/>
      </c>
      <c r="G81" s="2" t="n"/>
    </row>
    <row r="82">
      <c r="A82" t="inlineStr">
        <is>
          <t>LOG0081</t>
        </is>
      </c>
      <c r="C82">
        <f>IF(B82="","",IFERROR(INDEX(Data_Requests!$F$2:$F$2001,MATCH(B82,Data_Requests!$A$2:$A$2001,0)),""))</f>
        <v/>
      </c>
      <c r="G82" s="2" t="n"/>
    </row>
    <row r="83">
      <c r="A83" t="inlineStr">
        <is>
          <t>LOG0082</t>
        </is>
      </c>
      <c r="C83">
        <f>IF(B83="","",IFERROR(INDEX(Data_Requests!$F$2:$F$2001,MATCH(B83,Data_Requests!$A$2:$A$2001,0)),""))</f>
        <v/>
      </c>
      <c r="G83" s="2" t="n"/>
    </row>
    <row r="84">
      <c r="A84" t="inlineStr">
        <is>
          <t>LOG0083</t>
        </is>
      </c>
      <c r="C84">
        <f>IF(B84="","",IFERROR(INDEX(Data_Requests!$F$2:$F$2001,MATCH(B84,Data_Requests!$A$2:$A$2001,0)),""))</f>
        <v/>
      </c>
      <c r="G84" s="2" t="n"/>
    </row>
    <row r="85">
      <c r="A85" t="inlineStr">
        <is>
          <t>LOG0084</t>
        </is>
      </c>
      <c r="C85">
        <f>IF(B85="","",IFERROR(INDEX(Data_Requests!$F$2:$F$2001,MATCH(B85,Data_Requests!$A$2:$A$2001,0)),""))</f>
        <v/>
      </c>
      <c r="G85" s="2" t="n"/>
    </row>
    <row r="86">
      <c r="A86" t="inlineStr">
        <is>
          <t>LOG0085</t>
        </is>
      </c>
      <c r="C86">
        <f>IF(B86="","",IFERROR(INDEX(Data_Requests!$F$2:$F$2001,MATCH(B86,Data_Requests!$A$2:$A$2001,0)),""))</f>
        <v/>
      </c>
      <c r="G86" s="2" t="n"/>
    </row>
    <row r="87">
      <c r="A87" t="inlineStr">
        <is>
          <t>LOG0086</t>
        </is>
      </c>
      <c r="C87">
        <f>IF(B87="","",IFERROR(INDEX(Data_Requests!$F$2:$F$2001,MATCH(B87,Data_Requests!$A$2:$A$2001,0)),""))</f>
        <v/>
      </c>
      <c r="G87" s="2" t="n"/>
    </row>
    <row r="88">
      <c r="A88" t="inlineStr">
        <is>
          <t>LOG0087</t>
        </is>
      </c>
      <c r="C88">
        <f>IF(B88="","",IFERROR(INDEX(Data_Requests!$F$2:$F$2001,MATCH(B88,Data_Requests!$A$2:$A$2001,0)),""))</f>
        <v/>
      </c>
      <c r="G88" s="2" t="n"/>
    </row>
    <row r="89">
      <c r="A89" t="inlineStr">
        <is>
          <t>LOG0088</t>
        </is>
      </c>
      <c r="C89">
        <f>IF(B89="","",IFERROR(INDEX(Data_Requests!$F$2:$F$2001,MATCH(B89,Data_Requests!$A$2:$A$2001,0)),""))</f>
        <v/>
      </c>
      <c r="G89" s="2" t="n"/>
    </row>
    <row r="90">
      <c r="A90" t="inlineStr">
        <is>
          <t>LOG0089</t>
        </is>
      </c>
      <c r="C90">
        <f>IF(B90="","",IFERROR(INDEX(Data_Requests!$F$2:$F$2001,MATCH(B90,Data_Requests!$A$2:$A$2001,0)),""))</f>
        <v/>
      </c>
      <c r="G90" s="2" t="n"/>
    </row>
    <row r="91">
      <c r="A91" t="inlineStr">
        <is>
          <t>LOG0090</t>
        </is>
      </c>
      <c r="C91">
        <f>IF(B91="","",IFERROR(INDEX(Data_Requests!$F$2:$F$2001,MATCH(B91,Data_Requests!$A$2:$A$2001,0)),""))</f>
        <v/>
      </c>
      <c r="G91" s="2" t="n"/>
    </row>
    <row r="92">
      <c r="A92" t="inlineStr">
        <is>
          <t>LOG0091</t>
        </is>
      </c>
      <c r="C92">
        <f>IF(B92="","",IFERROR(INDEX(Data_Requests!$F$2:$F$2001,MATCH(B92,Data_Requests!$A$2:$A$2001,0)),""))</f>
        <v/>
      </c>
      <c r="G92" s="2" t="n"/>
    </row>
    <row r="93">
      <c r="A93" t="inlineStr">
        <is>
          <t>LOG0092</t>
        </is>
      </c>
      <c r="C93">
        <f>IF(B93="","",IFERROR(INDEX(Data_Requests!$F$2:$F$2001,MATCH(B93,Data_Requests!$A$2:$A$2001,0)),""))</f>
        <v/>
      </c>
      <c r="G93" s="2" t="n"/>
    </row>
    <row r="94">
      <c r="A94" t="inlineStr">
        <is>
          <t>LOG0093</t>
        </is>
      </c>
      <c r="C94">
        <f>IF(B94="","",IFERROR(INDEX(Data_Requests!$F$2:$F$2001,MATCH(B94,Data_Requests!$A$2:$A$2001,0)),""))</f>
        <v/>
      </c>
      <c r="G94" s="2" t="n"/>
    </row>
    <row r="95">
      <c r="A95" t="inlineStr">
        <is>
          <t>LOG0094</t>
        </is>
      </c>
      <c r="C95">
        <f>IF(B95="","",IFERROR(INDEX(Data_Requests!$F$2:$F$2001,MATCH(B95,Data_Requests!$A$2:$A$2001,0)),""))</f>
        <v/>
      </c>
      <c r="G95" s="2" t="n"/>
    </row>
    <row r="96">
      <c r="A96" t="inlineStr">
        <is>
          <t>LOG0095</t>
        </is>
      </c>
      <c r="C96">
        <f>IF(B96="","",IFERROR(INDEX(Data_Requests!$F$2:$F$2001,MATCH(B96,Data_Requests!$A$2:$A$2001,0)),""))</f>
        <v/>
      </c>
      <c r="G96" s="2" t="n"/>
    </row>
    <row r="97">
      <c r="A97" t="inlineStr">
        <is>
          <t>LOG0096</t>
        </is>
      </c>
      <c r="C97">
        <f>IF(B97="","",IFERROR(INDEX(Data_Requests!$F$2:$F$2001,MATCH(B97,Data_Requests!$A$2:$A$2001,0)),""))</f>
        <v/>
      </c>
      <c r="G97" s="2" t="n"/>
    </row>
    <row r="98">
      <c r="A98" t="inlineStr">
        <is>
          <t>LOG0097</t>
        </is>
      </c>
      <c r="C98">
        <f>IF(B98="","",IFERROR(INDEX(Data_Requests!$F$2:$F$2001,MATCH(B98,Data_Requests!$A$2:$A$2001,0)),""))</f>
        <v/>
      </c>
      <c r="G98" s="2" t="n"/>
    </row>
    <row r="99">
      <c r="A99" t="inlineStr">
        <is>
          <t>LOG0098</t>
        </is>
      </c>
      <c r="C99">
        <f>IF(B99="","",IFERROR(INDEX(Data_Requests!$F$2:$F$2001,MATCH(B99,Data_Requests!$A$2:$A$2001,0)),""))</f>
        <v/>
      </c>
      <c r="G99" s="2" t="n"/>
    </row>
    <row r="100">
      <c r="A100" t="inlineStr">
        <is>
          <t>LOG0099</t>
        </is>
      </c>
      <c r="C100">
        <f>IF(B100="","",IFERROR(INDEX(Data_Requests!$F$2:$F$2001,MATCH(B100,Data_Requests!$A$2:$A$2001,0)),""))</f>
        <v/>
      </c>
      <c r="G100" s="2" t="n"/>
    </row>
    <row r="101">
      <c r="A101" t="inlineStr">
        <is>
          <t>LOG0100</t>
        </is>
      </c>
      <c r="C101">
        <f>IF(B101="","",IFERROR(INDEX(Data_Requests!$F$2:$F$2001,MATCH(B101,Data_Requests!$A$2:$A$2001,0)),""))</f>
        <v/>
      </c>
      <c r="G101" s="2" t="n"/>
    </row>
    <row r="102">
      <c r="A102" t="inlineStr">
        <is>
          <t>LOG0101</t>
        </is>
      </c>
      <c r="C102">
        <f>IF(B102="","",IFERROR(INDEX(Data_Requests!$F$2:$F$2001,MATCH(B102,Data_Requests!$A$2:$A$2001,0)),""))</f>
        <v/>
      </c>
      <c r="G102" s="2" t="n"/>
    </row>
    <row r="103">
      <c r="A103" t="inlineStr">
        <is>
          <t>LOG0102</t>
        </is>
      </c>
      <c r="C103">
        <f>IF(B103="","",IFERROR(INDEX(Data_Requests!$F$2:$F$2001,MATCH(B103,Data_Requests!$A$2:$A$2001,0)),""))</f>
        <v/>
      </c>
      <c r="G103" s="2" t="n"/>
    </row>
    <row r="104">
      <c r="A104" t="inlineStr">
        <is>
          <t>LOG0103</t>
        </is>
      </c>
      <c r="C104">
        <f>IF(B104="","",IFERROR(INDEX(Data_Requests!$F$2:$F$2001,MATCH(B104,Data_Requests!$A$2:$A$2001,0)),""))</f>
        <v/>
      </c>
      <c r="G104" s="2" t="n"/>
    </row>
    <row r="105">
      <c r="A105" t="inlineStr">
        <is>
          <t>LOG0104</t>
        </is>
      </c>
      <c r="C105">
        <f>IF(B105="","",IFERROR(INDEX(Data_Requests!$F$2:$F$2001,MATCH(B105,Data_Requests!$A$2:$A$2001,0)),""))</f>
        <v/>
      </c>
      <c r="G105" s="2" t="n"/>
    </row>
    <row r="106">
      <c r="A106" t="inlineStr">
        <is>
          <t>LOG0105</t>
        </is>
      </c>
      <c r="C106">
        <f>IF(B106="","",IFERROR(INDEX(Data_Requests!$F$2:$F$2001,MATCH(B106,Data_Requests!$A$2:$A$2001,0)),""))</f>
        <v/>
      </c>
      <c r="G106" s="2" t="n"/>
    </row>
    <row r="107">
      <c r="A107" t="inlineStr">
        <is>
          <t>LOG0106</t>
        </is>
      </c>
      <c r="C107">
        <f>IF(B107="","",IFERROR(INDEX(Data_Requests!$F$2:$F$2001,MATCH(B107,Data_Requests!$A$2:$A$2001,0)),""))</f>
        <v/>
      </c>
      <c r="G107" s="2" t="n"/>
    </row>
    <row r="108">
      <c r="A108" t="inlineStr">
        <is>
          <t>LOG0107</t>
        </is>
      </c>
      <c r="C108">
        <f>IF(B108="","",IFERROR(INDEX(Data_Requests!$F$2:$F$2001,MATCH(B108,Data_Requests!$A$2:$A$2001,0)),""))</f>
        <v/>
      </c>
      <c r="G108" s="2" t="n"/>
    </row>
    <row r="109">
      <c r="A109" t="inlineStr">
        <is>
          <t>LOG0108</t>
        </is>
      </c>
      <c r="C109">
        <f>IF(B109="","",IFERROR(INDEX(Data_Requests!$F$2:$F$2001,MATCH(B109,Data_Requests!$A$2:$A$2001,0)),""))</f>
        <v/>
      </c>
      <c r="G109" s="2" t="n"/>
    </row>
    <row r="110">
      <c r="A110" t="inlineStr">
        <is>
          <t>LOG0109</t>
        </is>
      </c>
      <c r="C110">
        <f>IF(B110="","",IFERROR(INDEX(Data_Requests!$F$2:$F$2001,MATCH(B110,Data_Requests!$A$2:$A$2001,0)),""))</f>
        <v/>
      </c>
      <c r="G110" s="2" t="n"/>
    </row>
    <row r="111">
      <c r="A111" t="inlineStr">
        <is>
          <t>LOG0110</t>
        </is>
      </c>
      <c r="C111">
        <f>IF(B111="","",IFERROR(INDEX(Data_Requests!$F$2:$F$2001,MATCH(B111,Data_Requests!$A$2:$A$2001,0)),""))</f>
        <v/>
      </c>
      <c r="G111" s="2" t="n"/>
    </row>
    <row r="112">
      <c r="A112" t="inlineStr">
        <is>
          <t>LOG0111</t>
        </is>
      </c>
      <c r="C112">
        <f>IF(B112="","",IFERROR(INDEX(Data_Requests!$F$2:$F$2001,MATCH(B112,Data_Requests!$A$2:$A$2001,0)),""))</f>
        <v/>
      </c>
      <c r="G112" s="2" t="n"/>
    </row>
    <row r="113">
      <c r="A113" t="inlineStr">
        <is>
          <t>LOG0112</t>
        </is>
      </c>
      <c r="C113">
        <f>IF(B113="","",IFERROR(INDEX(Data_Requests!$F$2:$F$2001,MATCH(B113,Data_Requests!$A$2:$A$2001,0)),""))</f>
        <v/>
      </c>
      <c r="G113" s="2" t="n"/>
    </row>
    <row r="114">
      <c r="A114" t="inlineStr">
        <is>
          <t>LOG0113</t>
        </is>
      </c>
      <c r="C114">
        <f>IF(B114="","",IFERROR(INDEX(Data_Requests!$F$2:$F$2001,MATCH(B114,Data_Requests!$A$2:$A$2001,0)),""))</f>
        <v/>
      </c>
      <c r="G114" s="2" t="n"/>
    </row>
    <row r="115">
      <c r="A115" t="inlineStr">
        <is>
          <t>LOG0114</t>
        </is>
      </c>
      <c r="C115">
        <f>IF(B115="","",IFERROR(INDEX(Data_Requests!$F$2:$F$2001,MATCH(B115,Data_Requests!$A$2:$A$2001,0)),""))</f>
        <v/>
      </c>
      <c r="G115" s="2" t="n"/>
    </row>
    <row r="116">
      <c r="A116" t="inlineStr">
        <is>
          <t>LOG0115</t>
        </is>
      </c>
      <c r="C116">
        <f>IF(B116="","",IFERROR(INDEX(Data_Requests!$F$2:$F$2001,MATCH(B116,Data_Requests!$A$2:$A$2001,0)),""))</f>
        <v/>
      </c>
      <c r="G116" s="2" t="n"/>
    </row>
    <row r="117">
      <c r="A117" t="inlineStr">
        <is>
          <t>LOG0116</t>
        </is>
      </c>
      <c r="C117">
        <f>IF(B117="","",IFERROR(INDEX(Data_Requests!$F$2:$F$2001,MATCH(B117,Data_Requests!$A$2:$A$2001,0)),""))</f>
        <v/>
      </c>
      <c r="G117" s="2" t="n"/>
    </row>
    <row r="118">
      <c r="A118" t="inlineStr">
        <is>
          <t>LOG0117</t>
        </is>
      </c>
      <c r="C118">
        <f>IF(B118="","",IFERROR(INDEX(Data_Requests!$F$2:$F$2001,MATCH(B118,Data_Requests!$A$2:$A$2001,0)),""))</f>
        <v/>
      </c>
      <c r="G118" s="2" t="n"/>
    </row>
    <row r="119">
      <c r="A119" t="inlineStr">
        <is>
          <t>LOG0118</t>
        </is>
      </c>
      <c r="C119">
        <f>IF(B119="","",IFERROR(INDEX(Data_Requests!$F$2:$F$2001,MATCH(B119,Data_Requests!$A$2:$A$2001,0)),""))</f>
        <v/>
      </c>
      <c r="G119" s="2" t="n"/>
    </row>
    <row r="120">
      <c r="A120" t="inlineStr">
        <is>
          <t>LOG0119</t>
        </is>
      </c>
      <c r="C120">
        <f>IF(B120="","",IFERROR(INDEX(Data_Requests!$F$2:$F$2001,MATCH(B120,Data_Requests!$A$2:$A$2001,0)),""))</f>
        <v/>
      </c>
      <c r="G120" s="2" t="n"/>
    </row>
    <row r="121">
      <c r="A121" t="inlineStr">
        <is>
          <t>LOG0120</t>
        </is>
      </c>
      <c r="C121">
        <f>IF(B121="","",IFERROR(INDEX(Data_Requests!$F$2:$F$2001,MATCH(B121,Data_Requests!$A$2:$A$2001,0)),""))</f>
        <v/>
      </c>
      <c r="G121" s="2" t="n"/>
    </row>
    <row r="122">
      <c r="A122" t="inlineStr">
        <is>
          <t>LOG0121</t>
        </is>
      </c>
      <c r="C122">
        <f>IF(B122="","",IFERROR(INDEX(Data_Requests!$F$2:$F$2001,MATCH(B122,Data_Requests!$A$2:$A$2001,0)),""))</f>
        <v/>
      </c>
      <c r="G122" s="2" t="n"/>
    </row>
    <row r="123">
      <c r="A123" t="inlineStr">
        <is>
          <t>LOG0122</t>
        </is>
      </c>
      <c r="C123">
        <f>IF(B123="","",IFERROR(INDEX(Data_Requests!$F$2:$F$2001,MATCH(B123,Data_Requests!$A$2:$A$2001,0)),""))</f>
        <v/>
      </c>
      <c r="G123" s="2" t="n"/>
    </row>
    <row r="124">
      <c r="A124" t="inlineStr">
        <is>
          <t>LOG0123</t>
        </is>
      </c>
      <c r="C124">
        <f>IF(B124="","",IFERROR(INDEX(Data_Requests!$F$2:$F$2001,MATCH(B124,Data_Requests!$A$2:$A$2001,0)),""))</f>
        <v/>
      </c>
      <c r="G124" s="2" t="n"/>
    </row>
    <row r="125">
      <c r="A125" t="inlineStr">
        <is>
          <t>LOG0124</t>
        </is>
      </c>
      <c r="C125">
        <f>IF(B125="","",IFERROR(INDEX(Data_Requests!$F$2:$F$2001,MATCH(B125,Data_Requests!$A$2:$A$2001,0)),""))</f>
        <v/>
      </c>
      <c r="G125" s="2" t="n"/>
    </row>
    <row r="126">
      <c r="A126" t="inlineStr">
        <is>
          <t>LOG0125</t>
        </is>
      </c>
      <c r="C126">
        <f>IF(B126="","",IFERROR(INDEX(Data_Requests!$F$2:$F$2001,MATCH(B126,Data_Requests!$A$2:$A$2001,0)),""))</f>
        <v/>
      </c>
      <c r="G126" s="2" t="n"/>
    </row>
    <row r="127">
      <c r="A127" t="inlineStr">
        <is>
          <t>LOG0126</t>
        </is>
      </c>
      <c r="C127">
        <f>IF(B127="","",IFERROR(INDEX(Data_Requests!$F$2:$F$2001,MATCH(B127,Data_Requests!$A$2:$A$2001,0)),""))</f>
        <v/>
      </c>
      <c r="G127" s="2" t="n"/>
    </row>
    <row r="128">
      <c r="A128" t="inlineStr">
        <is>
          <t>LOG0127</t>
        </is>
      </c>
      <c r="C128">
        <f>IF(B128="","",IFERROR(INDEX(Data_Requests!$F$2:$F$2001,MATCH(B128,Data_Requests!$A$2:$A$2001,0)),""))</f>
        <v/>
      </c>
      <c r="G128" s="2" t="n"/>
    </row>
    <row r="129">
      <c r="A129" t="inlineStr">
        <is>
          <t>LOG0128</t>
        </is>
      </c>
      <c r="C129">
        <f>IF(B129="","",IFERROR(INDEX(Data_Requests!$F$2:$F$2001,MATCH(B129,Data_Requests!$A$2:$A$2001,0)),""))</f>
        <v/>
      </c>
      <c r="G129" s="2" t="n"/>
    </row>
    <row r="130">
      <c r="A130" t="inlineStr">
        <is>
          <t>LOG0129</t>
        </is>
      </c>
      <c r="C130">
        <f>IF(B130="","",IFERROR(INDEX(Data_Requests!$F$2:$F$2001,MATCH(B130,Data_Requests!$A$2:$A$2001,0)),""))</f>
        <v/>
      </c>
      <c r="G130" s="2" t="n"/>
    </row>
    <row r="131">
      <c r="A131" t="inlineStr">
        <is>
          <t>LOG0130</t>
        </is>
      </c>
      <c r="C131">
        <f>IF(B131="","",IFERROR(INDEX(Data_Requests!$F$2:$F$2001,MATCH(B131,Data_Requests!$A$2:$A$2001,0)),""))</f>
        <v/>
      </c>
      <c r="G131" s="2" t="n"/>
    </row>
    <row r="132">
      <c r="A132" t="inlineStr">
        <is>
          <t>LOG0131</t>
        </is>
      </c>
      <c r="C132">
        <f>IF(B132="","",IFERROR(INDEX(Data_Requests!$F$2:$F$2001,MATCH(B132,Data_Requests!$A$2:$A$2001,0)),""))</f>
        <v/>
      </c>
      <c r="G132" s="2" t="n"/>
    </row>
    <row r="133">
      <c r="A133" t="inlineStr">
        <is>
          <t>LOG0132</t>
        </is>
      </c>
      <c r="C133">
        <f>IF(B133="","",IFERROR(INDEX(Data_Requests!$F$2:$F$2001,MATCH(B133,Data_Requests!$A$2:$A$2001,0)),""))</f>
        <v/>
      </c>
      <c r="G133" s="2" t="n"/>
    </row>
    <row r="134">
      <c r="A134" t="inlineStr">
        <is>
          <t>LOG0133</t>
        </is>
      </c>
      <c r="C134">
        <f>IF(B134="","",IFERROR(INDEX(Data_Requests!$F$2:$F$2001,MATCH(B134,Data_Requests!$A$2:$A$2001,0)),""))</f>
        <v/>
      </c>
      <c r="G134" s="2" t="n"/>
    </row>
    <row r="135">
      <c r="A135" t="inlineStr">
        <is>
          <t>LOG0134</t>
        </is>
      </c>
      <c r="C135">
        <f>IF(B135="","",IFERROR(INDEX(Data_Requests!$F$2:$F$2001,MATCH(B135,Data_Requests!$A$2:$A$2001,0)),""))</f>
        <v/>
      </c>
      <c r="G135" s="2" t="n"/>
    </row>
    <row r="136">
      <c r="A136" t="inlineStr">
        <is>
          <t>LOG0135</t>
        </is>
      </c>
      <c r="C136">
        <f>IF(B136="","",IFERROR(INDEX(Data_Requests!$F$2:$F$2001,MATCH(B136,Data_Requests!$A$2:$A$2001,0)),""))</f>
        <v/>
      </c>
      <c r="G136" s="2" t="n"/>
    </row>
    <row r="137">
      <c r="A137" t="inlineStr">
        <is>
          <t>LOG0136</t>
        </is>
      </c>
      <c r="C137">
        <f>IF(B137="","",IFERROR(INDEX(Data_Requests!$F$2:$F$2001,MATCH(B137,Data_Requests!$A$2:$A$2001,0)),""))</f>
        <v/>
      </c>
      <c r="G137" s="2" t="n"/>
    </row>
    <row r="138">
      <c r="A138" t="inlineStr">
        <is>
          <t>LOG0137</t>
        </is>
      </c>
      <c r="C138">
        <f>IF(B138="","",IFERROR(INDEX(Data_Requests!$F$2:$F$2001,MATCH(B138,Data_Requests!$A$2:$A$2001,0)),""))</f>
        <v/>
      </c>
      <c r="G138" s="2" t="n"/>
    </row>
    <row r="139">
      <c r="A139" t="inlineStr">
        <is>
          <t>LOG0138</t>
        </is>
      </c>
      <c r="C139">
        <f>IF(B139="","",IFERROR(INDEX(Data_Requests!$F$2:$F$2001,MATCH(B139,Data_Requests!$A$2:$A$2001,0)),""))</f>
        <v/>
      </c>
      <c r="G139" s="2" t="n"/>
    </row>
    <row r="140">
      <c r="A140" t="inlineStr">
        <is>
          <t>LOG0139</t>
        </is>
      </c>
      <c r="C140">
        <f>IF(B140="","",IFERROR(INDEX(Data_Requests!$F$2:$F$2001,MATCH(B140,Data_Requests!$A$2:$A$2001,0)),""))</f>
        <v/>
      </c>
      <c r="G140" s="2" t="n"/>
    </row>
    <row r="141">
      <c r="A141" t="inlineStr">
        <is>
          <t>LOG0140</t>
        </is>
      </c>
      <c r="C141">
        <f>IF(B141="","",IFERROR(INDEX(Data_Requests!$F$2:$F$2001,MATCH(B141,Data_Requests!$A$2:$A$2001,0)),""))</f>
        <v/>
      </c>
      <c r="G141" s="2" t="n"/>
    </row>
    <row r="142">
      <c r="A142" t="inlineStr">
        <is>
          <t>LOG0141</t>
        </is>
      </c>
      <c r="C142">
        <f>IF(B142="","",IFERROR(INDEX(Data_Requests!$F$2:$F$2001,MATCH(B142,Data_Requests!$A$2:$A$2001,0)),""))</f>
        <v/>
      </c>
      <c r="G142" s="2" t="n"/>
    </row>
    <row r="143">
      <c r="A143" t="inlineStr">
        <is>
          <t>LOG0142</t>
        </is>
      </c>
      <c r="C143">
        <f>IF(B143="","",IFERROR(INDEX(Data_Requests!$F$2:$F$2001,MATCH(B143,Data_Requests!$A$2:$A$2001,0)),""))</f>
        <v/>
      </c>
      <c r="G143" s="2" t="n"/>
    </row>
    <row r="144">
      <c r="A144" t="inlineStr">
        <is>
          <t>LOG0143</t>
        </is>
      </c>
      <c r="C144">
        <f>IF(B144="","",IFERROR(INDEX(Data_Requests!$F$2:$F$2001,MATCH(B144,Data_Requests!$A$2:$A$2001,0)),""))</f>
        <v/>
      </c>
      <c r="G144" s="2" t="n"/>
    </row>
    <row r="145">
      <c r="A145" t="inlineStr">
        <is>
          <t>LOG0144</t>
        </is>
      </c>
      <c r="C145">
        <f>IF(B145="","",IFERROR(INDEX(Data_Requests!$F$2:$F$2001,MATCH(B145,Data_Requests!$A$2:$A$2001,0)),""))</f>
        <v/>
      </c>
      <c r="G145" s="2" t="n"/>
    </row>
    <row r="146">
      <c r="A146" t="inlineStr">
        <is>
          <t>LOG0145</t>
        </is>
      </c>
      <c r="C146">
        <f>IF(B146="","",IFERROR(INDEX(Data_Requests!$F$2:$F$2001,MATCH(B146,Data_Requests!$A$2:$A$2001,0)),""))</f>
        <v/>
      </c>
      <c r="G146" s="2" t="n"/>
    </row>
    <row r="147">
      <c r="A147" t="inlineStr">
        <is>
          <t>LOG0146</t>
        </is>
      </c>
      <c r="C147">
        <f>IF(B147="","",IFERROR(INDEX(Data_Requests!$F$2:$F$2001,MATCH(B147,Data_Requests!$A$2:$A$2001,0)),""))</f>
        <v/>
      </c>
      <c r="G147" s="2" t="n"/>
    </row>
    <row r="148">
      <c r="A148" t="inlineStr">
        <is>
          <t>LOG0147</t>
        </is>
      </c>
      <c r="C148">
        <f>IF(B148="","",IFERROR(INDEX(Data_Requests!$F$2:$F$2001,MATCH(B148,Data_Requests!$A$2:$A$2001,0)),""))</f>
        <v/>
      </c>
      <c r="G148" s="2" t="n"/>
    </row>
    <row r="149">
      <c r="A149" t="inlineStr">
        <is>
          <t>LOG0148</t>
        </is>
      </c>
      <c r="C149">
        <f>IF(B149="","",IFERROR(INDEX(Data_Requests!$F$2:$F$2001,MATCH(B149,Data_Requests!$A$2:$A$2001,0)),""))</f>
        <v/>
      </c>
      <c r="G149" s="2" t="n"/>
    </row>
    <row r="150">
      <c r="A150" t="inlineStr">
        <is>
          <t>LOG0149</t>
        </is>
      </c>
      <c r="C150">
        <f>IF(B150="","",IFERROR(INDEX(Data_Requests!$F$2:$F$2001,MATCH(B150,Data_Requests!$A$2:$A$2001,0)),""))</f>
        <v/>
      </c>
      <c r="G150" s="2" t="n"/>
    </row>
    <row r="151">
      <c r="A151" t="inlineStr">
        <is>
          <t>LOG0150</t>
        </is>
      </c>
      <c r="C151">
        <f>IF(B151="","",IFERROR(INDEX(Data_Requests!$F$2:$F$2001,MATCH(B151,Data_Requests!$A$2:$A$2001,0)),""))</f>
        <v/>
      </c>
      <c r="G151" s="2" t="n"/>
    </row>
    <row r="152">
      <c r="A152" t="inlineStr">
        <is>
          <t>LOG0151</t>
        </is>
      </c>
      <c r="C152">
        <f>IF(B152="","",IFERROR(INDEX(Data_Requests!$F$2:$F$2001,MATCH(B152,Data_Requests!$A$2:$A$2001,0)),""))</f>
        <v/>
      </c>
      <c r="G152" s="2" t="n"/>
    </row>
    <row r="153">
      <c r="A153" t="inlineStr">
        <is>
          <t>LOG0152</t>
        </is>
      </c>
      <c r="C153">
        <f>IF(B153="","",IFERROR(INDEX(Data_Requests!$F$2:$F$2001,MATCH(B153,Data_Requests!$A$2:$A$2001,0)),""))</f>
        <v/>
      </c>
      <c r="G153" s="2" t="n"/>
    </row>
    <row r="154">
      <c r="A154" t="inlineStr">
        <is>
          <t>LOG0153</t>
        </is>
      </c>
      <c r="C154">
        <f>IF(B154="","",IFERROR(INDEX(Data_Requests!$F$2:$F$2001,MATCH(B154,Data_Requests!$A$2:$A$2001,0)),""))</f>
        <v/>
      </c>
      <c r="G154" s="2" t="n"/>
    </row>
    <row r="155">
      <c r="A155" t="inlineStr">
        <is>
          <t>LOG0154</t>
        </is>
      </c>
      <c r="C155">
        <f>IF(B155="","",IFERROR(INDEX(Data_Requests!$F$2:$F$2001,MATCH(B155,Data_Requests!$A$2:$A$2001,0)),""))</f>
        <v/>
      </c>
      <c r="G155" s="2" t="n"/>
    </row>
    <row r="156">
      <c r="A156" t="inlineStr">
        <is>
          <t>LOG0155</t>
        </is>
      </c>
      <c r="C156">
        <f>IF(B156="","",IFERROR(INDEX(Data_Requests!$F$2:$F$2001,MATCH(B156,Data_Requests!$A$2:$A$2001,0)),""))</f>
        <v/>
      </c>
      <c r="G156" s="2" t="n"/>
    </row>
    <row r="157">
      <c r="A157" t="inlineStr">
        <is>
          <t>LOG0156</t>
        </is>
      </c>
      <c r="C157">
        <f>IF(B157="","",IFERROR(INDEX(Data_Requests!$F$2:$F$2001,MATCH(B157,Data_Requests!$A$2:$A$2001,0)),""))</f>
        <v/>
      </c>
      <c r="G157" s="2" t="n"/>
    </row>
    <row r="158">
      <c r="A158" t="inlineStr">
        <is>
          <t>LOG0157</t>
        </is>
      </c>
      <c r="C158">
        <f>IF(B158="","",IFERROR(INDEX(Data_Requests!$F$2:$F$2001,MATCH(B158,Data_Requests!$A$2:$A$2001,0)),""))</f>
        <v/>
      </c>
      <c r="G158" s="2" t="n"/>
    </row>
    <row r="159">
      <c r="A159" t="inlineStr">
        <is>
          <t>LOG0158</t>
        </is>
      </c>
      <c r="C159">
        <f>IF(B159="","",IFERROR(INDEX(Data_Requests!$F$2:$F$2001,MATCH(B159,Data_Requests!$A$2:$A$2001,0)),""))</f>
        <v/>
      </c>
      <c r="G159" s="2" t="n"/>
    </row>
    <row r="160">
      <c r="A160" t="inlineStr">
        <is>
          <t>LOG0159</t>
        </is>
      </c>
      <c r="C160">
        <f>IF(B160="","",IFERROR(INDEX(Data_Requests!$F$2:$F$2001,MATCH(B160,Data_Requests!$A$2:$A$2001,0)),""))</f>
        <v/>
      </c>
      <c r="G160" s="2" t="n"/>
    </row>
    <row r="161">
      <c r="A161" t="inlineStr">
        <is>
          <t>LOG0160</t>
        </is>
      </c>
      <c r="C161">
        <f>IF(B161="","",IFERROR(INDEX(Data_Requests!$F$2:$F$2001,MATCH(B161,Data_Requests!$A$2:$A$2001,0)),""))</f>
        <v/>
      </c>
      <c r="G161" s="2" t="n"/>
    </row>
    <row r="162">
      <c r="A162" t="inlineStr">
        <is>
          <t>LOG0161</t>
        </is>
      </c>
      <c r="C162">
        <f>IF(B162="","",IFERROR(INDEX(Data_Requests!$F$2:$F$2001,MATCH(B162,Data_Requests!$A$2:$A$2001,0)),""))</f>
        <v/>
      </c>
      <c r="G162" s="2" t="n"/>
    </row>
    <row r="163">
      <c r="A163" t="inlineStr">
        <is>
          <t>LOG0162</t>
        </is>
      </c>
      <c r="C163">
        <f>IF(B163="","",IFERROR(INDEX(Data_Requests!$F$2:$F$2001,MATCH(B163,Data_Requests!$A$2:$A$2001,0)),""))</f>
        <v/>
      </c>
      <c r="G163" s="2" t="n"/>
    </row>
    <row r="164">
      <c r="A164" t="inlineStr">
        <is>
          <t>LOG0163</t>
        </is>
      </c>
      <c r="C164">
        <f>IF(B164="","",IFERROR(INDEX(Data_Requests!$F$2:$F$2001,MATCH(B164,Data_Requests!$A$2:$A$2001,0)),""))</f>
        <v/>
      </c>
      <c r="G164" s="2" t="n"/>
    </row>
    <row r="165">
      <c r="A165" t="inlineStr">
        <is>
          <t>LOG0164</t>
        </is>
      </c>
      <c r="C165">
        <f>IF(B165="","",IFERROR(INDEX(Data_Requests!$F$2:$F$2001,MATCH(B165,Data_Requests!$A$2:$A$2001,0)),""))</f>
        <v/>
      </c>
      <c r="G165" s="2" t="n"/>
    </row>
    <row r="166">
      <c r="A166" t="inlineStr">
        <is>
          <t>LOG0165</t>
        </is>
      </c>
      <c r="C166">
        <f>IF(B166="","",IFERROR(INDEX(Data_Requests!$F$2:$F$2001,MATCH(B166,Data_Requests!$A$2:$A$2001,0)),""))</f>
        <v/>
      </c>
      <c r="G166" s="2" t="n"/>
    </row>
    <row r="167">
      <c r="A167" t="inlineStr">
        <is>
          <t>LOG0166</t>
        </is>
      </c>
      <c r="C167">
        <f>IF(B167="","",IFERROR(INDEX(Data_Requests!$F$2:$F$2001,MATCH(B167,Data_Requests!$A$2:$A$2001,0)),""))</f>
        <v/>
      </c>
      <c r="G167" s="2" t="n"/>
    </row>
    <row r="168">
      <c r="A168" t="inlineStr">
        <is>
          <t>LOG0167</t>
        </is>
      </c>
      <c r="C168">
        <f>IF(B168="","",IFERROR(INDEX(Data_Requests!$F$2:$F$2001,MATCH(B168,Data_Requests!$A$2:$A$2001,0)),""))</f>
        <v/>
      </c>
      <c r="G168" s="2" t="n"/>
    </row>
    <row r="169">
      <c r="A169" t="inlineStr">
        <is>
          <t>LOG0168</t>
        </is>
      </c>
      <c r="C169">
        <f>IF(B169="","",IFERROR(INDEX(Data_Requests!$F$2:$F$2001,MATCH(B169,Data_Requests!$A$2:$A$2001,0)),""))</f>
        <v/>
      </c>
      <c r="G169" s="2" t="n"/>
    </row>
    <row r="170">
      <c r="A170" t="inlineStr">
        <is>
          <t>LOG0169</t>
        </is>
      </c>
      <c r="C170">
        <f>IF(B170="","",IFERROR(INDEX(Data_Requests!$F$2:$F$2001,MATCH(B170,Data_Requests!$A$2:$A$2001,0)),""))</f>
        <v/>
      </c>
      <c r="G170" s="2" t="n"/>
    </row>
    <row r="171">
      <c r="A171" t="inlineStr">
        <is>
          <t>LOG0170</t>
        </is>
      </c>
      <c r="C171">
        <f>IF(B171="","",IFERROR(INDEX(Data_Requests!$F$2:$F$2001,MATCH(B171,Data_Requests!$A$2:$A$2001,0)),""))</f>
        <v/>
      </c>
      <c r="G171" s="2" t="n"/>
    </row>
    <row r="172">
      <c r="A172" t="inlineStr">
        <is>
          <t>LOG0171</t>
        </is>
      </c>
      <c r="C172">
        <f>IF(B172="","",IFERROR(INDEX(Data_Requests!$F$2:$F$2001,MATCH(B172,Data_Requests!$A$2:$A$2001,0)),""))</f>
        <v/>
      </c>
      <c r="G172" s="2" t="n"/>
    </row>
    <row r="173">
      <c r="A173" t="inlineStr">
        <is>
          <t>LOG0172</t>
        </is>
      </c>
      <c r="C173">
        <f>IF(B173="","",IFERROR(INDEX(Data_Requests!$F$2:$F$2001,MATCH(B173,Data_Requests!$A$2:$A$2001,0)),""))</f>
        <v/>
      </c>
      <c r="G173" s="2" t="n"/>
    </row>
    <row r="174">
      <c r="A174" t="inlineStr">
        <is>
          <t>LOG0173</t>
        </is>
      </c>
      <c r="C174">
        <f>IF(B174="","",IFERROR(INDEX(Data_Requests!$F$2:$F$2001,MATCH(B174,Data_Requests!$A$2:$A$2001,0)),""))</f>
        <v/>
      </c>
      <c r="G174" s="2" t="n"/>
    </row>
    <row r="175">
      <c r="A175" t="inlineStr">
        <is>
          <t>LOG0174</t>
        </is>
      </c>
      <c r="C175">
        <f>IF(B175="","",IFERROR(INDEX(Data_Requests!$F$2:$F$2001,MATCH(B175,Data_Requests!$A$2:$A$2001,0)),""))</f>
        <v/>
      </c>
      <c r="G175" s="2" t="n"/>
    </row>
    <row r="176">
      <c r="A176" t="inlineStr">
        <is>
          <t>LOG0175</t>
        </is>
      </c>
      <c r="C176">
        <f>IF(B176="","",IFERROR(INDEX(Data_Requests!$F$2:$F$2001,MATCH(B176,Data_Requests!$A$2:$A$2001,0)),""))</f>
        <v/>
      </c>
      <c r="G176" s="2" t="n"/>
    </row>
    <row r="177">
      <c r="A177" t="inlineStr">
        <is>
          <t>LOG0176</t>
        </is>
      </c>
      <c r="C177">
        <f>IF(B177="","",IFERROR(INDEX(Data_Requests!$F$2:$F$2001,MATCH(B177,Data_Requests!$A$2:$A$2001,0)),""))</f>
        <v/>
      </c>
      <c r="G177" s="2" t="n"/>
    </row>
    <row r="178">
      <c r="A178" t="inlineStr">
        <is>
          <t>LOG0177</t>
        </is>
      </c>
      <c r="C178">
        <f>IF(B178="","",IFERROR(INDEX(Data_Requests!$F$2:$F$2001,MATCH(B178,Data_Requests!$A$2:$A$2001,0)),""))</f>
        <v/>
      </c>
      <c r="G178" s="2" t="n"/>
    </row>
    <row r="179">
      <c r="A179" t="inlineStr">
        <is>
          <t>LOG0178</t>
        </is>
      </c>
      <c r="C179">
        <f>IF(B179="","",IFERROR(INDEX(Data_Requests!$F$2:$F$2001,MATCH(B179,Data_Requests!$A$2:$A$2001,0)),""))</f>
        <v/>
      </c>
      <c r="G179" s="2" t="n"/>
    </row>
    <row r="180">
      <c r="A180" t="inlineStr">
        <is>
          <t>LOG0179</t>
        </is>
      </c>
      <c r="C180">
        <f>IF(B180="","",IFERROR(INDEX(Data_Requests!$F$2:$F$2001,MATCH(B180,Data_Requests!$A$2:$A$2001,0)),""))</f>
        <v/>
      </c>
      <c r="G180" s="2" t="n"/>
    </row>
    <row r="181">
      <c r="A181" t="inlineStr">
        <is>
          <t>LOG0180</t>
        </is>
      </c>
      <c r="C181">
        <f>IF(B181="","",IFERROR(INDEX(Data_Requests!$F$2:$F$2001,MATCH(B181,Data_Requests!$A$2:$A$2001,0)),""))</f>
        <v/>
      </c>
      <c r="G181" s="2" t="n"/>
    </row>
    <row r="182">
      <c r="A182" t="inlineStr">
        <is>
          <t>LOG0181</t>
        </is>
      </c>
      <c r="C182">
        <f>IF(B182="","",IFERROR(INDEX(Data_Requests!$F$2:$F$2001,MATCH(B182,Data_Requests!$A$2:$A$2001,0)),""))</f>
        <v/>
      </c>
      <c r="G182" s="2" t="n"/>
    </row>
    <row r="183">
      <c r="A183" t="inlineStr">
        <is>
          <t>LOG0182</t>
        </is>
      </c>
      <c r="C183">
        <f>IF(B183="","",IFERROR(INDEX(Data_Requests!$F$2:$F$2001,MATCH(B183,Data_Requests!$A$2:$A$2001,0)),""))</f>
        <v/>
      </c>
      <c r="G183" s="2" t="n"/>
    </row>
    <row r="184">
      <c r="A184" t="inlineStr">
        <is>
          <t>LOG0183</t>
        </is>
      </c>
      <c r="C184">
        <f>IF(B184="","",IFERROR(INDEX(Data_Requests!$F$2:$F$2001,MATCH(B184,Data_Requests!$A$2:$A$2001,0)),""))</f>
        <v/>
      </c>
      <c r="G184" s="2" t="n"/>
    </row>
    <row r="185">
      <c r="A185" t="inlineStr">
        <is>
          <t>LOG0184</t>
        </is>
      </c>
      <c r="C185">
        <f>IF(B185="","",IFERROR(INDEX(Data_Requests!$F$2:$F$2001,MATCH(B185,Data_Requests!$A$2:$A$2001,0)),""))</f>
        <v/>
      </c>
      <c r="G185" s="2" t="n"/>
    </row>
    <row r="186">
      <c r="A186" t="inlineStr">
        <is>
          <t>LOG0185</t>
        </is>
      </c>
      <c r="C186">
        <f>IF(B186="","",IFERROR(INDEX(Data_Requests!$F$2:$F$2001,MATCH(B186,Data_Requests!$A$2:$A$2001,0)),""))</f>
        <v/>
      </c>
      <c r="G186" s="2" t="n"/>
    </row>
    <row r="187">
      <c r="A187" t="inlineStr">
        <is>
          <t>LOG0186</t>
        </is>
      </c>
      <c r="C187">
        <f>IF(B187="","",IFERROR(INDEX(Data_Requests!$F$2:$F$2001,MATCH(B187,Data_Requests!$A$2:$A$2001,0)),""))</f>
        <v/>
      </c>
      <c r="G187" s="2" t="n"/>
    </row>
    <row r="188">
      <c r="A188" t="inlineStr">
        <is>
          <t>LOG0187</t>
        </is>
      </c>
      <c r="C188">
        <f>IF(B188="","",IFERROR(INDEX(Data_Requests!$F$2:$F$2001,MATCH(B188,Data_Requests!$A$2:$A$2001,0)),""))</f>
        <v/>
      </c>
      <c r="G188" s="2" t="n"/>
    </row>
    <row r="189">
      <c r="A189" t="inlineStr">
        <is>
          <t>LOG0188</t>
        </is>
      </c>
      <c r="C189">
        <f>IF(B189="","",IFERROR(INDEX(Data_Requests!$F$2:$F$2001,MATCH(B189,Data_Requests!$A$2:$A$2001,0)),""))</f>
        <v/>
      </c>
      <c r="G189" s="2" t="n"/>
    </row>
    <row r="190">
      <c r="A190" t="inlineStr">
        <is>
          <t>LOG0189</t>
        </is>
      </c>
      <c r="C190">
        <f>IF(B190="","",IFERROR(INDEX(Data_Requests!$F$2:$F$2001,MATCH(B190,Data_Requests!$A$2:$A$2001,0)),""))</f>
        <v/>
      </c>
      <c r="G190" s="2" t="n"/>
    </row>
    <row r="191">
      <c r="A191" t="inlineStr">
        <is>
          <t>LOG0190</t>
        </is>
      </c>
      <c r="C191">
        <f>IF(B191="","",IFERROR(INDEX(Data_Requests!$F$2:$F$2001,MATCH(B191,Data_Requests!$A$2:$A$2001,0)),""))</f>
        <v/>
      </c>
      <c r="G191" s="2" t="n"/>
    </row>
    <row r="192">
      <c r="A192" t="inlineStr">
        <is>
          <t>LOG0191</t>
        </is>
      </c>
      <c r="C192">
        <f>IF(B192="","",IFERROR(INDEX(Data_Requests!$F$2:$F$2001,MATCH(B192,Data_Requests!$A$2:$A$2001,0)),""))</f>
        <v/>
      </c>
      <c r="G192" s="2" t="n"/>
    </row>
    <row r="193">
      <c r="A193" t="inlineStr">
        <is>
          <t>LOG0192</t>
        </is>
      </c>
      <c r="C193">
        <f>IF(B193="","",IFERROR(INDEX(Data_Requests!$F$2:$F$2001,MATCH(B193,Data_Requests!$A$2:$A$2001,0)),""))</f>
        <v/>
      </c>
      <c r="G193" s="2" t="n"/>
    </row>
    <row r="194">
      <c r="A194" t="inlineStr">
        <is>
          <t>LOG0193</t>
        </is>
      </c>
      <c r="C194">
        <f>IF(B194="","",IFERROR(INDEX(Data_Requests!$F$2:$F$2001,MATCH(B194,Data_Requests!$A$2:$A$2001,0)),""))</f>
        <v/>
      </c>
      <c r="G194" s="2" t="n"/>
    </row>
    <row r="195">
      <c r="A195" t="inlineStr">
        <is>
          <t>LOG0194</t>
        </is>
      </c>
      <c r="C195">
        <f>IF(B195="","",IFERROR(INDEX(Data_Requests!$F$2:$F$2001,MATCH(B195,Data_Requests!$A$2:$A$2001,0)),""))</f>
        <v/>
      </c>
      <c r="G195" s="2" t="n"/>
    </row>
    <row r="196">
      <c r="A196" t="inlineStr">
        <is>
          <t>LOG0195</t>
        </is>
      </c>
      <c r="C196">
        <f>IF(B196="","",IFERROR(INDEX(Data_Requests!$F$2:$F$2001,MATCH(B196,Data_Requests!$A$2:$A$2001,0)),""))</f>
        <v/>
      </c>
      <c r="G196" s="2" t="n"/>
    </row>
    <row r="197">
      <c r="A197" t="inlineStr">
        <is>
          <t>LOG0196</t>
        </is>
      </c>
      <c r="C197">
        <f>IF(B197="","",IFERROR(INDEX(Data_Requests!$F$2:$F$2001,MATCH(B197,Data_Requests!$A$2:$A$2001,0)),""))</f>
        <v/>
      </c>
      <c r="G197" s="2" t="n"/>
    </row>
    <row r="198">
      <c r="A198" t="inlineStr">
        <is>
          <t>LOG0197</t>
        </is>
      </c>
      <c r="C198">
        <f>IF(B198="","",IFERROR(INDEX(Data_Requests!$F$2:$F$2001,MATCH(B198,Data_Requests!$A$2:$A$2001,0)),""))</f>
        <v/>
      </c>
      <c r="G198" s="2" t="n"/>
    </row>
    <row r="199">
      <c r="A199" t="inlineStr">
        <is>
          <t>LOG0198</t>
        </is>
      </c>
      <c r="C199">
        <f>IF(B199="","",IFERROR(INDEX(Data_Requests!$F$2:$F$2001,MATCH(B199,Data_Requests!$A$2:$A$2001,0)),""))</f>
        <v/>
      </c>
      <c r="G199" s="2" t="n"/>
    </row>
    <row r="200">
      <c r="A200" t="inlineStr">
        <is>
          <t>LOG0199</t>
        </is>
      </c>
      <c r="C200">
        <f>IF(B200="","",IFERROR(INDEX(Data_Requests!$F$2:$F$2001,MATCH(B200,Data_Requests!$A$2:$A$2001,0)),""))</f>
        <v/>
      </c>
      <c r="G200" s="2" t="n"/>
    </row>
    <row r="201">
      <c r="A201" t="inlineStr">
        <is>
          <t>LOG0200</t>
        </is>
      </c>
      <c r="C201">
        <f>IF(B201="","",IFERROR(INDEX(Data_Requests!$F$2:$F$2001,MATCH(B201,Data_Requests!$A$2:$A$2001,0)),""))</f>
        <v/>
      </c>
      <c r="G201" s="2" t="n"/>
    </row>
  </sheetData>
  <dataValidations count="2">
    <dataValidation sqref="D3:D201" showDropDown="0" showInputMessage="0" showErrorMessage="1" allowBlank="1" errorTitle="Maker-checker rule" error="Checker must be a checker ID (C1 to C3) and cannot be the maker." type="custom">
      <formula1>AND(D3&lt;&gt;"",D3&lt;&gt;C3,LEFT(D3,1)="C")</formula1>
    </dataValidation>
    <dataValidation sqref="E2:E201" showDropDown="0" showInputMessage="0" showErrorMessage="0" allowBlank="1" type="list">
      <formula1>"Pass,Rework"</formula1>
    </dataValidation>
  </dataValidations>
  <pageMargins left="0.75" right="0.75" top="1" bottom="1" header="0.5" footer="0.5"/>
  <headerFooter>
    <oddHeader/>
    <oddFooter>&amp;CSimulated workflow on real GLEIF entity data. Not Citi data.</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45"/>
  <sheetViews>
    <sheetView topLeftCell="A5" workbookViewId="0">
      <selection activeCell="A31" sqref="A31"/>
    </sheetView>
  </sheetViews>
  <sheetFormatPr baseColWidth="8" defaultRowHeight="14.4"/>
  <cols>
    <col width="48" customWidth="1" min="1" max="1"/>
    <col width="16" customWidth="1" min="2" max="3"/>
    <col width="18" customWidth="1" min="4" max="5"/>
    <col width="16" customWidth="1" min="6" max="6"/>
    <col width="10" customWidth="1" min="7" max="7"/>
  </cols>
  <sheetData>
    <row r="1" ht="18" customHeight="1">
      <c r="A1" s="1" t="inlineStr">
        <is>
          <t>KPI summary</t>
        </is>
      </c>
    </row>
    <row r="2">
      <c r="A2" s="3" t="inlineStr">
        <is>
          <t>Overall check</t>
        </is>
      </c>
      <c r="B2" s="3">
        <f>IF(COUNTIF(D6:D17,"CHECK")+COUNTIF(G21:G24,"CHECK")+COUNTIF(D31,"CHECK")=0,"ALL OK","REVIEW")</f>
        <v/>
      </c>
    </row>
    <row r="3">
      <c r="A3" t="inlineStr">
        <is>
          <t>All values are simulated. Escalation and error rates follow my severity and error-injection assumptions.</t>
        </is>
      </c>
    </row>
    <row r="5">
      <c r="A5" s="3" t="inlineStr">
        <is>
          <t>Metric</t>
        </is>
      </c>
      <c r="B5" s="3" t="inlineStr">
        <is>
          <t>Excel formula</t>
        </is>
      </c>
      <c r="C5" s="3" t="inlineStr">
        <is>
          <t>DuckDB value</t>
        </is>
      </c>
      <c r="D5" s="3" t="inlineStr">
        <is>
          <t>Check</t>
        </is>
      </c>
    </row>
    <row r="6">
      <c r="A6" t="inlineStr">
        <is>
          <t>Requests received</t>
        </is>
      </c>
      <c r="B6" s="5">
        <f>COUNTA(Data_Requests!$A$2:$A$2001)</f>
        <v/>
      </c>
      <c r="C6" s="5" t="n">
        <v>2000</v>
      </c>
      <c r="D6">
        <f>IF(ABS(B6-C6)&lt;0.0001,"OK","CHECK")</f>
        <v/>
      </c>
    </row>
    <row r="7">
      <c r="A7" t="inlineStr">
        <is>
          <t>Completed</t>
        </is>
      </c>
      <c r="B7" s="5">
        <f>COUNTIFS(Data_Requests!$J$2:$J$2001,"Completed")</f>
        <v/>
      </c>
      <c r="C7" s="5" t="n">
        <v>1980</v>
      </c>
      <c r="D7">
        <f>IF(ABS(B7-C7)&lt;0.0001,"OK","CHECK")</f>
        <v/>
      </c>
    </row>
    <row r="8">
      <c r="A8" t="inlineStr">
        <is>
          <t>Open</t>
        </is>
      </c>
      <c r="B8" s="5">
        <f>COUNTIFS(Data_Requests!$J$2:$J$2001,"Open")</f>
        <v/>
      </c>
      <c r="C8" s="5" t="n">
        <v>20</v>
      </c>
      <c r="D8">
        <f>IF(ABS(B8-C8)&lt;0.0001,"OK","CHECK")</f>
        <v/>
      </c>
    </row>
    <row r="9">
      <c r="A9" t="inlineStr">
        <is>
          <t>Median turnaround (hours)</t>
        </is>
      </c>
      <c r="B9" s="6">
        <f>MEDIAN(Data_Requests!$K$2:$K$2001)</f>
        <v/>
      </c>
      <c r="C9" s="6" t="n">
        <v>1.905</v>
      </c>
      <c r="D9">
        <f>IF(ABS(B9-C9)&lt;0.0001,"OK","CHECK")</f>
        <v/>
      </c>
    </row>
    <row r="10">
      <c r="A10" t="inlineStr">
        <is>
          <t>P90 turnaround (hours)</t>
        </is>
      </c>
      <c r="B10" s="6">
        <f>PERCENTILE(Data_Requests!$K$2:$K$2001,0.9)</f>
        <v/>
      </c>
      <c r="C10" s="6" t="n">
        <v>5.93</v>
      </c>
      <c r="D10">
        <f>IF(ABS(B10-C10)&lt;0.0001,"OK","CHECK")</f>
        <v/>
      </c>
    </row>
    <row r="11">
      <c r="A11" t="inlineStr">
        <is>
          <t>SLA breaches (count)</t>
        </is>
      </c>
      <c r="B11" s="5">
        <f>COUNTIFS(Data_Requests!$M$2:$M$2001,TRUE)</f>
        <v/>
      </c>
      <c r="C11" s="5" t="n">
        <v>0</v>
      </c>
      <c r="D11">
        <f>IF(ABS(B11-C11)&lt;0.0001,"OK","CHECK")</f>
        <v/>
      </c>
    </row>
    <row r="12">
      <c r="A12" t="inlineStr">
        <is>
          <t>SLA breach % of completed</t>
        </is>
      </c>
      <c r="B12" s="7">
        <f>COUNTIFS(Data_Requests!$M$2:$M$2001,TRUE)/COUNTIFS(Data_Requests!$J$2:$J$2001,"Completed")</f>
        <v/>
      </c>
      <c r="C12" s="7" t="n">
        <v>0</v>
      </c>
      <c r="D12">
        <f>IF(ABS(B12-C12)&lt;0.0001,"OK","CHECK")</f>
        <v/>
      </c>
    </row>
    <row r="13">
      <c r="A13" t="inlineStr">
        <is>
          <t>First-time-right % of completed</t>
        </is>
      </c>
      <c r="B13" s="7">
        <f>COUNTIFS(Data_Requests!$O$2:$O$2001,TRUE)/COUNTIFS(Data_Requests!$J$2:$J$2001,"Completed")</f>
        <v/>
      </c>
      <c r="C13" s="7" t="n">
        <v>0.945959595959596</v>
      </c>
      <c r="D13">
        <f>IF(ABS(B13-C13)&lt;0.0001,"OK","CHECK")</f>
        <v/>
      </c>
    </row>
    <row r="14">
      <c r="A14" t="inlineStr">
        <is>
          <t>Requests with an error</t>
        </is>
      </c>
      <c r="B14" s="5">
        <f>COUNTIFS(Data_Requests!$P$2:$P$2001,TRUE)</f>
        <v/>
      </c>
      <c r="C14" s="5" t="n">
        <v>107</v>
      </c>
      <c r="D14">
        <f>IF(ABS(B14-C14)&lt;0.0001,"OK","CHECK")</f>
        <v/>
      </c>
    </row>
    <row r="15">
      <c r="A15" t="inlineStr">
        <is>
          <t>Error rate (simulated, assumed injected rate)</t>
        </is>
      </c>
      <c r="B15" s="7">
        <f>COUNTIFS(Data_Requests!$P$2:$P$2001,TRUE)/COUNTA(Data_Requests!$A$2:$A$2001)</f>
        <v/>
      </c>
      <c r="C15" s="7" t="n">
        <v>0.0535</v>
      </c>
      <c r="D15">
        <f>IF(ABS(B15-C15)&lt;0.0001,"OK","CHECK")</f>
        <v/>
      </c>
    </row>
    <row r="16">
      <c r="A16" t="inlineStr">
        <is>
          <t>Escalated requests (matches fact_escalation)</t>
        </is>
      </c>
      <c r="B16" s="5">
        <f>COUNTIFS(Data_Requests!$Q$2:$Q$2001,TRUE)</f>
        <v/>
      </c>
      <c r="C16" s="5" t="n">
        <v>993</v>
      </c>
      <c r="D16">
        <f>IF(ABS(B16-C16)&lt;0.0001,"OK","CHECK")</f>
        <v/>
      </c>
    </row>
    <row r="17">
      <c r="A17" t="inlineStr">
        <is>
          <t>Total rework loops</t>
        </is>
      </c>
      <c r="B17" s="5">
        <f>SUM(Data_Requests!$N$2:$N$2001)</f>
        <v/>
      </c>
      <c r="C17" s="5" t="n">
        <v>107</v>
      </c>
      <c r="D17">
        <f>IF(ABS(B17-C17)&lt;0.0001,"OK","CHECK")</f>
        <v/>
      </c>
    </row>
    <row r="19">
      <c r="A19" s="3" t="inlineStr">
        <is>
          <t>By request type</t>
        </is>
      </c>
    </row>
    <row r="20">
      <c r="A20" s="3" t="inlineStr">
        <is>
          <t>request_type</t>
        </is>
      </c>
      <c r="B20" s="3" t="inlineStr">
        <is>
          <t>Count (Excel)</t>
        </is>
      </c>
      <c r="C20" s="3" t="inlineStr">
        <is>
          <t>Count (DuckDB)</t>
        </is>
      </c>
      <c r="D20" s="3" t="inlineStr">
        <is>
          <t>Avg TAT h (Excel)</t>
        </is>
      </c>
      <c r="E20" s="3" t="inlineStr">
        <is>
          <t>Avg TAT h (DuckDB)</t>
        </is>
      </c>
      <c r="F20" s="3" t="inlineStr">
        <is>
          <t>Breach % (Excel)</t>
        </is>
      </c>
      <c r="G20" s="3" t="inlineStr">
        <is>
          <t>Check</t>
        </is>
      </c>
    </row>
    <row r="21">
      <c r="A21" t="inlineStr">
        <is>
          <t>data_amendment</t>
        </is>
      </c>
      <c r="B21">
        <f>COUNTIFS(Data_Requests!$C$2:$C$2001,A21)</f>
        <v/>
      </c>
      <c r="C21" t="n">
        <v>384</v>
      </c>
      <c r="D21" s="6">
        <f>AVERAGEIFS(Data_Requests!$K$2:$K$2001,Data_Requests!$C$2:$C$2001,A21)</f>
        <v/>
      </c>
      <c r="E21" s="6" t="n">
        <v>2.336596306068601</v>
      </c>
      <c r="F21" s="7">
        <f>COUNTIFS(Data_Requests!$C$2:$C$2001,A21,Data_Requests!$M$2:$M$2001,TRUE)/COUNTIFS(Data_Requests!$C$2:$C$2001,A21,Data_Requests!$J$2:$J$2001,"Completed")</f>
        <v/>
      </c>
      <c r="G21">
        <f>IF(AND(B21=C21,ABS(D21-E21)&lt;0.001),"OK","CHECK")</f>
        <v/>
      </c>
    </row>
    <row r="22">
      <c r="A22" t="inlineStr">
        <is>
          <t>document_refresh</t>
        </is>
      </c>
      <c r="B22">
        <f>COUNTIFS(Data_Requests!$C$2:$C$2001,A22)</f>
        <v/>
      </c>
      <c r="C22" t="n">
        <v>691</v>
      </c>
      <c r="D22" s="6">
        <f>AVERAGEIFS(Data_Requests!$K$2:$K$2001,Data_Requests!$C$2:$C$2001,A22)</f>
        <v/>
      </c>
      <c r="E22" s="6" t="n">
        <v>2.684306569343069</v>
      </c>
      <c r="F22" s="7">
        <f>COUNTIFS(Data_Requests!$C$2:$C$2001,A22,Data_Requests!$M$2:$M$2001,TRUE)/COUNTIFS(Data_Requests!$C$2:$C$2001,A22,Data_Requests!$J$2:$J$2001,"Completed")</f>
        <v/>
      </c>
      <c r="G22">
        <f>IF(AND(B22=C22,ABS(D22-E22)&lt;0.001),"OK","CHECK")</f>
        <v/>
      </c>
    </row>
    <row r="23">
      <c r="A23" t="inlineStr">
        <is>
          <t>new_account</t>
        </is>
      </c>
      <c r="B23">
        <f>COUNTIFS(Data_Requests!$C$2:$C$2001,A23)</f>
        <v/>
      </c>
      <c r="C23" t="n">
        <v>504</v>
      </c>
      <c r="D23" s="6">
        <f>AVERAGEIFS(Data_Requests!$K$2:$K$2001,Data_Requests!$C$2:$C$2001,A23)</f>
        <v/>
      </c>
      <c r="E23" s="6" t="n">
        <v>3.09415662650602</v>
      </c>
      <c r="F23" s="7">
        <f>COUNTIFS(Data_Requests!$C$2:$C$2001,A23,Data_Requests!$M$2:$M$2001,TRUE)/COUNTIFS(Data_Requests!$C$2:$C$2001,A23,Data_Requests!$J$2:$J$2001,"Completed")</f>
        <v/>
      </c>
      <c r="G23">
        <f>IF(AND(B23=C23,ABS(D23-E23)&lt;0.001),"OK","CHECK")</f>
        <v/>
      </c>
    </row>
    <row r="24">
      <c r="A24" t="inlineStr">
        <is>
          <t>signatory_change</t>
        </is>
      </c>
      <c r="B24">
        <f>COUNTIFS(Data_Requests!$C$2:$C$2001,A24)</f>
        <v/>
      </c>
      <c r="C24" t="n">
        <v>421</v>
      </c>
      <c r="D24" s="6">
        <f>AVERAGEIFS(Data_Requests!$K$2:$K$2001,Data_Requests!$C$2:$C$2001,A24)</f>
        <v/>
      </c>
      <c r="E24" s="6" t="n">
        <v>2.803660287081339</v>
      </c>
      <c r="F24" s="7">
        <f>COUNTIFS(Data_Requests!$C$2:$C$2001,A24,Data_Requests!$M$2:$M$2001,TRUE)/COUNTIFS(Data_Requests!$C$2:$C$2001,A24,Data_Requests!$J$2:$J$2001,"Completed")</f>
        <v/>
      </c>
      <c r="G24">
        <f>IF(AND(B24=C24,ABS(D24-E24)&lt;0.001),"OK","CHECK")</f>
        <v/>
      </c>
    </row>
    <row r="26">
      <c r="A26" s="3" t="inlineStr">
        <is>
          <t>Open requests by priority band (Daily_Queue)</t>
        </is>
      </c>
    </row>
    <row r="27">
      <c r="A27" t="inlineStr">
        <is>
          <t>P0</t>
        </is>
      </c>
      <c r="B27">
        <f>COUNTIF(Daily_Queue!$G$4:$G$23,"P0*")</f>
        <v/>
      </c>
    </row>
    <row r="28">
      <c r="A28" t="inlineStr">
        <is>
          <t>P1</t>
        </is>
      </c>
      <c r="B28">
        <f>COUNTIF(Daily_Queue!$G$4:$G$23,"P1*")</f>
        <v/>
      </c>
    </row>
    <row r="29">
      <c r="A29" t="inlineStr">
        <is>
          <t>P2</t>
        </is>
      </c>
      <c r="B29">
        <f>COUNTIF(Daily_Queue!$G$4:$G$23,"P2*")</f>
        <v/>
      </c>
    </row>
    <row r="30">
      <c r="A30" t="inlineStr">
        <is>
          <t>P3</t>
        </is>
      </c>
      <c r="B30">
        <f>COUNTIF(Daily_Queue!$G$4:$G$23,"P3*")</f>
        <v/>
      </c>
    </row>
    <row r="31">
      <c r="A31" t="inlineStr">
        <is>
          <t>Total in bands</t>
        </is>
      </c>
      <c r="B31">
        <f>SUM(B27:B30)</f>
        <v/>
      </c>
      <c r="C31">
        <f>B8</f>
        <v/>
      </c>
      <c r="D31">
        <f>IF(B31=C31,"OK","CHECK")</f>
        <v/>
      </c>
    </row>
    <row r="34">
      <c r="A34" s="11" t="inlineStr">
        <is>
          <t>Lodgment and archive KPIs (simulated logs, Excel only)</t>
        </is>
      </c>
    </row>
    <row r="35">
      <c r="A35" t="inlineStr">
        <is>
          <t>Lodgment entries</t>
        </is>
      </c>
      <c r="B35" s="5">
        <f>COUNTA(Lodgment_Log!B2:B201)</f>
        <v/>
      </c>
      <c r="C35" t="inlineStr">
        <is>
          <t>No DuckDB equivalent</t>
        </is>
      </c>
    </row>
    <row r="36">
      <c r="A36" t="inlineStr">
        <is>
          <t>Lodged</t>
        </is>
      </c>
      <c r="B36" s="5">
        <f>COUNTIF(Lodgment_Log!I2:I201,"Lodged")</f>
        <v/>
      </c>
      <c r="C36" t="inlineStr">
        <is>
          <t>No DuckDB equivalent</t>
        </is>
      </c>
    </row>
    <row r="37">
      <c r="A37" t="inlineStr">
        <is>
          <t>Lodged with a Complete check</t>
        </is>
      </c>
      <c r="B37" s="5">
        <f>COUNTIFS(Lodgment_Log!I2:I201,"Lodged",Lodgment_Log!F2:F201,"Complete")</f>
        <v/>
      </c>
      <c r="C37" t="inlineStr">
        <is>
          <t>No DuckDB equivalent</t>
        </is>
      </c>
    </row>
    <row r="38">
      <c r="A38" t="inlineStr">
        <is>
          <t>Average hours to lodge</t>
        </is>
      </c>
      <c r="B38" s="6">
        <f>AVERAGE(Lodgment_Log!J2:J201)</f>
        <v/>
      </c>
      <c r="C38" t="inlineStr">
        <is>
          <t>No DuckDB equivalent</t>
        </is>
      </c>
    </row>
    <row r="39">
      <c r="A39" t="inlineStr">
        <is>
          <t>Lodged within 4 hours (assumed target)</t>
        </is>
      </c>
      <c r="B39" s="7">
        <f>COUNTIFS(Lodgment_Log!I2:I201,"Lodged",Lodgment_Log!J2:J201,"&lt;=4")/B36</f>
        <v/>
      </c>
      <c r="C39" t="inlineStr">
        <is>
          <t>No DuckDB equivalent</t>
        </is>
      </c>
    </row>
    <row r="40">
      <c r="A40" t="inlineStr">
        <is>
          <t>Lodgment rows with a CHECK flag</t>
        </is>
      </c>
      <c r="B40" s="5">
        <f>COUNTIF(Lodgment_Log!K2:K201,"CHECK*")</f>
        <v/>
      </c>
      <c r="C40" t="inlineStr">
        <is>
          <t>No DuckDB equivalent</t>
        </is>
      </c>
    </row>
    <row r="41">
      <c r="A41" t="inlineStr">
        <is>
          <t>Archive entries</t>
        </is>
      </c>
      <c r="B41" s="5">
        <f>COUNTA(Archive_Manifest!B2:B201)</f>
        <v/>
      </c>
      <c r="C41" t="inlineStr">
        <is>
          <t>No DuckDB equivalent</t>
        </is>
      </c>
    </row>
    <row r="42">
      <c r="A42" t="inlineStr">
        <is>
          <t>Archive complete</t>
        </is>
      </c>
      <c r="B42" s="5">
        <f>COUNTIF(Archive_Manifest!I2:I201,"Complete")</f>
        <v/>
      </c>
      <c r="C42" t="inlineStr">
        <is>
          <t>No DuckDB equivalent</t>
        </is>
      </c>
    </row>
    <row r="43">
      <c r="A43" t="inlineStr">
        <is>
          <t>Archive completeness rate</t>
        </is>
      </c>
      <c r="B43" s="7">
        <f>B42/B41</f>
        <v/>
      </c>
      <c r="C43" t="inlineStr">
        <is>
          <t>No DuckDB equivalent</t>
        </is>
      </c>
    </row>
    <row r="44">
      <c r="A44" t="inlineStr">
        <is>
          <t>Archive rows with a CHECK flag</t>
        </is>
      </c>
      <c r="B44" s="5">
        <f>COUNTIF(Archive_Manifest!M2:M201,"CHECK*")</f>
        <v/>
      </c>
      <c r="C44" t="inlineStr">
        <is>
          <t>No DuckDB equivalent</t>
        </is>
      </c>
    </row>
    <row r="45">
      <c r="A45" t="inlineStr">
        <is>
          <t>Checker_Log rows with a CHECK flag</t>
        </is>
      </c>
      <c r="B45" s="5">
        <f>COUNTIF(Checker_Log!I2:I201,"CHECK*")</f>
        <v/>
      </c>
      <c r="C45" t="inlineStr">
        <is>
          <t>No DuckDB equivalent</t>
        </is>
      </c>
    </row>
  </sheetData>
  <conditionalFormatting sqref="B2">
    <cfRule type="cellIs" priority="9" operator="equal" dxfId="0">
      <formula>"CHECK"</formula>
    </cfRule>
    <cfRule type="cellIs" priority="10" operator="equal" dxfId="0">
      <formula>"REVIEW"</formula>
    </cfRule>
    <cfRule type="cellIs" priority="11" operator="equal" dxfId="3">
      <formula>"OK"</formula>
    </cfRule>
    <cfRule type="cellIs" priority="12" operator="equal" dxfId="3">
      <formula>"ALL OK"</formula>
    </cfRule>
  </conditionalFormatting>
  <conditionalFormatting sqref="D6:D31">
    <cfRule type="cellIs" priority="1" operator="equal" dxfId="0">
      <formula>"CHECK"</formula>
    </cfRule>
    <cfRule type="cellIs" priority="2" operator="equal" dxfId="0">
      <formula>"REVIEW"</formula>
    </cfRule>
    <cfRule type="cellIs" priority="3" operator="equal" dxfId="3">
      <formula>"OK"</formula>
    </cfRule>
    <cfRule type="cellIs" priority="4" operator="equal" dxfId="3">
      <formula>"ALL OK"</formula>
    </cfRule>
  </conditionalFormatting>
  <conditionalFormatting sqref="G21:G24">
    <cfRule type="cellIs" priority="5" operator="equal" dxfId="0">
      <formula>"CHECK"</formula>
    </cfRule>
    <cfRule type="cellIs" priority="6" operator="equal" dxfId="0">
      <formula>"REVIEW"</formula>
    </cfRule>
    <cfRule type="cellIs" priority="7" operator="equal" dxfId="3">
      <formula>"OK"</formula>
    </cfRule>
    <cfRule type="cellIs" priority="8" operator="equal" dxfId="3">
      <formula>"ALL OK"</formula>
    </cfRule>
  </conditionalFormatting>
  <pageMargins left="0.75" right="0.75" top="1" bottom="1" header="0.5" footer="0.5"/>
  <headerFooter>
    <oddHeader/>
    <oddFooter>&amp;CSimulated workflow on real GLEIF entity data. Not Citi data.</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O201"/>
  <sheetViews>
    <sheetView workbookViewId="0">
      <pane ySplit="1" topLeftCell="A2" activePane="bottomLeft" state="frozen"/>
      <selection pane="bottomLeft" activeCell="G20" sqref="G20"/>
    </sheetView>
  </sheetViews>
  <sheetFormatPr baseColWidth="8" defaultRowHeight="14.4"/>
  <cols>
    <col width="12" customWidth="1" min="1" max="2"/>
    <col width="22" customWidth="1" min="3" max="3"/>
    <col width="18" customWidth="1" min="4" max="4"/>
    <col width="12" customWidth="1" min="5" max="5"/>
    <col width="14" customWidth="1" min="6" max="6"/>
    <col width="12" customWidth="1" min="7" max="7"/>
    <col width="18" customWidth="1" min="8" max="9"/>
    <col width="14" customWidth="1" min="10" max="10"/>
    <col width="36" customWidth="1" min="11" max="11"/>
    <col width="30" customWidth="1" min="12" max="12"/>
    <col width="3" customWidth="1" min="13" max="13"/>
    <col width="22" customWidth="1" min="14" max="14"/>
    <col width="10" customWidth="1" min="15" max="15"/>
  </cols>
  <sheetData>
    <row r="1">
      <c r="A1" s="3" t="inlineStr">
        <is>
          <t>lodgment_id</t>
        </is>
      </c>
      <c r="B1" s="3" t="inlineStr">
        <is>
          <t>request_id</t>
        </is>
      </c>
      <c r="C1" s="3" t="inlineStr">
        <is>
          <t>document_type</t>
        </is>
      </c>
      <c r="D1" s="3" t="inlineStr">
        <is>
          <t>received_ts</t>
        </is>
      </c>
      <c r="E1" s="3" t="inlineStr">
        <is>
          <t>checked_by</t>
        </is>
      </c>
      <c r="F1" s="3" t="inlineStr">
        <is>
          <t>check_result</t>
        </is>
      </c>
      <c r="G1" s="3" t="inlineStr">
        <is>
          <t>lodged_by</t>
        </is>
      </c>
      <c r="H1" s="3" t="inlineStr">
        <is>
          <t>lodged_ts</t>
        </is>
      </c>
      <c r="I1" s="3" t="inlineStr">
        <is>
          <t>system_status</t>
        </is>
      </c>
      <c r="J1" s="3" t="inlineStr">
        <is>
          <t>hours_to_lodge</t>
        </is>
      </c>
      <c r="K1" s="3" t="inlineStr">
        <is>
          <t>flag</t>
        </is>
      </c>
      <c r="L1" s="3" t="inlineStr">
        <is>
          <t>comment</t>
        </is>
      </c>
      <c r="N1" s="3" t="inlineStr">
        <is>
          <t>Lodgment status</t>
        </is>
      </c>
    </row>
    <row r="2">
      <c r="A2" t="inlineStr">
        <is>
          <t>LDG0001</t>
        </is>
      </c>
      <c r="B2" t="inlineStr">
        <is>
          <t>REQ00001</t>
        </is>
      </c>
      <c r="C2" t="inlineStr">
        <is>
          <t>Signatory list</t>
        </is>
      </c>
      <c r="D2" s="2" t="n">
        <v>46300.375</v>
      </c>
      <c r="E2" t="inlineStr">
        <is>
          <t>C1</t>
        </is>
      </c>
      <c r="F2" t="inlineStr">
        <is>
          <t>Complete</t>
        </is>
      </c>
      <c r="G2" t="inlineStr">
        <is>
          <t>M1</t>
        </is>
      </c>
      <c r="H2" s="2" t="n">
        <v>46300.45833333334</v>
      </c>
      <c r="I2" t="inlineStr">
        <is>
          <t>Lodged</t>
        </is>
      </c>
      <c r="J2">
        <f>IF(AND(D2&lt;&gt;"",H2&lt;&gt;""),ROUND((H2-D2)*24,1),"")</f>
        <v/>
      </c>
      <c r="K2">
        <f>IF(AND(I2="Lodged",F2&lt;&gt;"Complete"),"CHECK: lodged without complete check","")</f>
        <v/>
      </c>
      <c r="N2" t="inlineStr">
        <is>
          <t>Pending</t>
        </is>
      </c>
      <c r="O2">
        <f>COUNTIF($I$2:$I$201,N2)</f>
        <v/>
      </c>
    </row>
    <row r="3">
      <c r="A3" t="inlineStr">
        <is>
          <t>LDG0002</t>
        </is>
      </c>
      <c r="B3" t="inlineStr">
        <is>
          <t>REQ00101</t>
        </is>
      </c>
      <c r="C3" t="inlineStr">
        <is>
          <t>Board resolution</t>
        </is>
      </c>
      <c r="D3" s="2" t="n">
        <v>46301.41666666666</v>
      </c>
      <c r="E3" t="inlineStr">
        <is>
          <t>C2</t>
        </is>
      </c>
      <c r="F3" t="inlineStr">
        <is>
          <t>Complete</t>
        </is>
      </c>
      <c r="G3" t="inlineStr">
        <is>
          <t>M2</t>
        </is>
      </c>
      <c r="H3" s="2" t="n">
        <v>46301.54166666666</v>
      </c>
      <c r="I3" t="inlineStr">
        <is>
          <t>Lodged</t>
        </is>
      </c>
      <c r="J3">
        <f>IF(AND(D3&lt;&gt;"",H3&lt;&gt;""),ROUND((H3-D3)*24,1),"")</f>
        <v/>
      </c>
      <c r="K3">
        <f>IF(AND(I3="Lodged",F3&lt;&gt;"Complete"),"CHECK: lodged without complete check","")</f>
        <v/>
      </c>
      <c r="N3" t="inlineStr">
        <is>
          <t>Lodged</t>
        </is>
      </c>
      <c r="O3">
        <f>COUNTIF($I$2:$I$201,N3)</f>
        <v/>
      </c>
    </row>
    <row r="4">
      <c r="A4" t="inlineStr">
        <is>
          <t>LDG0003</t>
        </is>
      </c>
      <c r="B4" t="inlineStr">
        <is>
          <t>REQ00201</t>
        </is>
      </c>
      <c r="C4" t="inlineStr">
        <is>
          <t>ID document</t>
        </is>
      </c>
      <c r="D4" s="2" t="n">
        <v>46302.45833333334</v>
      </c>
      <c r="E4" t="inlineStr">
        <is>
          <t>C3</t>
        </is>
      </c>
      <c r="F4" t="inlineStr">
        <is>
          <t>Complete</t>
        </is>
      </c>
      <c r="G4" t="inlineStr">
        <is>
          <t>M3</t>
        </is>
      </c>
      <c r="H4" s="2" t="n">
        <v>46302.625</v>
      </c>
      <c r="I4" t="inlineStr">
        <is>
          <t>Lodged</t>
        </is>
      </c>
      <c r="J4">
        <f>IF(AND(D4&lt;&gt;"",H4&lt;&gt;""),ROUND((H4-D4)*24,1),"")</f>
        <v/>
      </c>
      <c r="K4">
        <f>IF(AND(I4="Lodged",F4&lt;&gt;"Complete"),"CHECK: lodged without complete check","")</f>
        <v/>
      </c>
      <c r="N4" t="inlineStr">
        <is>
          <t>Returned to client</t>
        </is>
      </c>
      <c r="O4">
        <f>COUNTIF($I$2:$I$201,N4)</f>
        <v/>
      </c>
    </row>
    <row r="5">
      <c r="A5" t="inlineStr">
        <is>
          <t>LDG0004</t>
        </is>
      </c>
      <c r="B5" t="inlineStr">
        <is>
          <t>REQ00301</t>
        </is>
      </c>
      <c r="C5" t="inlineStr">
        <is>
          <t>Account opening form</t>
        </is>
      </c>
      <c r="D5" s="2" t="n">
        <v>46303.5</v>
      </c>
      <c r="E5" t="inlineStr">
        <is>
          <t>C4</t>
        </is>
      </c>
      <c r="F5" t="inlineStr">
        <is>
          <t>Complete</t>
        </is>
      </c>
      <c r="G5" t="inlineStr">
        <is>
          <t>M4</t>
        </is>
      </c>
      <c r="H5" s="2" t="n">
        <v>46303.70833333334</v>
      </c>
      <c r="I5" t="inlineStr">
        <is>
          <t>Lodged</t>
        </is>
      </c>
      <c r="J5">
        <f>IF(AND(D5&lt;&gt;"",H5&lt;&gt;""),ROUND((H5-D5)*24,1),"")</f>
        <v/>
      </c>
      <c r="K5">
        <f>IF(AND(I5="Lodged",F5&lt;&gt;"Complete"),"CHECK: lodged without complete check","")</f>
        <v/>
      </c>
    </row>
    <row r="6">
      <c r="A6" t="inlineStr">
        <is>
          <t>LDG0005</t>
        </is>
      </c>
      <c r="B6" t="inlineStr">
        <is>
          <t>REQ00401</t>
        </is>
      </c>
      <c r="C6" t="inlineStr">
        <is>
          <t>Signature card</t>
        </is>
      </c>
      <c r="D6" s="2" t="n">
        <v>46304.54166666666</v>
      </c>
      <c r="E6" t="inlineStr">
        <is>
          <t>C1</t>
        </is>
      </c>
      <c r="F6" t="inlineStr">
        <is>
          <t>Complete</t>
        </is>
      </c>
      <c r="G6" t="inlineStr">
        <is>
          <t>M5</t>
        </is>
      </c>
      <c r="H6" s="2" t="n">
        <v>46304.79166666666</v>
      </c>
      <c r="I6" t="inlineStr">
        <is>
          <t>Lodged</t>
        </is>
      </c>
      <c r="J6">
        <f>IF(AND(D6&lt;&gt;"",H6&lt;&gt;""),ROUND((H6-D6)*24,1),"")</f>
        <v/>
      </c>
      <c r="K6">
        <f>IF(AND(I6="Lodged",F6&lt;&gt;"Complete"),"CHECK: lodged without complete check","")</f>
        <v/>
      </c>
      <c r="N6" t="inlineStr">
        <is>
          <t>Rows with CHECK flag</t>
        </is>
      </c>
      <c r="O6">
        <f>COUNTIF($K$2:$K$201,"CHECK*")</f>
        <v/>
      </c>
    </row>
    <row r="7">
      <c r="A7" t="inlineStr">
        <is>
          <t>LDG0006</t>
        </is>
      </c>
      <c r="B7" t="inlineStr">
        <is>
          <t>REQ00501</t>
        </is>
      </c>
      <c r="C7" t="inlineStr">
        <is>
          <t>Address proof</t>
        </is>
      </c>
      <c r="D7" s="2" t="n">
        <v>46307.58333333334</v>
      </c>
      <c r="E7" t="inlineStr">
        <is>
          <t>C2</t>
        </is>
      </c>
      <c r="F7" t="inlineStr">
        <is>
          <t>Complete</t>
        </is>
      </c>
      <c r="G7" t="inlineStr">
        <is>
          <t>M6</t>
        </is>
      </c>
      <c r="H7" s="2" t="n">
        <v>46307.66666666666</v>
      </c>
      <c r="I7" t="inlineStr">
        <is>
          <t>Lodged</t>
        </is>
      </c>
      <c r="J7">
        <f>IF(AND(D7&lt;&gt;"",H7&lt;&gt;""),ROUND((H7-D7)*24,1),"")</f>
        <v/>
      </c>
      <c r="K7">
        <f>IF(AND(I7="Lodged",F7&lt;&gt;"Complete"),"CHECK: lodged without complete check","")</f>
        <v/>
      </c>
    </row>
    <row r="8">
      <c r="A8" t="inlineStr">
        <is>
          <t>LDG0007</t>
        </is>
      </c>
      <c r="B8" t="inlineStr">
        <is>
          <t>REQ00601</t>
        </is>
      </c>
      <c r="C8" t="inlineStr">
        <is>
          <t>Signatory list</t>
        </is>
      </c>
      <c r="D8" s="2" t="n">
        <v>46308.375</v>
      </c>
      <c r="E8" t="inlineStr">
        <is>
          <t>C3</t>
        </is>
      </c>
      <c r="F8" t="inlineStr">
        <is>
          <t>Complete</t>
        </is>
      </c>
      <c r="G8" t="inlineStr">
        <is>
          <t>M7</t>
        </is>
      </c>
      <c r="H8" s="2" t="n">
        <v>46308.5</v>
      </c>
      <c r="I8" t="inlineStr">
        <is>
          <t>Lodged</t>
        </is>
      </c>
      <c r="J8">
        <f>IF(AND(D8&lt;&gt;"",H8&lt;&gt;""),ROUND((H8-D8)*24,1),"")</f>
        <v/>
      </c>
      <c r="K8">
        <f>IF(AND(I8="Lodged",F8&lt;&gt;"Complete"),"CHECK: lodged without complete check","")</f>
        <v/>
      </c>
      <c r="N8" t="inlineStr">
        <is>
          <t>Simulated log. Checker IDs C1-C4 and maker IDs M1-M8 are assumptions.</t>
        </is>
      </c>
    </row>
    <row r="9">
      <c r="A9" t="inlineStr">
        <is>
          <t>LDG0008</t>
        </is>
      </c>
      <c r="B9" t="inlineStr">
        <is>
          <t>REQ00701</t>
        </is>
      </c>
      <c r="C9" t="inlineStr">
        <is>
          <t>Board resolution</t>
        </is>
      </c>
      <c r="D9" s="2" t="n">
        <v>46309.41666666666</v>
      </c>
      <c r="E9" t="inlineStr">
        <is>
          <t>C4</t>
        </is>
      </c>
      <c r="F9" t="inlineStr">
        <is>
          <t>Complete</t>
        </is>
      </c>
      <c r="G9" t="inlineStr">
        <is>
          <t>M8</t>
        </is>
      </c>
      <c r="H9" s="2" t="n">
        <v>46309.58333333334</v>
      </c>
      <c r="I9" t="inlineStr">
        <is>
          <t>Lodged</t>
        </is>
      </c>
      <c r="J9">
        <f>IF(AND(D9&lt;&gt;"",H9&lt;&gt;""),ROUND((H9-D9)*24,1),"")</f>
        <v/>
      </c>
      <c r="K9">
        <f>IF(AND(I9="Lodged",F9&lt;&gt;"Complete"),"CHECK: lodged without complete check","")</f>
        <v/>
      </c>
    </row>
    <row r="10">
      <c r="A10" t="inlineStr">
        <is>
          <t>LDG0009</t>
        </is>
      </c>
      <c r="B10" t="inlineStr">
        <is>
          <t>REQ00801</t>
        </is>
      </c>
      <c r="C10" t="inlineStr">
        <is>
          <t>ID document</t>
        </is>
      </c>
      <c r="D10" s="2" t="n">
        <v>46310.45833333334</v>
      </c>
      <c r="E10" t="inlineStr">
        <is>
          <t>C1</t>
        </is>
      </c>
      <c r="F10" t="inlineStr">
        <is>
          <t>Complete</t>
        </is>
      </c>
      <c r="G10" t="inlineStr">
        <is>
          <t>M1</t>
        </is>
      </c>
      <c r="H10" s="2" t="n">
        <v>46310.66666666666</v>
      </c>
      <c r="I10" t="inlineStr">
        <is>
          <t>Lodged</t>
        </is>
      </c>
      <c r="J10">
        <f>IF(AND(D10&lt;&gt;"",H10&lt;&gt;""),ROUND((H10-D10)*24,1),"")</f>
        <v/>
      </c>
      <c r="K10">
        <f>IF(AND(I10="Lodged",F10&lt;&gt;"Complete"),"CHECK: lodged without complete check","")</f>
        <v/>
      </c>
    </row>
    <row r="11">
      <c r="A11" t="inlineStr">
        <is>
          <t>LDG0010</t>
        </is>
      </c>
      <c r="B11" t="inlineStr">
        <is>
          <t>REQ00901</t>
        </is>
      </c>
      <c r="C11" t="inlineStr">
        <is>
          <t>Account opening form</t>
        </is>
      </c>
      <c r="D11" s="2" t="n">
        <v>46311.5</v>
      </c>
      <c r="E11" t="inlineStr">
        <is>
          <t>C2</t>
        </is>
      </c>
      <c r="F11" t="inlineStr">
        <is>
          <t>Complete</t>
        </is>
      </c>
      <c r="G11" t="inlineStr">
        <is>
          <t>M2</t>
        </is>
      </c>
      <c r="H11" s="2" t="n">
        <v>46311.75</v>
      </c>
      <c r="I11" t="inlineStr">
        <is>
          <t>Lodged</t>
        </is>
      </c>
      <c r="J11">
        <f>IF(AND(D11&lt;&gt;"",H11&lt;&gt;""),ROUND((H11-D11)*24,1),"")</f>
        <v/>
      </c>
      <c r="K11">
        <f>IF(AND(I11="Lodged",F11&lt;&gt;"Complete"),"CHECK: lodged without complete check","")</f>
        <v/>
      </c>
    </row>
    <row r="12">
      <c r="A12" t="inlineStr">
        <is>
          <t>LDG0011</t>
        </is>
      </c>
      <c r="B12" t="inlineStr">
        <is>
          <t>REQ01001</t>
        </is>
      </c>
      <c r="C12" t="inlineStr">
        <is>
          <t>Signature card</t>
        </is>
      </c>
      <c r="D12" s="2" t="n">
        <v>46314.54166666666</v>
      </c>
      <c r="E12" t="inlineStr">
        <is>
          <t>C3</t>
        </is>
      </c>
      <c r="F12" t="inlineStr">
        <is>
          <t>Complete</t>
        </is>
      </c>
      <c r="G12" t="inlineStr">
        <is>
          <t>M3</t>
        </is>
      </c>
      <c r="H12" s="2" t="n">
        <v>46314.625</v>
      </c>
      <c r="I12" t="inlineStr">
        <is>
          <t>Lodged</t>
        </is>
      </c>
      <c r="J12">
        <f>IF(AND(D12&lt;&gt;"",H12&lt;&gt;""),ROUND((H12-D12)*24,1),"")</f>
        <v/>
      </c>
      <c r="K12">
        <f>IF(AND(I12="Lodged",F12&lt;&gt;"Complete"),"CHECK: lodged without complete check","")</f>
        <v/>
      </c>
    </row>
    <row r="13">
      <c r="A13" t="inlineStr">
        <is>
          <t>LDG0012</t>
        </is>
      </c>
      <c r="B13" t="inlineStr">
        <is>
          <t>REQ01101</t>
        </is>
      </c>
      <c r="C13" t="inlineStr">
        <is>
          <t>Address proof</t>
        </is>
      </c>
      <c r="D13" s="2" t="n">
        <v>46315.58333333334</v>
      </c>
      <c r="E13" t="inlineStr">
        <is>
          <t>C4</t>
        </is>
      </c>
      <c r="F13" t="inlineStr">
        <is>
          <t>Complete</t>
        </is>
      </c>
      <c r="G13" t="inlineStr">
        <is>
          <t>M4</t>
        </is>
      </c>
      <c r="H13" s="2" t="n">
        <v>46315.70833333334</v>
      </c>
      <c r="I13" t="inlineStr">
        <is>
          <t>Lodged</t>
        </is>
      </c>
      <c r="J13">
        <f>IF(AND(D13&lt;&gt;"",H13&lt;&gt;""),ROUND((H13-D13)*24,1),"")</f>
        <v/>
      </c>
      <c r="K13">
        <f>IF(AND(I13="Lodged",F13&lt;&gt;"Complete"),"CHECK: lodged without complete check","")</f>
        <v/>
      </c>
    </row>
    <row r="14">
      <c r="A14" t="inlineStr">
        <is>
          <t>LDG0013</t>
        </is>
      </c>
      <c r="B14" t="inlineStr">
        <is>
          <t>REQ01201</t>
        </is>
      </c>
      <c r="C14" t="inlineStr">
        <is>
          <t>Signatory list</t>
        </is>
      </c>
      <c r="D14" s="2" t="n">
        <v>46316.375</v>
      </c>
      <c r="E14" t="inlineStr">
        <is>
          <t>C1</t>
        </is>
      </c>
      <c r="F14" t="inlineStr">
        <is>
          <t>Incomplete</t>
        </is>
      </c>
      <c r="G14" t="inlineStr">
        <is>
          <t>M5</t>
        </is>
      </c>
      <c r="H14" s="2" t="n"/>
      <c r="I14" t="inlineStr">
        <is>
          <t>Returned to client</t>
        </is>
      </c>
      <c r="J14">
        <f>IF(AND(D14&lt;&gt;"",H14&lt;&gt;""),ROUND((H14-D14)*24,1),"")</f>
        <v/>
      </c>
      <c r="K14">
        <f>IF(AND(I14="Lodged",F14&lt;&gt;"Complete"),"CHECK: lodged without complete check","")</f>
        <v/>
      </c>
      <c r="L14" t="inlineStr">
        <is>
          <t>Returned: required document missing (simulated).</t>
        </is>
      </c>
    </row>
    <row r="15">
      <c r="A15" t="inlineStr">
        <is>
          <t>LDG0014</t>
        </is>
      </c>
      <c r="B15" t="inlineStr">
        <is>
          <t>REQ01301</t>
        </is>
      </c>
      <c r="C15" t="inlineStr">
        <is>
          <t>Board resolution</t>
        </is>
      </c>
      <c r="D15" s="2" t="n">
        <v>46317.41666666666</v>
      </c>
      <c r="E15" t="inlineStr">
        <is>
          <t>C2</t>
        </is>
      </c>
      <c r="F15" t="inlineStr">
        <is>
          <t>Rejected</t>
        </is>
      </c>
      <c r="G15" t="inlineStr">
        <is>
          <t>M6</t>
        </is>
      </c>
      <c r="H15" s="2" t="n"/>
      <c r="I15" t="inlineStr">
        <is>
          <t>Returned to client</t>
        </is>
      </c>
      <c r="J15">
        <f>IF(AND(D15&lt;&gt;"",H15&lt;&gt;""),ROUND((H15-D15)*24,1),"")</f>
        <v/>
      </c>
      <c r="K15">
        <f>IF(AND(I15="Lodged",F15&lt;&gt;"Complete"),"CHECK: lodged without complete check","")</f>
        <v/>
      </c>
      <c r="L15" t="inlineStr">
        <is>
          <t>Returned: signatory authority not evidenced (simulated).</t>
        </is>
      </c>
    </row>
    <row r="16">
      <c r="A16" t="inlineStr">
        <is>
          <t>LDG0015</t>
        </is>
      </c>
      <c r="B16" t="inlineStr">
        <is>
          <t>REQ01401</t>
        </is>
      </c>
      <c r="C16" t="inlineStr">
        <is>
          <t>ID document</t>
        </is>
      </c>
      <c r="D16" s="2" t="n">
        <v>46318.45833333334</v>
      </c>
      <c r="E16" t="inlineStr">
        <is>
          <t>C3</t>
        </is>
      </c>
      <c r="F16" t="inlineStr">
        <is>
          <t>Complete</t>
        </is>
      </c>
      <c r="G16" t="inlineStr">
        <is>
          <t>M7</t>
        </is>
      </c>
      <c r="H16" s="2" t="n"/>
      <c r="I16" t="inlineStr">
        <is>
          <t>Pending</t>
        </is>
      </c>
      <c r="J16">
        <f>IF(AND(D16&lt;&gt;"",H16&lt;&gt;""),ROUND((H16-D16)*24,1),"")</f>
        <v/>
      </c>
      <c r="K16">
        <f>IF(AND(I16="Lodged",F16&lt;&gt;"Complete"),"CHECK: lodged without complete check","")</f>
        <v/>
      </c>
      <c r="L16" t="inlineStr">
        <is>
          <t>Awaiting client document (simulated).</t>
        </is>
      </c>
    </row>
    <row r="17">
      <c r="A17" t="inlineStr">
        <is>
          <t>LDG0016</t>
        </is>
      </c>
      <c r="B17" t="inlineStr">
        <is>
          <t>REQ01501</t>
        </is>
      </c>
      <c r="C17" t="inlineStr">
        <is>
          <t>Account opening form</t>
        </is>
      </c>
      <c r="D17" s="2" t="n">
        <v>46321.5</v>
      </c>
      <c r="E17" t="inlineStr">
        <is>
          <t>C4</t>
        </is>
      </c>
      <c r="F17" t="inlineStr">
        <is>
          <t>Incomplete</t>
        </is>
      </c>
      <c r="G17" t="inlineStr">
        <is>
          <t>M8</t>
        </is>
      </c>
      <c r="H17" s="2" t="n">
        <v>46321.58333333334</v>
      </c>
      <c r="I17" t="inlineStr">
        <is>
          <t>Lodged</t>
        </is>
      </c>
      <c r="J17">
        <f>IF(AND(D17&lt;&gt;"",H17&lt;&gt;""),ROUND((H17-D17)*24,1),"")</f>
        <v/>
      </c>
      <c r="K17">
        <f>IF(AND(I17="Lodged",F17&lt;&gt;"Complete"),"CHECK: lodged without complete check","")</f>
        <v/>
      </c>
      <c r="L17" t="inlineStr">
        <is>
          <t>Deliberate test case: lodged without a complete check; the flag should fire.</t>
        </is>
      </c>
    </row>
    <row r="18">
      <c r="A18" t="inlineStr">
        <is>
          <t>LDG0017</t>
        </is>
      </c>
      <c r="B18" t="inlineStr">
        <is>
          <t>REQ01601</t>
        </is>
      </c>
      <c r="C18" t="inlineStr">
        <is>
          <t>Signature card</t>
        </is>
      </c>
      <c r="D18" s="2" t="n">
        <v>46322.54166666666</v>
      </c>
      <c r="E18" t="inlineStr">
        <is>
          <t>C1</t>
        </is>
      </c>
      <c r="F18" t="inlineStr">
        <is>
          <t>Complete</t>
        </is>
      </c>
      <c r="G18" t="inlineStr">
        <is>
          <t>M1</t>
        </is>
      </c>
      <c r="H18" s="2" t="n">
        <v>46322.66666666666</v>
      </c>
      <c r="I18" t="inlineStr">
        <is>
          <t>Lodged</t>
        </is>
      </c>
      <c r="J18">
        <f>IF(AND(D18&lt;&gt;"",H18&lt;&gt;""),ROUND((H18-D18)*24,1),"")</f>
        <v/>
      </c>
      <c r="K18">
        <f>IF(AND(I18="Lodged",F18&lt;&gt;"Complete"),"CHECK: lodged without complete check","")</f>
        <v/>
      </c>
    </row>
    <row r="19">
      <c r="A19" t="inlineStr">
        <is>
          <t>LDG0018</t>
        </is>
      </c>
      <c r="B19" t="inlineStr">
        <is>
          <t>REQ01701</t>
        </is>
      </c>
      <c r="C19" t="inlineStr">
        <is>
          <t>Address proof</t>
        </is>
      </c>
      <c r="D19" s="2" t="n">
        <v>46323.58333333334</v>
      </c>
      <c r="E19" t="inlineStr">
        <is>
          <t>C2</t>
        </is>
      </c>
      <c r="F19" t="inlineStr">
        <is>
          <t>Complete</t>
        </is>
      </c>
      <c r="G19" t="inlineStr">
        <is>
          <t>M2</t>
        </is>
      </c>
      <c r="H19" s="2" t="n">
        <v>46323.75</v>
      </c>
      <c r="I19" t="inlineStr">
        <is>
          <t>Lodged</t>
        </is>
      </c>
      <c r="J19">
        <f>IF(AND(D19&lt;&gt;"",H19&lt;&gt;""),ROUND((H19-D19)*24,1),"")</f>
        <v/>
      </c>
      <c r="K19">
        <f>IF(AND(I19="Lodged",F19&lt;&gt;"Complete"),"CHECK: lodged without complete check","")</f>
        <v/>
      </c>
    </row>
    <row r="20">
      <c r="A20" t="inlineStr">
        <is>
          <t>LDG0019</t>
        </is>
      </c>
      <c r="D20" s="2" t="n"/>
      <c r="H20" s="2" t="n"/>
      <c r="J20">
        <f>IF(AND(D20&lt;&gt;"",H20&lt;&gt;""),ROUND((H20-D20)*24,1),"")</f>
        <v/>
      </c>
      <c r="K20">
        <f>IF(AND(I20="Lodged",F20&lt;&gt;"Complete"),"CHECK: lodged without complete check","")</f>
        <v/>
      </c>
    </row>
    <row r="21">
      <c r="A21" t="inlineStr">
        <is>
          <t>LDG0020</t>
        </is>
      </c>
      <c r="D21" s="2" t="n"/>
      <c r="H21" s="2" t="n"/>
      <c r="J21">
        <f>IF(AND(D21&lt;&gt;"",H21&lt;&gt;""),ROUND((H21-D21)*24,1),"")</f>
        <v/>
      </c>
      <c r="K21">
        <f>IF(AND(I21="Lodged",F21&lt;&gt;"Complete"),"CHECK: lodged without complete check","")</f>
        <v/>
      </c>
    </row>
    <row r="22">
      <c r="A22" t="inlineStr">
        <is>
          <t>LDG0021</t>
        </is>
      </c>
      <c r="D22" s="2" t="n"/>
      <c r="H22" s="2" t="n"/>
      <c r="J22">
        <f>IF(AND(D22&lt;&gt;"",H22&lt;&gt;""),ROUND((H22-D22)*24,1),"")</f>
        <v/>
      </c>
      <c r="K22">
        <f>IF(AND(I22="Lodged",F22&lt;&gt;"Complete"),"CHECK: lodged without complete check","")</f>
        <v/>
      </c>
    </row>
    <row r="23">
      <c r="A23" t="inlineStr">
        <is>
          <t>LDG0022</t>
        </is>
      </c>
      <c r="D23" s="2" t="n"/>
      <c r="H23" s="2" t="n"/>
      <c r="J23">
        <f>IF(AND(D23&lt;&gt;"",H23&lt;&gt;""),ROUND((H23-D23)*24,1),"")</f>
        <v/>
      </c>
      <c r="K23">
        <f>IF(AND(I23="Lodged",F23&lt;&gt;"Complete"),"CHECK: lodged without complete check","")</f>
        <v/>
      </c>
    </row>
    <row r="24">
      <c r="A24" t="inlineStr">
        <is>
          <t>LDG0023</t>
        </is>
      </c>
      <c r="D24" s="2" t="n"/>
      <c r="H24" s="2" t="n"/>
      <c r="J24">
        <f>IF(AND(D24&lt;&gt;"",H24&lt;&gt;""),ROUND((H24-D24)*24,1),"")</f>
        <v/>
      </c>
      <c r="K24">
        <f>IF(AND(I24="Lodged",F24&lt;&gt;"Complete"),"CHECK: lodged without complete check","")</f>
        <v/>
      </c>
    </row>
    <row r="25">
      <c r="A25" t="inlineStr">
        <is>
          <t>LDG0024</t>
        </is>
      </c>
      <c r="D25" s="2" t="n"/>
      <c r="H25" s="2" t="n"/>
      <c r="J25">
        <f>IF(AND(D25&lt;&gt;"",H25&lt;&gt;""),ROUND((H25-D25)*24,1),"")</f>
        <v/>
      </c>
      <c r="K25">
        <f>IF(AND(I25="Lodged",F25&lt;&gt;"Complete"),"CHECK: lodged without complete check","")</f>
        <v/>
      </c>
    </row>
    <row r="26">
      <c r="A26" t="inlineStr">
        <is>
          <t>LDG0025</t>
        </is>
      </c>
      <c r="D26" s="2" t="n"/>
      <c r="H26" s="2" t="n"/>
      <c r="J26">
        <f>IF(AND(D26&lt;&gt;"",H26&lt;&gt;""),ROUND((H26-D26)*24,1),"")</f>
        <v/>
      </c>
      <c r="K26">
        <f>IF(AND(I26="Lodged",F26&lt;&gt;"Complete"),"CHECK: lodged without complete check","")</f>
        <v/>
      </c>
    </row>
    <row r="27">
      <c r="A27" t="inlineStr">
        <is>
          <t>LDG0026</t>
        </is>
      </c>
      <c r="D27" s="2" t="n"/>
      <c r="H27" s="2" t="n"/>
      <c r="J27">
        <f>IF(AND(D27&lt;&gt;"",H27&lt;&gt;""),ROUND((H27-D27)*24,1),"")</f>
        <v/>
      </c>
      <c r="K27">
        <f>IF(AND(I27="Lodged",F27&lt;&gt;"Complete"),"CHECK: lodged without complete check","")</f>
        <v/>
      </c>
    </row>
    <row r="28">
      <c r="A28" t="inlineStr">
        <is>
          <t>LDG0027</t>
        </is>
      </c>
      <c r="D28" s="2" t="n"/>
      <c r="H28" s="2" t="n"/>
      <c r="J28">
        <f>IF(AND(D28&lt;&gt;"",H28&lt;&gt;""),ROUND((H28-D28)*24,1),"")</f>
        <v/>
      </c>
      <c r="K28">
        <f>IF(AND(I28="Lodged",F28&lt;&gt;"Complete"),"CHECK: lodged without complete check","")</f>
        <v/>
      </c>
    </row>
    <row r="29">
      <c r="A29" t="inlineStr">
        <is>
          <t>LDG0028</t>
        </is>
      </c>
      <c r="D29" s="2" t="n"/>
      <c r="H29" s="2" t="n"/>
      <c r="J29">
        <f>IF(AND(D29&lt;&gt;"",H29&lt;&gt;""),ROUND((H29-D29)*24,1),"")</f>
        <v/>
      </c>
      <c r="K29">
        <f>IF(AND(I29="Lodged",F29&lt;&gt;"Complete"),"CHECK: lodged without complete check","")</f>
        <v/>
      </c>
    </row>
    <row r="30">
      <c r="A30" t="inlineStr">
        <is>
          <t>LDG0029</t>
        </is>
      </c>
      <c r="D30" s="2" t="n"/>
      <c r="H30" s="2" t="n"/>
      <c r="J30">
        <f>IF(AND(D30&lt;&gt;"",H30&lt;&gt;""),ROUND((H30-D30)*24,1),"")</f>
        <v/>
      </c>
      <c r="K30">
        <f>IF(AND(I30="Lodged",F30&lt;&gt;"Complete"),"CHECK: lodged without complete check","")</f>
        <v/>
      </c>
    </row>
    <row r="31">
      <c r="A31" t="inlineStr">
        <is>
          <t>LDG0030</t>
        </is>
      </c>
      <c r="D31" s="2" t="n"/>
      <c r="H31" s="2" t="n"/>
      <c r="J31">
        <f>IF(AND(D31&lt;&gt;"",H31&lt;&gt;""),ROUND((H31-D31)*24,1),"")</f>
        <v/>
      </c>
      <c r="K31">
        <f>IF(AND(I31="Lodged",F31&lt;&gt;"Complete"),"CHECK: lodged without complete check","")</f>
        <v/>
      </c>
    </row>
    <row r="32">
      <c r="A32" t="inlineStr">
        <is>
          <t>LDG0031</t>
        </is>
      </c>
      <c r="D32" s="2" t="n"/>
      <c r="H32" s="2" t="n"/>
      <c r="J32">
        <f>IF(AND(D32&lt;&gt;"",H32&lt;&gt;""),ROUND((H32-D32)*24,1),"")</f>
        <v/>
      </c>
      <c r="K32">
        <f>IF(AND(I32="Lodged",F32&lt;&gt;"Complete"),"CHECK: lodged without complete check","")</f>
        <v/>
      </c>
    </row>
    <row r="33">
      <c r="A33" t="inlineStr">
        <is>
          <t>LDG0032</t>
        </is>
      </c>
      <c r="D33" s="2" t="n"/>
      <c r="H33" s="2" t="n"/>
      <c r="J33">
        <f>IF(AND(D33&lt;&gt;"",H33&lt;&gt;""),ROUND((H33-D33)*24,1),"")</f>
        <v/>
      </c>
      <c r="K33">
        <f>IF(AND(I33="Lodged",F33&lt;&gt;"Complete"),"CHECK: lodged without complete check","")</f>
        <v/>
      </c>
    </row>
    <row r="34">
      <c r="A34" t="inlineStr">
        <is>
          <t>LDG0033</t>
        </is>
      </c>
      <c r="D34" s="2" t="n"/>
      <c r="H34" s="2" t="n"/>
      <c r="J34">
        <f>IF(AND(D34&lt;&gt;"",H34&lt;&gt;""),ROUND((H34-D34)*24,1),"")</f>
        <v/>
      </c>
      <c r="K34">
        <f>IF(AND(I34="Lodged",F34&lt;&gt;"Complete"),"CHECK: lodged without complete check","")</f>
        <v/>
      </c>
    </row>
    <row r="35">
      <c r="A35" t="inlineStr">
        <is>
          <t>LDG0034</t>
        </is>
      </c>
      <c r="D35" s="2" t="n"/>
      <c r="H35" s="2" t="n"/>
      <c r="J35">
        <f>IF(AND(D35&lt;&gt;"",H35&lt;&gt;""),ROUND((H35-D35)*24,1),"")</f>
        <v/>
      </c>
      <c r="K35">
        <f>IF(AND(I35="Lodged",F35&lt;&gt;"Complete"),"CHECK: lodged without complete check","")</f>
        <v/>
      </c>
    </row>
    <row r="36">
      <c r="A36" t="inlineStr">
        <is>
          <t>LDG0035</t>
        </is>
      </c>
      <c r="D36" s="2" t="n"/>
      <c r="H36" s="2" t="n"/>
      <c r="J36">
        <f>IF(AND(D36&lt;&gt;"",H36&lt;&gt;""),ROUND((H36-D36)*24,1),"")</f>
        <v/>
      </c>
      <c r="K36">
        <f>IF(AND(I36="Lodged",F36&lt;&gt;"Complete"),"CHECK: lodged without complete check","")</f>
        <v/>
      </c>
    </row>
    <row r="37">
      <c r="A37" t="inlineStr">
        <is>
          <t>LDG0036</t>
        </is>
      </c>
      <c r="D37" s="2" t="n"/>
      <c r="H37" s="2" t="n"/>
      <c r="J37">
        <f>IF(AND(D37&lt;&gt;"",H37&lt;&gt;""),ROUND((H37-D37)*24,1),"")</f>
        <v/>
      </c>
      <c r="K37">
        <f>IF(AND(I37="Lodged",F37&lt;&gt;"Complete"),"CHECK: lodged without complete check","")</f>
        <v/>
      </c>
    </row>
    <row r="38">
      <c r="A38" t="inlineStr">
        <is>
          <t>LDG0037</t>
        </is>
      </c>
      <c r="D38" s="2" t="n"/>
      <c r="H38" s="2" t="n"/>
      <c r="J38">
        <f>IF(AND(D38&lt;&gt;"",H38&lt;&gt;""),ROUND((H38-D38)*24,1),"")</f>
        <v/>
      </c>
      <c r="K38">
        <f>IF(AND(I38="Lodged",F38&lt;&gt;"Complete"),"CHECK: lodged without complete check","")</f>
        <v/>
      </c>
    </row>
    <row r="39">
      <c r="A39" t="inlineStr">
        <is>
          <t>LDG0038</t>
        </is>
      </c>
      <c r="D39" s="2" t="n"/>
      <c r="H39" s="2" t="n"/>
      <c r="J39">
        <f>IF(AND(D39&lt;&gt;"",H39&lt;&gt;""),ROUND((H39-D39)*24,1),"")</f>
        <v/>
      </c>
      <c r="K39">
        <f>IF(AND(I39="Lodged",F39&lt;&gt;"Complete"),"CHECK: lodged without complete check","")</f>
        <v/>
      </c>
    </row>
    <row r="40">
      <c r="A40" t="inlineStr">
        <is>
          <t>LDG0039</t>
        </is>
      </c>
      <c r="D40" s="2" t="n"/>
      <c r="H40" s="2" t="n"/>
      <c r="J40">
        <f>IF(AND(D40&lt;&gt;"",H40&lt;&gt;""),ROUND((H40-D40)*24,1),"")</f>
        <v/>
      </c>
      <c r="K40">
        <f>IF(AND(I40="Lodged",F40&lt;&gt;"Complete"),"CHECK: lodged without complete check","")</f>
        <v/>
      </c>
    </row>
    <row r="41">
      <c r="A41" t="inlineStr">
        <is>
          <t>LDG0040</t>
        </is>
      </c>
      <c r="D41" s="2" t="n"/>
      <c r="H41" s="2" t="n"/>
      <c r="J41">
        <f>IF(AND(D41&lt;&gt;"",H41&lt;&gt;""),ROUND((H41-D41)*24,1),"")</f>
        <v/>
      </c>
      <c r="K41">
        <f>IF(AND(I41="Lodged",F41&lt;&gt;"Complete"),"CHECK: lodged without complete check","")</f>
        <v/>
      </c>
    </row>
    <row r="42">
      <c r="A42" t="inlineStr">
        <is>
          <t>LDG0041</t>
        </is>
      </c>
      <c r="D42" s="2" t="n"/>
      <c r="H42" s="2" t="n"/>
      <c r="J42">
        <f>IF(AND(D42&lt;&gt;"",H42&lt;&gt;""),ROUND((H42-D42)*24,1),"")</f>
        <v/>
      </c>
      <c r="K42">
        <f>IF(AND(I42="Lodged",F42&lt;&gt;"Complete"),"CHECK: lodged without complete check","")</f>
        <v/>
      </c>
    </row>
    <row r="43">
      <c r="A43" t="inlineStr">
        <is>
          <t>LDG0042</t>
        </is>
      </c>
      <c r="D43" s="2" t="n"/>
      <c r="H43" s="2" t="n"/>
      <c r="J43">
        <f>IF(AND(D43&lt;&gt;"",H43&lt;&gt;""),ROUND((H43-D43)*24,1),"")</f>
        <v/>
      </c>
      <c r="K43">
        <f>IF(AND(I43="Lodged",F43&lt;&gt;"Complete"),"CHECK: lodged without complete check","")</f>
        <v/>
      </c>
    </row>
    <row r="44">
      <c r="A44" t="inlineStr">
        <is>
          <t>LDG0043</t>
        </is>
      </c>
      <c r="D44" s="2" t="n"/>
      <c r="H44" s="2" t="n"/>
      <c r="J44">
        <f>IF(AND(D44&lt;&gt;"",H44&lt;&gt;""),ROUND((H44-D44)*24,1),"")</f>
        <v/>
      </c>
      <c r="K44">
        <f>IF(AND(I44="Lodged",F44&lt;&gt;"Complete"),"CHECK: lodged without complete check","")</f>
        <v/>
      </c>
    </row>
    <row r="45">
      <c r="A45" t="inlineStr">
        <is>
          <t>LDG0044</t>
        </is>
      </c>
      <c r="D45" s="2" t="n"/>
      <c r="H45" s="2" t="n"/>
      <c r="J45">
        <f>IF(AND(D45&lt;&gt;"",H45&lt;&gt;""),ROUND((H45-D45)*24,1),"")</f>
        <v/>
      </c>
      <c r="K45">
        <f>IF(AND(I45="Lodged",F45&lt;&gt;"Complete"),"CHECK: lodged without complete check","")</f>
        <v/>
      </c>
    </row>
    <row r="46">
      <c r="A46" t="inlineStr">
        <is>
          <t>LDG0045</t>
        </is>
      </c>
      <c r="D46" s="2" t="n"/>
      <c r="H46" s="2" t="n"/>
      <c r="J46">
        <f>IF(AND(D46&lt;&gt;"",H46&lt;&gt;""),ROUND((H46-D46)*24,1),"")</f>
        <v/>
      </c>
      <c r="K46">
        <f>IF(AND(I46="Lodged",F46&lt;&gt;"Complete"),"CHECK: lodged without complete check","")</f>
        <v/>
      </c>
    </row>
    <row r="47">
      <c r="A47" t="inlineStr">
        <is>
          <t>LDG0046</t>
        </is>
      </c>
      <c r="D47" s="2" t="n"/>
      <c r="H47" s="2" t="n"/>
      <c r="J47">
        <f>IF(AND(D47&lt;&gt;"",H47&lt;&gt;""),ROUND((H47-D47)*24,1),"")</f>
        <v/>
      </c>
      <c r="K47">
        <f>IF(AND(I47="Lodged",F47&lt;&gt;"Complete"),"CHECK: lodged without complete check","")</f>
        <v/>
      </c>
    </row>
    <row r="48">
      <c r="A48" t="inlineStr">
        <is>
          <t>LDG0047</t>
        </is>
      </c>
      <c r="D48" s="2" t="n"/>
      <c r="H48" s="2" t="n"/>
      <c r="J48">
        <f>IF(AND(D48&lt;&gt;"",H48&lt;&gt;""),ROUND((H48-D48)*24,1),"")</f>
        <v/>
      </c>
      <c r="K48">
        <f>IF(AND(I48="Lodged",F48&lt;&gt;"Complete"),"CHECK: lodged without complete check","")</f>
        <v/>
      </c>
    </row>
    <row r="49">
      <c r="A49" t="inlineStr">
        <is>
          <t>LDG0048</t>
        </is>
      </c>
      <c r="D49" s="2" t="n"/>
      <c r="H49" s="2" t="n"/>
      <c r="J49">
        <f>IF(AND(D49&lt;&gt;"",H49&lt;&gt;""),ROUND((H49-D49)*24,1),"")</f>
        <v/>
      </c>
      <c r="K49">
        <f>IF(AND(I49="Lodged",F49&lt;&gt;"Complete"),"CHECK: lodged without complete check","")</f>
        <v/>
      </c>
    </row>
    <row r="50">
      <c r="A50" t="inlineStr">
        <is>
          <t>LDG0049</t>
        </is>
      </c>
      <c r="D50" s="2" t="n"/>
      <c r="H50" s="2" t="n"/>
      <c r="J50">
        <f>IF(AND(D50&lt;&gt;"",H50&lt;&gt;""),ROUND((H50-D50)*24,1),"")</f>
        <v/>
      </c>
      <c r="K50">
        <f>IF(AND(I50="Lodged",F50&lt;&gt;"Complete"),"CHECK: lodged without complete check","")</f>
        <v/>
      </c>
    </row>
    <row r="51">
      <c r="A51" t="inlineStr">
        <is>
          <t>LDG0050</t>
        </is>
      </c>
      <c r="D51" s="2" t="n"/>
      <c r="H51" s="2" t="n"/>
      <c r="J51">
        <f>IF(AND(D51&lt;&gt;"",H51&lt;&gt;""),ROUND((H51-D51)*24,1),"")</f>
        <v/>
      </c>
      <c r="K51">
        <f>IF(AND(I51="Lodged",F51&lt;&gt;"Complete"),"CHECK: lodged without complete check","")</f>
        <v/>
      </c>
    </row>
    <row r="52">
      <c r="A52" t="inlineStr">
        <is>
          <t>LDG0051</t>
        </is>
      </c>
      <c r="D52" s="2" t="n"/>
      <c r="H52" s="2" t="n"/>
      <c r="J52">
        <f>IF(AND(D52&lt;&gt;"",H52&lt;&gt;""),ROUND((H52-D52)*24,1),"")</f>
        <v/>
      </c>
      <c r="K52">
        <f>IF(AND(I52="Lodged",F52&lt;&gt;"Complete"),"CHECK: lodged without complete check","")</f>
        <v/>
      </c>
    </row>
    <row r="53">
      <c r="A53" t="inlineStr">
        <is>
          <t>LDG0052</t>
        </is>
      </c>
      <c r="D53" s="2" t="n"/>
      <c r="H53" s="2" t="n"/>
      <c r="J53">
        <f>IF(AND(D53&lt;&gt;"",H53&lt;&gt;""),ROUND((H53-D53)*24,1),"")</f>
        <v/>
      </c>
      <c r="K53">
        <f>IF(AND(I53="Lodged",F53&lt;&gt;"Complete"),"CHECK: lodged without complete check","")</f>
        <v/>
      </c>
    </row>
    <row r="54">
      <c r="A54" t="inlineStr">
        <is>
          <t>LDG0053</t>
        </is>
      </c>
      <c r="D54" s="2" t="n"/>
      <c r="H54" s="2" t="n"/>
      <c r="J54">
        <f>IF(AND(D54&lt;&gt;"",H54&lt;&gt;""),ROUND((H54-D54)*24,1),"")</f>
        <v/>
      </c>
      <c r="K54">
        <f>IF(AND(I54="Lodged",F54&lt;&gt;"Complete"),"CHECK: lodged without complete check","")</f>
        <v/>
      </c>
    </row>
    <row r="55">
      <c r="A55" t="inlineStr">
        <is>
          <t>LDG0054</t>
        </is>
      </c>
      <c r="D55" s="2" t="n"/>
      <c r="H55" s="2" t="n"/>
      <c r="J55">
        <f>IF(AND(D55&lt;&gt;"",H55&lt;&gt;""),ROUND((H55-D55)*24,1),"")</f>
        <v/>
      </c>
      <c r="K55">
        <f>IF(AND(I55="Lodged",F55&lt;&gt;"Complete"),"CHECK: lodged without complete check","")</f>
        <v/>
      </c>
    </row>
    <row r="56">
      <c r="A56" t="inlineStr">
        <is>
          <t>LDG0055</t>
        </is>
      </c>
      <c r="D56" s="2" t="n"/>
      <c r="H56" s="2" t="n"/>
      <c r="J56">
        <f>IF(AND(D56&lt;&gt;"",H56&lt;&gt;""),ROUND((H56-D56)*24,1),"")</f>
        <v/>
      </c>
      <c r="K56">
        <f>IF(AND(I56="Lodged",F56&lt;&gt;"Complete"),"CHECK: lodged without complete check","")</f>
        <v/>
      </c>
    </row>
    <row r="57">
      <c r="A57" t="inlineStr">
        <is>
          <t>LDG0056</t>
        </is>
      </c>
      <c r="D57" s="2" t="n"/>
      <c r="H57" s="2" t="n"/>
      <c r="J57">
        <f>IF(AND(D57&lt;&gt;"",H57&lt;&gt;""),ROUND((H57-D57)*24,1),"")</f>
        <v/>
      </c>
      <c r="K57">
        <f>IF(AND(I57="Lodged",F57&lt;&gt;"Complete"),"CHECK: lodged without complete check","")</f>
        <v/>
      </c>
    </row>
    <row r="58">
      <c r="A58" t="inlineStr">
        <is>
          <t>LDG0057</t>
        </is>
      </c>
      <c r="D58" s="2" t="n"/>
      <c r="H58" s="2" t="n"/>
      <c r="J58">
        <f>IF(AND(D58&lt;&gt;"",H58&lt;&gt;""),ROUND((H58-D58)*24,1),"")</f>
        <v/>
      </c>
      <c r="K58">
        <f>IF(AND(I58="Lodged",F58&lt;&gt;"Complete"),"CHECK: lodged without complete check","")</f>
        <v/>
      </c>
    </row>
    <row r="59">
      <c r="A59" t="inlineStr">
        <is>
          <t>LDG0058</t>
        </is>
      </c>
      <c r="D59" s="2" t="n"/>
      <c r="H59" s="2" t="n"/>
      <c r="J59">
        <f>IF(AND(D59&lt;&gt;"",H59&lt;&gt;""),ROUND((H59-D59)*24,1),"")</f>
        <v/>
      </c>
      <c r="K59">
        <f>IF(AND(I59="Lodged",F59&lt;&gt;"Complete"),"CHECK: lodged without complete check","")</f>
        <v/>
      </c>
    </row>
    <row r="60">
      <c r="A60" t="inlineStr">
        <is>
          <t>LDG0059</t>
        </is>
      </c>
      <c r="D60" s="2" t="n"/>
      <c r="H60" s="2" t="n"/>
      <c r="J60">
        <f>IF(AND(D60&lt;&gt;"",H60&lt;&gt;""),ROUND((H60-D60)*24,1),"")</f>
        <v/>
      </c>
      <c r="K60">
        <f>IF(AND(I60="Lodged",F60&lt;&gt;"Complete"),"CHECK: lodged without complete check","")</f>
        <v/>
      </c>
    </row>
    <row r="61">
      <c r="A61" t="inlineStr">
        <is>
          <t>LDG0060</t>
        </is>
      </c>
      <c r="D61" s="2" t="n"/>
      <c r="H61" s="2" t="n"/>
      <c r="J61">
        <f>IF(AND(D61&lt;&gt;"",H61&lt;&gt;""),ROUND((H61-D61)*24,1),"")</f>
        <v/>
      </c>
      <c r="K61">
        <f>IF(AND(I61="Lodged",F61&lt;&gt;"Complete"),"CHECK: lodged without complete check","")</f>
        <v/>
      </c>
    </row>
    <row r="62">
      <c r="A62" t="inlineStr">
        <is>
          <t>LDG0061</t>
        </is>
      </c>
      <c r="D62" s="2" t="n"/>
      <c r="H62" s="2" t="n"/>
      <c r="J62">
        <f>IF(AND(D62&lt;&gt;"",H62&lt;&gt;""),ROUND((H62-D62)*24,1),"")</f>
        <v/>
      </c>
      <c r="K62">
        <f>IF(AND(I62="Lodged",F62&lt;&gt;"Complete"),"CHECK: lodged without complete check","")</f>
        <v/>
      </c>
    </row>
    <row r="63">
      <c r="A63" t="inlineStr">
        <is>
          <t>LDG0062</t>
        </is>
      </c>
      <c r="D63" s="2" t="n"/>
      <c r="H63" s="2" t="n"/>
      <c r="J63">
        <f>IF(AND(D63&lt;&gt;"",H63&lt;&gt;""),ROUND((H63-D63)*24,1),"")</f>
        <v/>
      </c>
      <c r="K63">
        <f>IF(AND(I63="Lodged",F63&lt;&gt;"Complete"),"CHECK: lodged without complete check","")</f>
        <v/>
      </c>
    </row>
    <row r="64">
      <c r="A64" t="inlineStr">
        <is>
          <t>LDG0063</t>
        </is>
      </c>
      <c r="D64" s="2" t="n"/>
      <c r="H64" s="2" t="n"/>
      <c r="J64">
        <f>IF(AND(D64&lt;&gt;"",H64&lt;&gt;""),ROUND((H64-D64)*24,1),"")</f>
        <v/>
      </c>
      <c r="K64">
        <f>IF(AND(I64="Lodged",F64&lt;&gt;"Complete"),"CHECK: lodged without complete check","")</f>
        <v/>
      </c>
    </row>
    <row r="65">
      <c r="A65" t="inlineStr">
        <is>
          <t>LDG0064</t>
        </is>
      </c>
      <c r="D65" s="2" t="n"/>
      <c r="H65" s="2" t="n"/>
      <c r="J65">
        <f>IF(AND(D65&lt;&gt;"",H65&lt;&gt;""),ROUND((H65-D65)*24,1),"")</f>
        <v/>
      </c>
      <c r="K65">
        <f>IF(AND(I65="Lodged",F65&lt;&gt;"Complete"),"CHECK: lodged without complete check","")</f>
        <v/>
      </c>
    </row>
    <row r="66">
      <c r="A66" t="inlineStr">
        <is>
          <t>LDG0065</t>
        </is>
      </c>
      <c r="D66" s="2" t="n"/>
      <c r="H66" s="2" t="n"/>
      <c r="J66">
        <f>IF(AND(D66&lt;&gt;"",H66&lt;&gt;""),ROUND((H66-D66)*24,1),"")</f>
        <v/>
      </c>
      <c r="K66">
        <f>IF(AND(I66="Lodged",F66&lt;&gt;"Complete"),"CHECK: lodged without complete check","")</f>
        <v/>
      </c>
    </row>
    <row r="67">
      <c r="A67" t="inlineStr">
        <is>
          <t>LDG0066</t>
        </is>
      </c>
      <c r="D67" s="2" t="n"/>
      <c r="H67" s="2" t="n"/>
      <c r="J67">
        <f>IF(AND(D67&lt;&gt;"",H67&lt;&gt;""),ROUND((H67-D67)*24,1),"")</f>
        <v/>
      </c>
      <c r="K67">
        <f>IF(AND(I67="Lodged",F67&lt;&gt;"Complete"),"CHECK: lodged without complete check","")</f>
        <v/>
      </c>
    </row>
    <row r="68">
      <c r="A68" t="inlineStr">
        <is>
          <t>LDG0067</t>
        </is>
      </c>
      <c r="D68" s="2" t="n"/>
      <c r="H68" s="2" t="n"/>
      <c r="J68">
        <f>IF(AND(D68&lt;&gt;"",H68&lt;&gt;""),ROUND((H68-D68)*24,1),"")</f>
        <v/>
      </c>
      <c r="K68">
        <f>IF(AND(I68="Lodged",F68&lt;&gt;"Complete"),"CHECK: lodged without complete check","")</f>
        <v/>
      </c>
    </row>
    <row r="69">
      <c r="A69" t="inlineStr">
        <is>
          <t>LDG0068</t>
        </is>
      </c>
      <c r="D69" s="2" t="n"/>
      <c r="H69" s="2" t="n"/>
      <c r="J69">
        <f>IF(AND(D69&lt;&gt;"",H69&lt;&gt;""),ROUND((H69-D69)*24,1),"")</f>
        <v/>
      </c>
      <c r="K69">
        <f>IF(AND(I69="Lodged",F69&lt;&gt;"Complete"),"CHECK: lodged without complete check","")</f>
        <v/>
      </c>
    </row>
    <row r="70">
      <c r="A70" t="inlineStr">
        <is>
          <t>LDG0069</t>
        </is>
      </c>
      <c r="D70" s="2" t="n"/>
      <c r="H70" s="2" t="n"/>
      <c r="J70">
        <f>IF(AND(D70&lt;&gt;"",H70&lt;&gt;""),ROUND((H70-D70)*24,1),"")</f>
        <v/>
      </c>
      <c r="K70">
        <f>IF(AND(I70="Lodged",F70&lt;&gt;"Complete"),"CHECK: lodged without complete check","")</f>
        <v/>
      </c>
    </row>
    <row r="71">
      <c r="A71" t="inlineStr">
        <is>
          <t>LDG0070</t>
        </is>
      </c>
      <c r="D71" s="2" t="n"/>
      <c r="H71" s="2" t="n"/>
      <c r="J71">
        <f>IF(AND(D71&lt;&gt;"",H71&lt;&gt;""),ROUND((H71-D71)*24,1),"")</f>
        <v/>
      </c>
      <c r="K71">
        <f>IF(AND(I71="Lodged",F71&lt;&gt;"Complete"),"CHECK: lodged without complete check","")</f>
        <v/>
      </c>
    </row>
    <row r="72">
      <c r="A72" t="inlineStr">
        <is>
          <t>LDG0071</t>
        </is>
      </c>
      <c r="D72" s="2" t="n"/>
      <c r="H72" s="2" t="n"/>
      <c r="J72">
        <f>IF(AND(D72&lt;&gt;"",H72&lt;&gt;""),ROUND((H72-D72)*24,1),"")</f>
        <v/>
      </c>
      <c r="K72">
        <f>IF(AND(I72="Lodged",F72&lt;&gt;"Complete"),"CHECK: lodged without complete check","")</f>
        <v/>
      </c>
    </row>
    <row r="73">
      <c r="A73" t="inlineStr">
        <is>
          <t>LDG0072</t>
        </is>
      </c>
      <c r="D73" s="2" t="n"/>
      <c r="H73" s="2" t="n"/>
      <c r="J73">
        <f>IF(AND(D73&lt;&gt;"",H73&lt;&gt;""),ROUND((H73-D73)*24,1),"")</f>
        <v/>
      </c>
      <c r="K73">
        <f>IF(AND(I73="Lodged",F73&lt;&gt;"Complete"),"CHECK: lodged without complete check","")</f>
        <v/>
      </c>
    </row>
    <row r="74">
      <c r="A74" t="inlineStr">
        <is>
          <t>LDG0073</t>
        </is>
      </c>
      <c r="D74" s="2" t="n"/>
      <c r="H74" s="2" t="n"/>
      <c r="J74">
        <f>IF(AND(D74&lt;&gt;"",H74&lt;&gt;""),ROUND((H74-D74)*24,1),"")</f>
        <v/>
      </c>
      <c r="K74">
        <f>IF(AND(I74="Lodged",F74&lt;&gt;"Complete"),"CHECK: lodged without complete check","")</f>
        <v/>
      </c>
    </row>
    <row r="75">
      <c r="A75" t="inlineStr">
        <is>
          <t>LDG0074</t>
        </is>
      </c>
      <c r="D75" s="2" t="n"/>
      <c r="H75" s="2" t="n"/>
      <c r="J75">
        <f>IF(AND(D75&lt;&gt;"",H75&lt;&gt;""),ROUND((H75-D75)*24,1),"")</f>
        <v/>
      </c>
      <c r="K75">
        <f>IF(AND(I75="Lodged",F75&lt;&gt;"Complete"),"CHECK: lodged without complete check","")</f>
        <v/>
      </c>
    </row>
    <row r="76">
      <c r="A76" t="inlineStr">
        <is>
          <t>LDG0075</t>
        </is>
      </c>
      <c r="D76" s="2" t="n"/>
      <c r="H76" s="2" t="n"/>
      <c r="J76">
        <f>IF(AND(D76&lt;&gt;"",H76&lt;&gt;""),ROUND((H76-D76)*24,1),"")</f>
        <v/>
      </c>
      <c r="K76">
        <f>IF(AND(I76="Lodged",F76&lt;&gt;"Complete"),"CHECK: lodged without complete check","")</f>
        <v/>
      </c>
    </row>
    <row r="77">
      <c r="A77" t="inlineStr">
        <is>
          <t>LDG0076</t>
        </is>
      </c>
      <c r="D77" s="2" t="n"/>
      <c r="H77" s="2" t="n"/>
      <c r="J77">
        <f>IF(AND(D77&lt;&gt;"",H77&lt;&gt;""),ROUND((H77-D77)*24,1),"")</f>
        <v/>
      </c>
      <c r="K77">
        <f>IF(AND(I77="Lodged",F77&lt;&gt;"Complete"),"CHECK: lodged without complete check","")</f>
        <v/>
      </c>
    </row>
    <row r="78">
      <c r="A78" t="inlineStr">
        <is>
          <t>LDG0077</t>
        </is>
      </c>
      <c r="D78" s="2" t="n"/>
      <c r="H78" s="2" t="n"/>
      <c r="J78">
        <f>IF(AND(D78&lt;&gt;"",H78&lt;&gt;""),ROUND((H78-D78)*24,1),"")</f>
        <v/>
      </c>
      <c r="K78">
        <f>IF(AND(I78="Lodged",F78&lt;&gt;"Complete"),"CHECK: lodged without complete check","")</f>
        <v/>
      </c>
    </row>
    <row r="79">
      <c r="A79" t="inlineStr">
        <is>
          <t>LDG0078</t>
        </is>
      </c>
      <c r="D79" s="2" t="n"/>
      <c r="H79" s="2" t="n"/>
      <c r="J79">
        <f>IF(AND(D79&lt;&gt;"",H79&lt;&gt;""),ROUND((H79-D79)*24,1),"")</f>
        <v/>
      </c>
      <c r="K79">
        <f>IF(AND(I79="Lodged",F79&lt;&gt;"Complete"),"CHECK: lodged without complete check","")</f>
        <v/>
      </c>
    </row>
    <row r="80">
      <c r="A80" t="inlineStr">
        <is>
          <t>LDG0079</t>
        </is>
      </c>
      <c r="D80" s="2" t="n"/>
      <c r="H80" s="2" t="n"/>
      <c r="J80">
        <f>IF(AND(D80&lt;&gt;"",H80&lt;&gt;""),ROUND((H80-D80)*24,1),"")</f>
        <v/>
      </c>
      <c r="K80">
        <f>IF(AND(I80="Lodged",F80&lt;&gt;"Complete"),"CHECK: lodged without complete check","")</f>
        <v/>
      </c>
    </row>
    <row r="81">
      <c r="A81" t="inlineStr">
        <is>
          <t>LDG0080</t>
        </is>
      </c>
      <c r="D81" s="2" t="n"/>
      <c r="H81" s="2" t="n"/>
      <c r="J81">
        <f>IF(AND(D81&lt;&gt;"",H81&lt;&gt;""),ROUND((H81-D81)*24,1),"")</f>
        <v/>
      </c>
      <c r="K81">
        <f>IF(AND(I81="Lodged",F81&lt;&gt;"Complete"),"CHECK: lodged without complete check","")</f>
        <v/>
      </c>
    </row>
    <row r="82">
      <c r="A82" t="inlineStr">
        <is>
          <t>LDG0081</t>
        </is>
      </c>
      <c r="D82" s="2" t="n"/>
      <c r="H82" s="2" t="n"/>
      <c r="J82">
        <f>IF(AND(D82&lt;&gt;"",H82&lt;&gt;""),ROUND((H82-D82)*24,1),"")</f>
        <v/>
      </c>
      <c r="K82">
        <f>IF(AND(I82="Lodged",F82&lt;&gt;"Complete"),"CHECK: lodged without complete check","")</f>
        <v/>
      </c>
    </row>
    <row r="83">
      <c r="A83" t="inlineStr">
        <is>
          <t>LDG0082</t>
        </is>
      </c>
      <c r="D83" s="2" t="n"/>
      <c r="H83" s="2" t="n"/>
      <c r="J83">
        <f>IF(AND(D83&lt;&gt;"",H83&lt;&gt;""),ROUND((H83-D83)*24,1),"")</f>
        <v/>
      </c>
      <c r="K83">
        <f>IF(AND(I83="Lodged",F83&lt;&gt;"Complete"),"CHECK: lodged without complete check","")</f>
        <v/>
      </c>
    </row>
    <row r="84">
      <c r="A84" t="inlineStr">
        <is>
          <t>LDG0083</t>
        </is>
      </c>
      <c r="D84" s="2" t="n"/>
      <c r="H84" s="2" t="n"/>
      <c r="J84">
        <f>IF(AND(D84&lt;&gt;"",H84&lt;&gt;""),ROUND((H84-D84)*24,1),"")</f>
        <v/>
      </c>
      <c r="K84">
        <f>IF(AND(I84="Lodged",F84&lt;&gt;"Complete"),"CHECK: lodged without complete check","")</f>
        <v/>
      </c>
    </row>
    <row r="85">
      <c r="A85" t="inlineStr">
        <is>
          <t>LDG0084</t>
        </is>
      </c>
      <c r="D85" s="2" t="n"/>
      <c r="H85" s="2" t="n"/>
      <c r="J85">
        <f>IF(AND(D85&lt;&gt;"",H85&lt;&gt;""),ROUND((H85-D85)*24,1),"")</f>
        <v/>
      </c>
      <c r="K85">
        <f>IF(AND(I85="Lodged",F85&lt;&gt;"Complete"),"CHECK: lodged without complete check","")</f>
        <v/>
      </c>
    </row>
    <row r="86">
      <c r="A86" t="inlineStr">
        <is>
          <t>LDG0085</t>
        </is>
      </c>
      <c r="D86" s="2" t="n"/>
      <c r="H86" s="2" t="n"/>
      <c r="J86">
        <f>IF(AND(D86&lt;&gt;"",H86&lt;&gt;""),ROUND((H86-D86)*24,1),"")</f>
        <v/>
      </c>
      <c r="K86">
        <f>IF(AND(I86="Lodged",F86&lt;&gt;"Complete"),"CHECK: lodged without complete check","")</f>
        <v/>
      </c>
    </row>
    <row r="87">
      <c r="A87" t="inlineStr">
        <is>
          <t>LDG0086</t>
        </is>
      </c>
      <c r="D87" s="2" t="n"/>
      <c r="H87" s="2" t="n"/>
      <c r="J87">
        <f>IF(AND(D87&lt;&gt;"",H87&lt;&gt;""),ROUND((H87-D87)*24,1),"")</f>
        <v/>
      </c>
      <c r="K87">
        <f>IF(AND(I87="Lodged",F87&lt;&gt;"Complete"),"CHECK: lodged without complete check","")</f>
        <v/>
      </c>
    </row>
    <row r="88">
      <c r="A88" t="inlineStr">
        <is>
          <t>LDG0087</t>
        </is>
      </c>
      <c r="D88" s="2" t="n"/>
      <c r="H88" s="2" t="n"/>
      <c r="J88">
        <f>IF(AND(D88&lt;&gt;"",H88&lt;&gt;""),ROUND((H88-D88)*24,1),"")</f>
        <v/>
      </c>
      <c r="K88">
        <f>IF(AND(I88="Lodged",F88&lt;&gt;"Complete"),"CHECK: lodged without complete check","")</f>
        <v/>
      </c>
    </row>
    <row r="89">
      <c r="A89" t="inlineStr">
        <is>
          <t>LDG0088</t>
        </is>
      </c>
      <c r="D89" s="2" t="n"/>
      <c r="H89" s="2" t="n"/>
      <c r="J89">
        <f>IF(AND(D89&lt;&gt;"",H89&lt;&gt;""),ROUND((H89-D89)*24,1),"")</f>
        <v/>
      </c>
      <c r="K89">
        <f>IF(AND(I89="Lodged",F89&lt;&gt;"Complete"),"CHECK: lodged without complete check","")</f>
        <v/>
      </c>
    </row>
    <row r="90">
      <c r="A90" t="inlineStr">
        <is>
          <t>LDG0089</t>
        </is>
      </c>
      <c r="D90" s="2" t="n"/>
      <c r="H90" s="2" t="n"/>
      <c r="J90">
        <f>IF(AND(D90&lt;&gt;"",H90&lt;&gt;""),ROUND((H90-D90)*24,1),"")</f>
        <v/>
      </c>
      <c r="K90">
        <f>IF(AND(I90="Lodged",F90&lt;&gt;"Complete"),"CHECK: lodged without complete check","")</f>
        <v/>
      </c>
    </row>
    <row r="91">
      <c r="A91" t="inlineStr">
        <is>
          <t>LDG0090</t>
        </is>
      </c>
      <c r="D91" s="2" t="n"/>
      <c r="H91" s="2" t="n"/>
      <c r="J91">
        <f>IF(AND(D91&lt;&gt;"",H91&lt;&gt;""),ROUND((H91-D91)*24,1),"")</f>
        <v/>
      </c>
      <c r="K91">
        <f>IF(AND(I91="Lodged",F91&lt;&gt;"Complete"),"CHECK: lodged without complete check","")</f>
        <v/>
      </c>
    </row>
    <row r="92">
      <c r="A92" t="inlineStr">
        <is>
          <t>LDG0091</t>
        </is>
      </c>
      <c r="D92" s="2" t="n"/>
      <c r="H92" s="2" t="n"/>
      <c r="J92">
        <f>IF(AND(D92&lt;&gt;"",H92&lt;&gt;""),ROUND((H92-D92)*24,1),"")</f>
        <v/>
      </c>
      <c r="K92">
        <f>IF(AND(I92="Lodged",F92&lt;&gt;"Complete"),"CHECK: lodged without complete check","")</f>
        <v/>
      </c>
    </row>
    <row r="93">
      <c r="A93" t="inlineStr">
        <is>
          <t>LDG0092</t>
        </is>
      </c>
      <c r="D93" s="2" t="n"/>
      <c r="H93" s="2" t="n"/>
      <c r="J93">
        <f>IF(AND(D93&lt;&gt;"",H93&lt;&gt;""),ROUND((H93-D93)*24,1),"")</f>
        <v/>
      </c>
      <c r="K93">
        <f>IF(AND(I93="Lodged",F93&lt;&gt;"Complete"),"CHECK: lodged without complete check","")</f>
        <v/>
      </c>
    </row>
    <row r="94">
      <c r="A94" t="inlineStr">
        <is>
          <t>LDG0093</t>
        </is>
      </c>
      <c r="D94" s="2" t="n"/>
      <c r="H94" s="2" t="n"/>
      <c r="J94">
        <f>IF(AND(D94&lt;&gt;"",H94&lt;&gt;""),ROUND((H94-D94)*24,1),"")</f>
        <v/>
      </c>
      <c r="K94">
        <f>IF(AND(I94="Lodged",F94&lt;&gt;"Complete"),"CHECK: lodged without complete check","")</f>
        <v/>
      </c>
    </row>
    <row r="95">
      <c r="A95" t="inlineStr">
        <is>
          <t>LDG0094</t>
        </is>
      </c>
      <c r="D95" s="2" t="n"/>
      <c r="H95" s="2" t="n"/>
      <c r="J95">
        <f>IF(AND(D95&lt;&gt;"",H95&lt;&gt;""),ROUND((H95-D95)*24,1),"")</f>
        <v/>
      </c>
      <c r="K95">
        <f>IF(AND(I95="Lodged",F95&lt;&gt;"Complete"),"CHECK: lodged without complete check","")</f>
        <v/>
      </c>
    </row>
    <row r="96">
      <c r="A96" t="inlineStr">
        <is>
          <t>LDG0095</t>
        </is>
      </c>
      <c r="D96" s="2" t="n"/>
      <c r="H96" s="2" t="n"/>
      <c r="J96">
        <f>IF(AND(D96&lt;&gt;"",H96&lt;&gt;""),ROUND((H96-D96)*24,1),"")</f>
        <v/>
      </c>
      <c r="K96">
        <f>IF(AND(I96="Lodged",F96&lt;&gt;"Complete"),"CHECK: lodged without complete check","")</f>
        <v/>
      </c>
    </row>
    <row r="97">
      <c r="A97" t="inlineStr">
        <is>
          <t>LDG0096</t>
        </is>
      </c>
      <c r="D97" s="2" t="n"/>
      <c r="H97" s="2" t="n"/>
      <c r="J97">
        <f>IF(AND(D97&lt;&gt;"",H97&lt;&gt;""),ROUND((H97-D97)*24,1),"")</f>
        <v/>
      </c>
      <c r="K97">
        <f>IF(AND(I97="Lodged",F97&lt;&gt;"Complete"),"CHECK: lodged without complete check","")</f>
        <v/>
      </c>
    </row>
    <row r="98">
      <c r="A98" t="inlineStr">
        <is>
          <t>LDG0097</t>
        </is>
      </c>
      <c r="D98" s="2" t="n"/>
      <c r="H98" s="2" t="n"/>
      <c r="J98">
        <f>IF(AND(D98&lt;&gt;"",H98&lt;&gt;""),ROUND((H98-D98)*24,1),"")</f>
        <v/>
      </c>
      <c r="K98">
        <f>IF(AND(I98="Lodged",F98&lt;&gt;"Complete"),"CHECK: lodged without complete check","")</f>
        <v/>
      </c>
    </row>
    <row r="99">
      <c r="A99" t="inlineStr">
        <is>
          <t>LDG0098</t>
        </is>
      </c>
      <c r="D99" s="2" t="n"/>
      <c r="H99" s="2" t="n"/>
      <c r="J99">
        <f>IF(AND(D99&lt;&gt;"",H99&lt;&gt;""),ROUND((H99-D99)*24,1),"")</f>
        <v/>
      </c>
      <c r="K99">
        <f>IF(AND(I99="Lodged",F99&lt;&gt;"Complete"),"CHECK: lodged without complete check","")</f>
        <v/>
      </c>
    </row>
    <row r="100">
      <c r="A100" t="inlineStr">
        <is>
          <t>LDG0099</t>
        </is>
      </c>
      <c r="D100" s="2" t="n"/>
      <c r="H100" s="2" t="n"/>
      <c r="J100">
        <f>IF(AND(D100&lt;&gt;"",H100&lt;&gt;""),ROUND((H100-D100)*24,1),"")</f>
        <v/>
      </c>
      <c r="K100">
        <f>IF(AND(I100="Lodged",F100&lt;&gt;"Complete"),"CHECK: lodged without complete check","")</f>
        <v/>
      </c>
    </row>
    <row r="101">
      <c r="A101" t="inlineStr">
        <is>
          <t>LDG0100</t>
        </is>
      </c>
      <c r="D101" s="2" t="n"/>
      <c r="H101" s="2" t="n"/>
      <c r="J101">
        <f>IF(AND(D101&lt;&gt;"",H101&lt;&gt;""),ROUND((H101-D101)*24,1),"")</f>
        <v/>
      </c>
      <c r="K101">
        <f>IF(AND(I101="Lodged",F101&lt;&gt;"Complete"),"CHECK: lodged without complete check","")</f>
        <v/>
      </c>
    </row>
    <row r="102">
      <c r="A102" t="inlineStr">
        <is>
          <t>LDG0101</t>
        </is>
      </c>
      <c r="D102" s="2" t="n"/>
      <c r="H102" s="2" t="n"/>
      <c r="J102">
        <f>IF(AND(D102&lt;&gt;"",H102&lt;&gt;""),ROUND((H102-D102)*24,1),"")</f>
        <v/>
      </c>
      <c r="K102">
        <f>IF(AND(I102="Lodged",F102&lt;&gt;"Complete"),"CHECK: lodged without complete check","")</f>
        <v/>
      </c>
    </row>
    <row r="103">
      <c r="A103" t="inlineStr">
        <is>
          <t>LDG0102</t>
        </is>
      </c>
      <c r="D103" s="2" t="n"/>
      <c r="H103" s="2" t="n"/>
      <c r="J103">
        <f>IF(AND(D103&lt;&gt;"",H103&lt;&gt;""),ROUND((H103-D103)*24,1),"")</f>
        <v/>
      </c>
      <c r="K103">
        <f>IF(AND(I103="Lodged",F103&lt;&gt;"Complete"),"CHECK: lodged without complete check","")</f>
        <v/>
      </c>
    </row>
    <row r="104">
      <c r="A104" t="inlineStr">
        <is>
          <t>LDG0103</t>
        </is>
      </c>
      <c r="D104" s="2" t="n"/>
      <c r="H104" s="2" t="n"/>
      <c r="J104">
        <f>IF(AND(D104&lt;&gt;"",H104&lt;&gt;""),ROUND((H104-D104)*24,1),"")</f>
        <v/>
      </c>
      <c r="K104">
        <f>IF(AND(I104="Lodged",F104&lt;&gt;"Complete"),"CHECK: lodged without complete check","")</f>
        <v/>
      </c>
    </row>
    <row r="105">
      <c r="A105" t="inlineStr">
        <is>
          <t>LDG0104</t>
        </is>
      </c>
      <c r="D105" s="2" t="n"/>
      <c r="H105" s="2" t="n"/>
      <c r="J105">
        <f>IF(AND(D105&lt;&gt;"",H105&lt;&gt;""),ROUND((H105-D105)*24,1),"")</f>
        <v/>
      </c>
      <c r="K105">
        <f>IF(AND(I105="Lodged",F105&lt;&gt;"Complete"),"CHECK: lodged without complete check","")</f>
        <v/>
      </c>
    </row>
    <row r="106">
      <c r="A106" t="inlineStr">
        <is>
          <t>LDG0105</t>
        </is>
      </c>
      <c r="D106" s="2" t="n"/>
      <c r="H106" s="2" t="n"/>
      <c r="J106">
        <f>IF(AND(D106&lt;&gt;"",H106&lt;&gt;""),ROUND((H106-D106)*24,1),"")</f>
        <v/>
      </c>
      <c r="K106">
        <f>IF(AND(I106="Lodged",F106&lt;&gt;"Complete"),"CHECK: lodged without complete check","")</f>
        <v/>
      </c>
    </row>
    <row r="107">
      <c r="A107" t="inlineStr">
        <is>
          <t>LDG0106</t>
        </is>
      </c>
      <c r="D107" s="2" t="n"/>
      <c r="H107" s="2" t="n"/>
      <c r="J107">
        <f>IF(AND(D107&lt;&gt;"",H107&lt;&gt;""),ROUND((H107-D107)*24,1),"")</f>
        <v/>
      </c>
      <c r="K107">
        <f>IF(AND(I107="Lodged",F107&lt;&gt;"Complete"),"CHECK: lodged without complete check","")</f>
        <v/>
      </c>
    </row>
    <row r="108">
      <c r="A108" t="inlineStr">
        <is>
          <t>LDG0107</t>
        </is>
      </c>
      <c r="D108" s="2" t="n"/>
      <c r="H108" s="2" t="n"/>
      <c r="J108">
        <f>IF(AND(D108&lt;&gt;"",H108&lt;&gt;""),ROUND((H108-D108)*24,1),"")</f>
        <v/>
      </c>
      <c r="K108">
        <f>IF(AND(I108="Lodged",F108&lt;&gt;"Complete"),"CHECK: lodged without complete check","")</f>
        <v/>
      </c>
    </row>
    <row r="109">
      <c r="A109" t="inlineStr">
        <is>
          <t>LDG0108</t>
        </is>
      </c>
      <c r="D109" s="2" t="n"/>
      <c r="H109" s="2" t="n"/>
      <c r="J109">
        <f>IF(AND(D109&lt;&gt;"",H109&lt;&gt;""),ROUND((H109-D109)*24,1),"")</f>
        <v/>
      </c>
      <c r="K109">
        <f>IF(AND(I109="Lodged",F109&lt;&gt;"Complete"),"CHECK: lodged without complete check","")</f>
        <v/>
      </c>
    </row>
    <row r="110">
      <c r="A110" t="inlineStr">
        <is>
          <t>LDG0109</t>
        </is>
      </c>
      <c r="D110" s="2" t="n"/>
      <c r="H110" s="2" t="n"/>
      <c r="J110">
        <f>IF(AND(D110&lt;&gt;"",H110&lt;&gt;""),ROUND((H110-D110)*24,1),"")</f>
        <v/>
      </c>
      <c r="K110">
        <f>IF(AND(I110="Lodged",F110&lt;&gt;"Complete"),"CHECK: lodged without complete check","")</f>
        <v/>
      </c>
    </row>
    <row r="111">
      <c r="A111" t="inlineStr">
        <is>
          <t>LDG0110</t>
        </is>
      </c>
      <c r="D111" s="2" t="n"/>
      <c r="H111" s="2" t="n"/>
      <c r="J111">
        <f>IF(AND(D111&lt;&gt;"",H111&lt;&gt;""),ROUND((H111-D111)*24,1),"")</f>
        <v/>
      </c>
      <c r="K111">
        <f>IF(AND(I111="Lodged",F111&lt;&gt;"Complete"),"CHECK: lodged without complete check","")</f>
        <v/>
      </c>
    </row>
    <row r="112">
      <c r="A112" t="inlineStr">
        <is>
          <t>LDG0111</t>
        </is>
      </c>
      <c r="D112" s="2" t="n"/>
      <c r="H112" s="2" t="n"/>
      <c r="J112">
        <f>IF(AND(D112&lt;&gt;"",H112&lt;&gt;""),ROUND((H112-D112)*24,1),"")</f>
        <v/>
      </c>
      <c r="K112">
        <f>IF(AND(I112="Lodged",F112&lt;&gt;"Complete"),"CHECK: lodged without complete check","")</f>
        <v/>
      </c>
    </row>
    <row r="113">
      <c r="A113" t="inlineStr">
        <is>
          <t>LDG0112</t>
        </is>
      </c>
      <c r="D113" s="2" t="n"/>
      <c r="H113" s="2" t="n"/>
      <c r="J113">
        <f>IF(AND(D113&lt;&gt;"",H113&lt;&gt;""),ROUND((H113-D113)*24,1),"")</f>
        <v/>
      </c>
      <c r="K113">
        <f>IF(AND(I113="Lodged",F113&lt;&gt;"Complete"),"CHECK: lodged without complete check","")</f>
        <v/>
      </c>
    </row>
    <row r="114">
      <c r="A114" t="inlineStr">
        <is>
          <t>LDG0113</t>
        </is>
      </c>
      <c r="D114" s="2" t="n"/>
      <c r="H114" s="2" t="n"/>
      <c r="J114">
        <f>IF(AND(D114&lt;&gt;"",H114&lt;&gt;""),ROUND((H114-D114)*24,1),"")</f>
        <v/>
      </c>
      <c r="K114">
        <f>IF(AND(I114="Lodged",F114&lt;&gt;"Complete"),"CHECK: lodged without complete check","")</f>
        <v/>
      </c>
    </row>
    <row r="115">
      <c r="A115" t="inlineStr">
        <is>
          <t>LDG0114</t>
        </is>
      </c>
      <c r="D115" s="2" t="n"/>
      <c r="H115" s="2" t="n"/>
      <c r="J115">
        <f>IF(AND(D115&lt;&gt;"",H115&lt;&gt;""),ROUND((H115-D115)*24,1),"")</f>
        <v/>
      </c>
      <c r="K115">
        <f>IF(AND(I115="Lodged",F115&lt;&gt;"Complete"),"CHECK: lodged without complete check","")</f>
        <v/>
      </c>
    </row>
    <row r="116">
      <c r="A116" t="inlineStr">
        <is>
          <t>LDG0115</t>
        </is>
      </c>
      <c r="D116" s="2" t="n"/>
      <c r="H116" s="2" t="n"/>
      <c r="J116">
        <f>IF(AND(D116&lt;&gt;"",H116&lt;&gt;""),ROUND((H116-D116)*24,1),"")</f>
        <v/>
      </c>
      <c r="K116">
        <f>IF(AND(I116="Lodged",F116&lt;&gt;"Complete"),"CHECK: lodged without complete check","")</f>
        <v/>
      </c>
    </row>
    <row r="117">
      <c r="A117" t="inlineStr">
        <is>
          <t>LDG0116</t>
        </is>
      </c>
      <c r="D117" s="2" t="n"/>
      <c r="H117" s="2" t="n"/>
      <c r="J117">
        <f>IF(AND(D117&lt;&gt;"",H117&lt;&gt;""),ROUND((H117-D117)*24,1),"")</f>
        <v/>
      </c>
      <c r="K117">
        <f>IF(AND(I117="Lodged",F117&lt;&gt;"Complete"),"CHECK: lodged without complete check","")</f>
        <v/>
      </c>
    </row>
    <row r="118">
      <c r="A118" t="inlineStr">
        <is>
          <t>LDG0117</t>
        </is>
      </c>
      <c r="D118" s="2" t="n"/>
      <c r="H118" s="2" t="n"/>
      <c r="J118">
        <f>IF(AND(D118&lt;&gt;"",H118&lt;&gt;""),ROUND((H118-D118)*24,1),"")</f>
        <v/>
      </c>
      <c r="K118">
        <f>IF(AND(I118="Lodged",F118&lt;&gt;"Complete"),"CHECK: lodged without complete check","")</f>
        <v/>
      </c>
    </row>
    <row r="119">
      <c r="A119" t="inlineStr">
        <is>
          <t>LDG0118</t>
        </is>
      </c>
      <c r="D119" s="2" t="n"/>
      <c r="H119" s="2" t="n"/>
      <c r="J119">
        <f>IF(AND(D119&lt;&gt;"",H119&lt;&gt;""),ROUND((H119-D119)*24,1),"")</f>
        <v/>
      </c>
      <c r="K119">
        <f>IF(AND(I119="Lodged",F119&lt;&gt;"Complete"),"CHECK: lodged without complete check","")</f>
        <v/>
      </c>
    </row>
    <row r="120">
      <c r="A120" t="inlineStr">
        <is>
          <t>LDG0119</t>
        </is>
      </c>
      <c r="D120" s="2" t="n"/>
      <c r="H120" s="2" t="n"/>
      <c r="J120">
        <f>IF(AND(D120&lt;&gt;"",H120&lt;&gt;""),ROUND((H120-D120)*24,1),"")</f>
        <v/>
      </c>
      <c r="K120">
        <f>IF(AND(I120="Lodged",F120&lt;&gt;"Complete"),"CHECK: lodged without complete check","")</f>
        <v/>
      </c>
    </row>
    <row r="121">
      <c r="A121" t="inlineStr">
        <is>
          <t>LDG0120</t>
        </is>
      </c>
      <c r="D121" s="2" t="n"/>
      <c r="H121" s="2" t="n"/>
      <c r="J121">
        <f>IF(AND(D121&lt;&gt;"",H121&lt;&gt;""),ROUND((H121-D121)*24,1),"")</f>
        <v/>
      </c>
      <c r="K121">
        <f>IF(AND(I121="Lodged",F121&lt;&gt;"Complete"),"CHECK: lodged without complete check","")</f>
        <v/>
      </c>
    </row>
    <row r="122">
      <c r="A122" t="inlineStr">
        <is>
          <t>LDG0121</t>
        </is>
      </c>
      <c r="D122" s="2" t="n"/>
      <c r="H122" s="2" t="n"/>
      <c r="J122">
        <f>IF(AND(D122&lt;&gt;"",H122&lt;&gt;""),ROUND((H122-D122)*24,1),"")</f>
        <v/>
      </c>
      <c r="K122">
        <f>IF(AND(I122="Lodged",F122&lt;&gt;"Complete"),"CHECK: lodged without complete check","")</f>
        <v/>
      </c>
    </row>
    <row r="123">
      <c r="A123" t="inlineStr">
        <is>
          <t>LDG0122</t>
        </is>
      </c>
      <c r="D123" s="2" t="n"/>
      <c r="H123" s="2" t="n"/>
      <c r="J123">
        <f>IF(AND(D123&lt;&gt;"",H123&lt;&gt;""),ROUND((H123-D123)*24,1),"")</f>
        <v/>
      </c>
      <c r="K123">
        <f>IF(AND(I123="Lodged",F123&lt;&gt;"Complete"),"CHECK: lodged without complete check","")</f>
        <v/>
      </c>
    </row>
    <row r="124">
      <c r="A124" t="inlineStr">
        <is>
          <t>LDG0123</t>
        </is>
      </c>
      <c r="D124" s="2" t="n"/>
      <c r="H124" s="2" t="n"/>
      <c r="J124">
        <f>IF(AND(D124&lt;&gt;"",H124&lt;&gt;""),ROUND((H124-D124)*24,1),"")</f>
        <v/>
      </c>
      <c r="K124">
        <f>IF(AND(I124="Lodged",F124&lt;&gt;"Complete"),"CHECK: lodged without complete check","")</f>
        <v/>
      </c>
    </row>
    <row r="125">
      <c r="A125" t="inlineStr">
        <is>
          <t>LDG0124</t>
        </is>
      </c>
      <c r="D125" s="2" t="n"/>
      <c r="H125" s="2" t="n"/>
      <c r="J125">
        <f>IF(AND(D125&lt;&gt;"",H125&lt;&gt;""),ROUND((H125-D125)*24,1),"")</f>
        <v/>
      </c>
      <c r="K125">
        <f>IF(AND(I125="Lodged",F125&lt;&gt;"Complete"),"CHECK: lodged without complete check","")</f>
        <v/>
      </c>
    </row>
    <row r="126">
      <c r="A126" t="inlineStr">
        <is>
          <t>LDG0125</t>
        </is>
      </c>
      <c r="D126" s="2" t="n"/>
      <c r="H126" s="2" t="n"/>
      <c r="J126">
        <f>IF(AND(D126&lt;&gt;"",H126&lt;&gt;""),ROUND((H126-D126)*24,1),"")</f>
        <v/>
      </c>
      <c r="K126">
        <f>IF(AND(I126="Lodged",F126&lt;&gt;"Complete"),"CHECK: lodged without complete check","")</f>
        <v/>
      </c>
    </row>
    <row r="127">
      <c r="A127" t="inlineStr">
        <is>
          <t>LDG0126</t>
        </is>
      </c>
      <c r="D127" s="2" t="n"/>
      <c r="H127" s="2" t="n"/>
      <c r="J127">
        <f>IF(AND(D127&lt;&gt;"",H127&lt;&gt;""),ROUND((H127-D127)*24,1),"")</f>
        <v/>
      </c>
      <c r="K127">
        <f>IF(AND(I127="Lodged",F127&lt;&gt;"Complete"),"CHECK: lodged without complete check","")</f>
        <v/>
      </c>
    </row>
    <row r="128">
      <c r="A128" t="inlineStr">
        <is>
          <t>LDG0127</t>
        </is>
      </c>
      <c r="D128" s="2" t="n"/>
      <c r="H128" s="2" t="n"/>
      <c r="J128">
        <f>IF(AND(D128&lt;&gt;"",H128&lt;&gt;""),ROUND((H128-D128)*24,1),"")</f>
        <v/>
      </c>
      <c r="K128">
        <f>IF(AND(I128="Lodged",F128&lt;&gt;"Complete"),"CHECK: lodged without complete check","")</f>
        <v/>
      </c>
    </row>
    <row r="129">
      <c r="A129" t="inlineStr">
        <is>
          <t>LDG0128</t>
        </is>
      </c>
      <c r="D129" s="2" t="n"/>
      <c r="H129" s="2" t="n"/>
      <c r="J129">
        <f>IF(AND(D129&lt;&gt;"",H129&lt;&gt;""),ROUND((H129-D129)*24,1),"")</f>
        <v/>
      </c>
      <c r="K129">
        <f>IF(AND(I129="Lodged",F129&lt;&gt;"Complete"),"CHECK: lodged without complete check","")</f>
        <v/>
      </c>
    </row>
    <row r="130">
      <c r="A130" t="inlineStr">
        <is>
          <t>LDG0129</t>
        </is>
      </c>
      <c r="D130" s="2" t="n"/>
      <c r="H130" s="2" t="n"/>
      <c r="J130">
        <f>IF(AND(D130&lt;&gt;"",H130&lt;&gt;""),ROUND((H130-D130)*24,1),"")</f>
        <v/>
      </c>
      <c r="K130">
        <f>IF(AND(I130="Lodged",F130&lt;&gt;"Complete"),"CHECK: lodged without complete check","")</f>
        <v/>
      </c>
    </row>
    <row r="131">
      <c r="A131" t="inlineStr">
        <is>
          <t>LDG0130</t>
        </is>
      </c>
      <c r="D131" s="2" t="n"/>
      <c r="H131" s="2" t="n"/>
      <c r="J131">
        <f>IF(AND(D131&lt;&gt;"",H131&lt;&gt;""),ROUND((H131-D131)*24,1),"")</f>
        <v/>
      </c>
      <c r="K131">
        <f>IF(AND(I131="Lodged",F131&lt;&gt;"Complete"),"CHECK: lodged without complete check","")</f>
        <v/>
      </c>
    </row>
    <row r="132">
      <c r="A132" t="inlineStr">
        <is>
          <t>LDG0131</t>
        </is>
      </c>
      <c r="D132" s="2" t="n"/>
      <c r="H132" s="2" t="n"/>
      <c r="J132">
        <f>IF(AND(D132&lt;&gt;"",H132&lt;&gt;""),ROUND((H132-D132)*24,1),"")</f>
        <v/>
      </c>
      <c r="K132">
        <f>IF(AND(I132="Lodged",F132&lt;&gt;"Complete"),"CHECK: lodged without complete check","")</f>
        <v/>
      </c>
    </row>
    <row r="133">
      <c r="A133" t="inlineStr">
        <is>
          <t>LDG0132</t>
        </is>
      </c>
      <c r="D133" s="2" t="n"/>
      <c r="H133" s="2" t="n"/>
      <c r="J133">
        <f>IF(AND(D133&lt;&gt;"",H133&lt;&gt;""),ROUND((H133-D133)*24,1),"")</f>
        <v/>
      </c>
      <c r="K133">
        <f>IF(AND(I133="Lodged",F133&lt;&gt;"Complete"),"CHECK: lodged without complete check","")</f>
        <v/>
      </c>
    </row>
    <row r="134">
      <c r="A134" t="inlineStr">
        <is>
          <t>LDG0133</t>
        </is>
      </c>
      <c r="D134" s="2" t="n"/>
      <c r="H134" s="2" t="n"/>
      <c r="J134">
        <f>IF(AND(D134&lt;&gt;"",H134&lt;&gt;""),ROUND((H134-D134)*24,1),"")</f>
        <v/>
      </c>
      <c r="K134">
        <f>IF(AND(I134="Lodged",F134&lt;&gt;"Complete"),"CHECK: lodged without complete check","")</f>
        <v/>
      </c>
    </row>
    <row r="135">
      <c r="A135" t="inlineStr">
        <is>
          <t>LDG0134</t>
        </is>
      </c>
      <c r="D135" s="2" t="n"/>
      <c r="H135" s="2" t="n"/>
      <c r="J135">
        <f>IF(AND(D135&lt;&gt;"",H135&lt;&gt;""),ROUND((H135-D135)*24,1),"")</f>
        <v/>
      </c>
      <c r="K135">
        <f>IF(AND(I135="Lodged",F135&lt;&gt;"Complete"),"CHECK: lodged without complete check","")</f>
        <v/>
      </c>
    </row>
    <row r="136">
      <c r="A136" t="inlineStr">
        <is>
          <t>LDG0135</t>
        </is>
      </c>
      <c r="D136" s="2" t="n"/>
      <c r="H136" s="2" t="n"/>
      <c r="J136">
        <f>IF(AND(D136&lt;&gt;"",H136&lt;&gt;""),ROUND((H136-D136)*24,1),"")</f>
        <v/>
      </c>
      <c r="K136">
        <f>IF(AND(I136="Lodged",F136&lt;&gt;"Complete"),"CHECK: lodged without complete check","")</f>
        <v/>
      </c>
    </row>
    <row r="137">
      <c r="A137" t="inlineStr">
        <is>
          <t>LDG0136</t>
        </is>
      </c>
      <c r="D137" s="2" t="n"/>
      <c r="H137" s="2" t="n"/>
      <c r="J137">
        <f>IF(AND(D137&lt;&gt;"",H137&lt;&gt;""),ROUND((H137-D137)*24,1),"")</f>
        <v/>
      </c>
      <c r="K137">
        <f>IF(AND(I137="Lodged",F137&lt;&gt;"Complete"),"CHECK: lodged without complete check","")</f>
        <v/>
      </c>
    </row>
    <row r="138">
      <c r="A138" t="inlineStr">
        <is>
          <t>LDG0137</t>
        </is>
      </c>
      <c r="D138" s="2" t="n"/>
      <c r="H138" s="2" t="n"/>
      <c r="J138">
        <f>IF(AND(D138&lt;&gt;"",H138&lt;&gt;""),ROUND((H138-D138)*24,1),"")</f>
        <v/>
      </c>
      <c r="K138">
        <f>IF(AND(I138="Lodged",F138&lt;&gt;"Complete"),"CHECK: lodged without complete check","")</f>
        <v/>
      </c>
    </row>
    <row r="139">
      <c r="A139" t="inlineStr">
        <is>
          <t>LDG0138</t>
        </is>
      </c>
      <c r="D139" s="2" t="n"/>
      <c r="H139" s="2" t="n"/>
      <c r="J139">
        <f>IF(AND(D139&lt;&gt;"",H139&lt;&gt;""),ROUND((H139-D139)*24,1),"")</f>
        <v/>
      </c>
      <c r="K139">
        <f>IF(AND(I139="Lodged",F139&lt;&gt;"Complete"),"CHECK: lodged without complete check","")</f>
        <v/>
      </c>
    </row>
    <row r="140">
      <c r="A140" t="inlineStr">
        <is>
          <t>LDG0139</t>
        </is>
      </c>
      <c r="D140" s="2" t="n"/>
      <c r="H140" s="2" t="n"/>
      <c r="J140">
        <f>IF(AND(D140&lt;&gt;"",H140&lt;&gt;""),ROUND((H140-D140)*24,1),"")</f>
        <v/>
      </c>
      <c r="K140">
        <f>IF(AND(I140="Lodged",F140&lt;&gt;"Complete"),"CHECK: lodged without complete check","")</f>
        <v/>
      </c>
    </row>
    <row r="141">
      <c r="A141" t="inlineStr">
        <is>
          <t>LDG0140</t>
        </is>
      </c>
      <c r="D141" s="2" t="n"/>
      <c r="H141" s="2" t="n"/>
      <c r="J141">
        <f>IF(AND(D141&lt;&gt;"",H141&lt;&gt;""),ROUND((H141-D141)*24,1),"")</f>
        <v/>
      </c>
      <c r="K141">
        <f>IF(AND(I141="Lodged",F141&lt;&gt;"Complete"),"CHECK: lodged without complete check","")</f>
        <v/>
      </c>
    </row>
    <row r="142">
      <c r="A142" t="inlineStr">
        <is>
          <t>LDG0141</t>
        </is>
      </c>
      <c r="D142" s="2" t="n"/>
      <c r="H142" s="2" t="n"/>
      <c r="J142">
        <f>IF(AND(D142&lt;&gt;"",H142&lt;&gt;""),ROUND((H142-D142)*24,1),"")</f>
        <v/>
      </c>
      <c r="K142">
        <f>IF(AND(I142="Lodged",F142&lt;&gt;"Complete"),"CHECK: lodged without complete check","")</f>
        <v/>
      </c>
    </row>
    <row r="143">
      <c r="A143" t="inlineStr">
        <is>
          <t>LDG0142</t>
        </is>
      </c>
      <c r="D143" s="2" t="n"/>
      <c r="H143" s="2" t="n"/>
      <c r="J143">
        <f>IF(AND(D143&lt;&gt;"",H143&lt;&gt;""),ROUND((H143-D143)*24,1),"")</f>
        <v/>
      </c>
      <c r="K143">
        <f>IF(AND(I143="Lodged",F143&lt;&gt;"Complete"),"CHECK: lodged without complete check","")</f>
        <v/>
      </c>
    </row>
    <row r="144">
      <c r="A144" t="inlineStr">
        <is>
          <t>LDG0143</t>
        </is>
      </c>
      <c r="D144" s="2" t="n"/>
      <c r="H144" s="2" t="n"/>
      <c r="J144">
        <f>IF(AND(D144&lt;&gt;"",H144&lt;&gt;""),ROUND((H144-D144)*24,1),"")</f>
        <v/>
      </c>
      <c r="K144">
        <f>IF(AND(I144="Lodged",F144&lt;&gt;"Complete"),"CHECK: lodged without complete check","")</f>
        <v/>
      </c>
    </row>
    <row r="145">
      <c r="A145" t="inlineStr">
        <is>
          <t>LDG0144</t>
        </is>
      </c>
      <c r="D145" s="2" t="n"/>
      <c r="H145" s="2" t="n"/>
      <c r="J145">
        <f>IF(AND(D145&lt;&gt;"",H145&lt;&gt;""),ROUND((H145-D145)*24,1),"")</f>
        <v/>
      </c>
      <c r="K145">
        <f>IF(AND(I145="Lodged",F145&lt;&gt;"Complete"),"CHECK: lodged without complete check","")</f>
        <v/>
      </c>
    </row>
    <row r="146">
      <c r="A146" t="inlineStr">
        <is>
          <t>LDG0145</t>
        </is>
      </c>
      <c r="D146" s="2" t="n"/>
      <c r="H146" s="2" t="n"/>
      <c r="J146">
        <f>IF(AND(D146&lt;&gt;"",H146&lt;&gt;""),ROUND((H146-D146)*24,1),"")</f>
        <v/>
      </c>
      <c r="K146">
        <f>IF(AND(I146="Lodged",F146&lt;&gt;"Complete"),"CHECK: lodged without complete check","")</f>
        <v/>
      </c>
    </row>
    <row r="147">
      <c r="A147" t="inlineStr">
        <is>
          <t>LDG0146</t>
        </is>
      </c>
      <c r="D147" s="2" t="n"/>
      <c r="H147" s="2" t="n"/>
      <c r="J147">
        <f>IF(AND(D147&lt;&gt;"",H147&lt;&gt;""),ROUND((H147-D147)*24,1),"")</f>
        <v/>
      </c>
      <c r="K147">
        <f>IF(AND(I147="Lodged",F147&lt;&gt;"Complete"),"CHECK: lodged without complete check","")</f>
        <v/>
      </c>
    </row>
    <row r="148">
      <c r="A148" t="inlineStr">
        <is>
          <t>LDG0147</t>
        </is>
      </c>
      <c r="D148" s="2" t="n"/>
      <c r="H148" s="2" t="n"/>
      <c r="J148">
        <f>IF(AND(D148&lt;&gt;"",H148&lt;&gt;""),ROUND((H148-D148)*24,1),"")</f>
        <v/>
      </c>
      <c r="K148">
        <f>IF(AND(I148="Lodged",F148&lt;&gt;"Complete"),"CHECK: lodged without complete check","")</f>
        <v/>
      </c>
    </row>
    <row r="149">
      <c r="A149" t="inlineStr">
        <is>
          <t>LDG0148</t>
        </is>
      </c>
      <c r="D149" s="2" t="n"/>
      <c r="H149" s="2" t="n"/>
      <c r="J149">
        <f>IF(AND(D149&lt;&gt;"",H149&lt;&gt;""),ROUND((H149-D149)*24,1),"")</f>
        <v/>
      </c>
      <c r="K149">
        <f>IF(AND(I149="Lodged",F149&lt;&gt;"Complete"),"CHECK: lodged without complete check","")</f>
        <v/>
      </c>
    </row>
    <row r="150">
      <c r="A150" t="inlineStr">
        <is>
          <t>LDG0149</t>
        </is>
      </c>
      <c r="D150" s="2" t="n"/>
      <c r="H150" s="2" t="n"/>
      <c r="J150">
        <f>IF(AND(D150&lt;&gt;"",H150&lt;&gt;""),ROUND((H150-D150)*24,1),"")</f>
        <v/>
      </c>
      <c r="K150">
        <f>IF(AND(I150="Lodged",F150&lt;&gt;"Complete"),"CHECK: lodged without complete check","")</f>
        <v/>
      </c>
    </row>
    <row r="151">
      <c r="A151" t="inlineStr">
        <is>
          <t>LDG0150</t>
        </is>
      </c>
      <c r="D151" s="2" t="n"/>
      <c r="H151" s="2" t="n"/>
      <c r="J151">
        <f>IF(AND(D151&lt;&gt;"",H151&lt;&gt;""),ROUND((H151-D151)*24,1),"")</f>
        <v/>
      </c>
      <c r="K151">
        <f>IF(AND(I151="Lodged",F151&lt;&gt;"Complete"),"CHECK: lodged without complete check","")</f>
        <v/>
      </c>
    </row>
    <row r="152">
      <c r="A152" t="inlineStr">
        <is>
          <t>LDG0151</t>
        </is>
      </c>
      <c r="D152" s="2" t="n"/>
      <c r="H152" s="2" t="n"/>
      <c r="J152">
        <f>IF(AND(D152&lt;&gt;"",H152&lt;&gt;""),ROUND((H152-D152)*24,1),"")</f>
        <v/>
      </c>
      <c r="K152">
        <f>IF(AND(I152="Lodged",F152&lt;&gt;"Complete"),"CHECK: lodged without complete check","")</f>
        <v/>
      </c>
    </row>
    <row r="153">
      <c r="A153" t="inlineStr">
        <is>
          <t>LDG0152</t>
        </is>
      </c>
      <c r="D153" s="2" t="n"/>
      <c r="H153" s="2" t="n"/>
      <c r="J153">
        <f>IF(AND(D153&lt;&gt;"",H153&lt;&gt;""),ROUND((H153-D153)*24,1),"")</f>
        <v/>
      </c>
      <c r="K153">
        <f>IF(AND(I153="Lodged",F153&lt;&gt;"Complete"),"CHECK: lodged without complete check","")</f>
        <v/>
      </c>
    </row>
    <row r="154">
      <c r="A154" t="inlineStr">
        <is>
          <t>LDG0153</t>
        </is>
      </c>
      <c r="D154" s="2" t="n"/>
      <c r="H154" s="2" t="n"/>
      <c r="J154">
        <f>IF(AND(D154&lt;&gt;"",H154&lt;&gt;""),ROUND((H154-D154)*24,1),"")</f>
        <v/>
      </c>
      <c r="K154">
        <f>IF(AND(I154="Lodged",F154&lt;&gt;"Complete"),"CHECK: lodged without complete check","")</f>
        <v/>
      </c>
    </row>
    <row r="155">
      <c r="A155" t="inlineStr">
        <is>
          <t>LDG0154</t>
        </is>
      </c>
      <c r="D155" s="2" t="n"/>
      <c r="H155" s="2" t="n"/>
      <c r="J155">
        <f>IF(AND(D155&lt;&gt;"",H155&lt;&gt;""),ROUND((H155-D155)*24,1),"")</f>
        <v/>
      </c>
      <c r="K155">
        <f>IF(AND(I155="Lodged",F155&lt;&gt;"Complete"),"CHECK: lodged without complete check","")</f>
        <v/>
      </c>
    </row>
    <row r="156">
      <c r="A156" t="inlineStr">
        <is>
          <t>LDG0155</t>
        </is>
      </c>
      <c r="D156" s="2" t="n"/>
      <c r="H156" s="2" t="n"/>
      <c r="J156">
        <f>IF(AND(D156&lt;&gt;"",H156&lt;&gt;""),ROUND((H156-D156)*24,1),"")</f>
        <v/>
      </c>
      <c r="K156">
        <f>IF(AND(I156="Lodged",F156&lt;&gt;"Complete"),"CHECK: lodged without complete check","")</f>
        <v/>
      </c>
    </row>
    <row r="157">
      <c r="A157" t="inlineStr">
        <is>
          <t>LDG0156</t>
        </is>
      </c>
      <c r="D157" s="2" t="n"/>
      <c r="H157" s="2" t="n"/>
      <c r="J157">
        <f>IF(AND(D157&lt;&gt;"",H157&lt;&gt;""),ROUND((H157-D157)*24,1),"")</f>
        <v/>
      </c>
      <c r="K157">
        <f>IF(AND(I157="Lodged",F157&lt;&gt;"Complete"),"CHECK: lodged without complete check","")</f>
        <v/>
      </c>
    </row>
    <row r="158">
      <c r="A158" t="inlineStr">
        <is>
          <t>LDG0157</t>
        </is>
      </c>
      <c r="D158" s="2" t="n"/>
      <c r="H158" s="2" t="n"/>
      <c r="J158">
        <f>IF(AND(D158&lt;&gt;"",H158&lt;&gt;""),ROUND((H158-D158)*24,1),"")</f>
        <v/>
      </c>
      <c r="K158">
        <f>IF(AND(I158="Lodged",F158&lt;&gt;"Complete"),"CHECK: lodged without complete check","")</f>
        <v/>
      </c>
    </row>
    <row r="159">
      <c r="A159" t="inlineStr">
        <is>
          <t>LDG0158</t>
        </is>
      </c>
      <c r="D159" s="2" t="n"/>
      <c r="H159" s="2" t="n"/>
      <c r="J159">
        <f>IF(AND(D159&lt;&gt;"",H159&lt;&gt;""),ROUND((H159-D159)*24,1),"")</f>
        <v/>
      </c>
      <c r="K159">
        <f>IF(AND(I159="Lodged",F159&lt;&gt;"Complete"),"CHECK: lodged without complete check","")</f>
        <v/>
      </c>
    </row>
    <row r="160">
      <c r="A160" t="inlineStr">
        <is>
          <t>LDG0159</t>
        </is>
      </c>
      <c r="D160" s="2" t="n"/>
      <c r="H160" s="2" t="n"/>
      <c r="J160">
        <f>IF(AND(D160&lt;&gt;"",H160&lt;&gt;""),ROUND((H160-D160)*24,1),"")</f>
        <v/>
      </c>
      <c r="K160">
        <f>IF(AND(I160="Lodged",F160&lt;&gt;"Complete"),"CHECK: lodged without complete check","")</f>
        <v/>
      </c>
    </row>
    <row r="161">
      <c r="A161" t="inlineStr">
        <is>
          <t>LDG0160</t>
        </is>
      </c>
      <c r="D161" s="2" t="n"/>
      <c r="H161" s="2" t="n"/>
      <c r="J161">
        <f>IF(AND(D161&lt;&gt;"",H161&lt;&gt;""),ROUND((H161-D161)*24,1),"")</f>
        <v/>
      </c>
      <c r="K161">
        <f>IF(AND(I161="Lodged",F161&lt;&gt;"Complete"),"CHECK: lodged without complete check","")</f>
        <v/>
      </c>
    </row>
    <row r="162">
      <c r="A162" t="inlineStr">
        <is>
          <t>LDG0161</t>
        </is>
      </c>
      <c r="D162" s="2" t="n"/>
      <c r="H162" s="2" t="n"/>
      <c r="J162">
        <f>IF(AND(D162&lt;&gt;"",H162&lt;&gt;""),ROUND((H162-D162)*24,1),"")</f>
        <v/>
      </c>
      <c r="K162">
        <f>IF(AND(I162="Lodged",F162&lt;&gt;"Complete"),"CHECK: lodged without complete check","")</f>
        <v/>
      </c>
    </row>
    <row r="163">
      <c r="A163" t="inlineStr">
        <is>
          <t>LDG0162</t>
        </is>
      </c>
      <c r="D163" s="2" t="n"/>
      <c r="H163" s="2" t="n"/>
      <c r="J163">
        <f>IF(AND(D163&lt;&gt;"",H163&lt;&gt;""),ROUND((H163-D163)*24,1),"")</f>
        <v/>
      </c>
      <c r="K163">
        <f>IF(AND(I163="Lodged",F163&lt;&gt;"Complete"),"CHECK: lodged without complete check","")</f>
        <v/>
      </c>
    </row>
    <row r="164">
      <c r="A164" t="inlineStr">
        <is>
          <t>LDG0163</t>
        </is>
      </c>
      <c r="D164" s="2" t="n"/>
      <c r="H164" s="2" t="n"/>
      <c r="J164">
        <f>IF(AND(D164&lt;&gt;"",H164&lt;&gt;""),ROUND((H164-D164)*24,1),"")</f>
        <v/>
      </c>
      <c r="K164">
        <f>IF(AND(I164="Lodged",F164&lt;&gt;"Complete"),"CHECK: lodged without complete check","")</f>
        <v/>
      </c>
    </row>
    <row r="165">
      <c r="A165" t="inlineStr">
        <is>
          <t>LDG0164</t>
        </is>
      </c>
      <c r="D165" s="2" t="n"/>
      <c r="H165" s="2" t="n"/>
      <c r="J165">
        <f>IF(AND(D165&lt;&gt;"",H165&lt;&gt;""),ROUND((H165-D165)*24,1),"")</f>
        <v/>
      </c>
      <c r="K165">
        <f>IF(AND(I165="Lodged",F165&lt;&gt;"Complete"),"CHECK: lodged without complete check","")</f>
        <v/>
      </c>
    </row>
    <row r="166">
      <c r="A166" t="inlineStr">
        <is>
          <t>LDG0165</t>
        </is>
      </c>
      <c r="D166" s="2" t="n"/>
      <c r="H166" s="2" t="n"/>
      <c r="J166">
        <f>IF(AND(D166&lt;&gt;"",H166&lt;&gt;""),ROUND((H166-D166)*24,1),"")</f>
        <v/>
      </c>
      <c r="K166">
        <f>IF(AND(I166="Lodged",F166&lt;&gt;"Complete"),"CHECK: lodged without complete check","")</f>
        <v/>
      </c>
    </row>
    <row r="167">
      <c r="A167" t="inlineStr">
        <is>
          <t>LDG0166</t>
        </is>
      </c>
      <c r="D167" s="2" t="n"/>
      <c r="H167" s="2" t="n"/>
      <c r="J167">
        <f>IF(AND(D167&lt;&gt;"",H167&lt;&gt;""),ROUND((H167-D167)*24,1),"")</f>
        <v/>
      </c>
      <c r="K167">
        <f>IF(AND(I167="Lodged",F167&lt;&gt;"Complete"),"CHECK: lodged without complete check","")</f>
        <v/>
      </c>
    </row>
    <row r="168">
      <c r="A168" t="inlineStr">
        <is>
          <t>LDG0167</t>
        </is>
      </c>
      <c r="D168" s="2" t="n"/>
      <c r="H168" s="2" t="n"/>
      <c r="J168">
        <f>IF(AND(D168&lt;&gt;"",H168&lt;&gt;""),ROUND((H168-D168)*24,1),"")</f>
        <v/>
      </c>
      <c r="K168">
        <f>IF(AND(I168="Lodged",F168&lt;&gt;"Complete"),"CHECK: lodged without complete check","")</f>
        <v/>
      </c>
    </row>
    <row r="169">
      <c r="A169" t="inlineStr">
        <is>
          <t>LDG0168</t>
        </is>
      </c>
      <c r="D169" s="2" t="n"/>
      <c r="H169" s="2" t="n"/>
      <c r="J169">
        <f>IF(AND(D169&lt;&gt;"",H169&lt;&gt;""),ROUND((H169-D169)*24,1),"")</f>
        <v/>
      </c>
      <c r="K169">
        <f>IF(AND(I169="Lodged",F169&lt;&gt;"Complete"),"CHECK: lodged without complete check","")</f>
        <v/>
      </c>
    </row>
    <row r="170">
      <c r="A170" t="inlineStr">
        <is>
          <t>LDG0169</t>
        </is>
      </c>
      <c r="D170" s="2" t="n"/>
      <c r="H170" s="2" t="n"/>
      <c r="J170">
        <f>IF(AND(D170&lt;&gt;"",H170&lt;&gt;""),ROUND((H170-D170)*24,1),"")</f>
        <v/>
      </c>
      <c r="K170">
        <f>IF(AND(I170="Lodged",F170&lt;&gt;"Complete"),"CHECK: lodged without complete check","")</f>
        <v/>
      </c>
    </row>
    <row r="171">
      <c r="A171" t="inlineStr">
        <is>
          <t>LDG0170</t>
        </is>
      </c>
      <c r="D171" s="2" t="n"/>
      <c r="H171" s="2" t="n"/>
      <c r="J171">
        <f>IF(AND(D171&lt;&gt;"",H171&lt;&gt;""),ROUND((H171-D171)*24,1),"")</f>
        <v/>
      </c>
      <c r="K171">
        <f>IF(AND(I171="Lodged",F171&lt;&gt;"Complete"),"CHECK: lodged without complete check","")</f>
        <v/>
      </c>
    </row>
    <row r="172">
      <c r="A172" t="inlineStr">
        <is>
          <t>LDG0171</t>
        </is>
      </c>
      <c r="D172" s="2" t="n"/>
      <c r="H172" s="2" t="n"/>
      <c r="J172">
        <f>IF(AND(D172&lt;&gt;"",H172&lt;&gt;""),ROUND((H172-D172)*24,1),"")</f>
        <v/>
      </c>
      <c r="K172">
        <f>IF(AND(I172="Lodged",F172&lt;&gt;"Complete"),"CHECK: lodged without complete check","")</f>
        <v/>
      </c>
    </row>
    <row r="173">
      <c r="A173" t="inlineStr">
        <is>
          <t>LDG0172</t>
        </is>
      </c>
      <c r="D173" s="2" t="n"/>
      <c r="H173" s="2" t="n"/>
      <c r="J173">
        <f>IF(AND(D173&lt;&gt;"",H173&lt;&gt;""),ROUND((H173-D173)*24,1),"")</f>
        <v/>
      </c>
      <c r="K173">
        <f>IF(AND(I173="Lodged",F173&lt;&gt;"Complete"),"CHECK: lodged without complete check","")</f>
        <v/>
      </c>
    </row>
    <row r="174">
      <c r="A174" t="inlineStr">
        <is>
          <t>LDG0173</t>
        </is>
      </c>
      <c r="D174" s="2" t="n"/>
      <c r="H174" s="2" t="n"/>
      <c r="J174">
        <f>IF(AND(D174&lt;&gt;"",H174&lt;&gt;""),ROUND((H174-D174)*24,1),"")</f>
        <v/>
      </c>
      <c r="K174">
        <f>IF(AND(I174="Lodged",F174&lt;&gt;"Complete"),"CHECK: lodged without complete check","")</f>
        <v/>
      </c>
    </row>
    <row r="175">
      <c r="A175" t="inlineStr">
        <is>
          <t>LDG0174</t>
        </is>
      </c>
      <c r="D175" s="2" t="n"/>
      <c r="H175" s="2" t="n"/>
      <c r="J175">
        <f>IF(AND(D175&lt;&gt;"",H175&lt;&gt;""),ROUND((H175-D175)*24,1),"")</f>
        <v/>
      </c>
      <c r="K175">
        <f>IF(AND(I175="Lodged",F175&lt;&gt;"Complete"),"CHECK: lodged without complete check","")</f>
        <v/>
      </c>
    </row>
    <row r="176">
      <c r="A176" t="inlineStr">
        <is>
          <t>LDG0175</t>
        </is>
      </c>
      <c r="D176" s="2" t="n"/>
      <c r="H176" s="2" t="n"/>
      <c r="J176">
        <f>IF(AND(D176&lt;&gt;"",H176&lt;&gt;""),ROUND((H176-D176)*24,1),"")</f>
        <v/>
      </c>
      <c r="K176">
        <f>IF(AND(I176="Lodged",F176&lt;&gt;"Complete"),"CHECK: lodged without complete check","")</f>
        <v/>
      </c>
    </row>
    <row r="177">
      <c r="A177" t="inlineStr">
        <is>
          <t>LDG0176</t>
        </is>
      </c>
      <c r="D177" s="2" t="n"/>
      <c r="H177" s="2" t="n"/>
      <c r="J177">
        <f>IF(AND(D177&lt;&gt;"",H177&lt;&gt;""),ROUND((H177-D177)*24,1),"")</f>
        <v/>
      </c>
      <c r="K177">
        <f>IF(AND(I177="Lodged",F177&lt;&gt;"Complete"),"CHECK: lodged without complete check","")</f>
        <v/>
      </c>
    </row>
    <row r="178">
      <c r="A178" t="inlineStr">
        <is>
          <t>LDG0177</t>
        </is>
      </c>
      <c r="D178" s="2" t="n"/>
      <c r="H178" s="2" t="n"/>
      <c r="J178">
        <f>IF(AND(D178&lt;&gt;"",H178&lt;&gt;""),ROUND((H178-D178)*24,1),"")</f>
        <v/>
      </c>
      <c r="K178">
        <f>IF(AND(I178="Lodged",F178&lt;&gt;"Complete"),"CHECK: lodged without complete check","")</f>
        <v/>
      </c>
    </row>
    <row r="179">
      <c r="A179" t="inlineStr">
        <is>
          <t>LDG0178</t>
        </is>
      </c>
      <c r="D179" s="2" t="n"/>
      <c r="H179" s="2" t="n"/>
      <c r="J179">
        <f>IF(AND(D179&lt;&gt;"",H179&lt;&gt;""),ROUND((H179-D179)*24,1),"")</f>
        <v/>
      </c>
      <c r="K179">
        <f>IF(AND(I179="Lodged",F179&lt;&gt;"Complete"),"CHECK: lodged without complete check","")</f>
        <v/>
      </c>
    </row>
    <row r="180">
      <c r="A180" t="inlineStr">
        <is>
          <t>LDG0179</t>
        </is>
      </c>
      <c r="D180" s="2" t="n"/>
      <c r="H180" s="2" t="n"/>
      <c r="J180">
        <f>IF(AND(D180&lt;&gt;"",H180&lt;&gt;""),ROUND((H180-D180)*24,1),"")</f>
        <v/>
      </c>
      <c r="K180">
        <f>IF(AND(I180="Lodged",F180&lt;&gt;"Complete"),"CHECK: lodged without complete check","")</f>
        <v/>
      </c>
    </row>
    <row r="181">
      <c r="A181" t="inlineStr">
        <is>
          <t>LDG0180</t>
        </is>
      </c>
      <c r="D181" s="2" t="n"/>
      <c r="H181" s="2" t="n"/>
      <c r="J181">
        <f>IF(AND(D181&lt;&gt;"",H181&lt;&gt;""),ROUND((H181-D181)*24,1),"")</f>
        <v/>
      </c>
      <c r="K181">
        <f>IF(AND(I181="Lodged",F181&lt;&gt;"Complete"),"CHECK: lodged without complete check","")</f>
        <v/>
      </c>
    </row>
    <row r="182">
      <c r="A182" t="inlineStr">
        <is>
          <t>LDG0181</t>
        </is>
      </c>
      <c r="D182" s="2" t="n"/>
      <c r="H182" s="2" t="n"/>
      <c r="J182">
        <f>IF(AND(D182&lt;&gt;"",H182&lt;&gt;""),ROUND((H182-D182)*24,1),"")</f>
        <v/>
      </c>
      <c r="K182">
        <f>IF(AND(I182="Lodged",F182&lt;&gt;"Complete"),"CHECK: lodged without complete check","")</f>
        <v/>
      </c>
    </row>
    <row r="183">
      <c r="A183" t="inlineStr">
        <is>
          <t>LDG0182</t>
        </is>
      </c>
      <c r="D183" s="2" t="n"/>
      <c r="H183" s="2" t="n"/>
      <c r="J183">
        <f>IF(AND(D183&lt;&gt;"",H183&lt;&gt;""),ROUND((H183-D183)*24,1),"")</f>
        <v/>
      </c>
      <c r="K183">
        <f>IF(AND(I183="Lodged",F183&lt;&gt;"Complete"),"CHECK: lodged without complete check","")</f>
        <v/>
      </c>
    </row>
    <row r="184">
      <c r="A184" t="inlineStr">
        <is>
          <t>LDG0183</t>
        </is>
      </c>
      <c r="D184" s="2" t="n"/>
      <c r="H184" s="2" t="n"/>
      <c r="J184">
        <f>IF(AND(D184&lt;&gt;"",H184&lt;&gt;""),ROUND((H184-D184)*24,1),"")</f>
        <v/>
      </c>
      <c r="K184">
        <f>IF(AND(I184="Lodged",F184&lt;&gt;"Complete"),"CHECK: lodged without complete check","")</f>
        <v/>
      </c>
    </row>
    <row r="185">
      <c r="A185" t="inlineStr">
        <is>
          <t>LDG0184</t>
        </is>
      </c>
      <c r="D185" s="2" t="n"/>
      <c r="H185" s="2" t="n"/>
      <c r="J185">
        <f>IF(AND(D185&lt;&gt;"",H185&lt;&gt;""),ROUND((H185-D185)*24,1),"")</f>
        <v/>
      </c>
      <c r="K185">
        <f>IF(AND(I185="Lodged",F185&lt;&gt;"Complete"),"CHECK: lodged without complete check","")</f>
        <v/>
      </c>
    </row>
    <row r="186">
      <c r="A186" t="inlineStr">
        <is>
          <t>LDG0185</t>
        </is>
      </c>
      <c r="D186" s="2" t="n"/>
      <c r="H186" s="2" t="n"/>
      <c r="J186">
        <f>IF(AND(D186&lt;&gt;"",H186&lt;&gt;""),ROUND((H186-D186)*24,1),"")</f>
        <v/>
      </c>
      <c r="K186">
        <f>IF(AND(I186="Lodged",F186&lt;&gt;"Complete"),"CHECK: lodged without complete check","")</f>
        <v/>
      </c>
    </row>
    <row r="187">
      <c r="A187" t="inlineStr">
        <is>
          <t>LDG0186</t>
        </is>
      </c>
      <c r="D187" s="2" t="n"/>
      <c r="H187" s="2" t="n"/>
      <c r="J187">
        <f>IF(AND(D187&lt;&gt;"",H187&lt;&gt;""),ROUND((H187-D187)*24,1),"")</f>
        <v/>
      </c>
      <c r="K187">
        <f>IF(AND(I187="Lodged",F187&lt;&gt;"Complete"),"CHECK: lodged without complete check","")</f>
        <v/>
      </c>
    </row>
    <row r="188">
      <c r="A188" t="inlineStr">
        <is>
          <t>LDG0187</t>
        </is>
      </c>
      <c r="D188" s="2" t="n"/>
      <c r="H188" s="2" t="n"/>
      <c r="J188">
        <f>IF(AND(D188&lt;&gt;"",H188&lt;&gt;""),ROUND((H188-D188)*24,1),"")</f>
        <v/>
      </c>
      <c r="K188">
        <f>IF(AND(I188="Lodged",F188&lt;&gt;"Complete"),"CHECK: lodged without complete check","")</f>
        <v/>
      </c>
    </row>
    <row r="189">
      <c r="A189" t="inlineStr">
        <is>
          <t>LDG0188</t>
        </is>
      </c>
      <c r="D189" s="2" t="n"/>
      <c r="H189" s="2" t="n"/>
      <c r="J189">
        <f>IF(AND(D189&lt;&gt;"",H189&lt;&gt;""),ROUND((H189-D189)*24,1),"")</f>
        <v/>
      </c>
      <c r="K189">
        <f>IF(AND(I189="Lodged",F189&lt;&gt;"Complete"),"CHECK: lodged without complete check","")</f>
        <v/>
      </c>
    </row>
    <row r="190">
      <c r="A190" t="inlineStr">
        <is>
          <t>LDG0189</t>
        </is>
      </c>
      <c r="D190" s="2" t="n"/>
      <c r="H190" s="2" t="n"/>
      <c r="J190">
        <f>IF(AND(D190&lt;&gt;"",H190&lt;&gt;""),ROUND((H190-D190)*24,1),"")</f>
        <v/>
      </c>
      <c r="K190">
        <f>IF(AND(I190="Lodged",F190&lt;&gt;"Complete"),"CHECK: lodged without complete check","")</f>
        <v/>
      </c>
    </row>
    <row r="191">
      <c r="A191" t="inlineStr">
        <is>
          <t>LDG0190</t>
        </is>
      </c>
      <c r="D191" s="2" t="n"/>
      <c r="H191" s="2" t="n"/>
      <c r="J191">
        <f>IF(AND(D191&lt;&gt;"",H191&lt;&gt;""),ROUND((H191-D191)*24,1),"")</f>
        <v/>
      </c>
      <c r="K191">
        <f>IF(AND(I191="Lodged",F191&lt;&gt;"Complete"),"CHECK: lodged without complete check","")</f>
        <v/>
      </c>
    </row>
    <row r="192">
      <c r="A192" t="inlineStr">
        <is>
          <t>LDG0191</t>
        </is>
      </c>
      <c r="D192" s="2" t="n"/>
      <c r="H192" s="2" t="n"/>
      <c r="J192">
        <f>IF(AND(D192&lt;&gt;"",H192&lt;&gt;""),ROUND((H192-D192)*24,1),"")</f>
        <v/>
      </c>
      <c r="K192">
        <f>IF(AND(I192="Lodged",F192&lt;&gt;"Complete"),"CHECK: lodged without complete check","")</f>
        <v/>
      </c>
    </row>
    <row r="193">
      <c r="A193" t="inlineStr">
        <is>
          <t>LDG0192</t>
        </is>
      </c>
      <c r="D193" s="2" t="n"/>
      <c r="H193" s="2" t="n"/>
      <c r="J193">
        <f>IF(AND(D193&lt;&gt;"",H193&lt;&gt;""),ROUND((H193-D193)*24,1),"")</f>
        <v/>
      </c>
      <c r="K193">
        <f>IF(AND(I193="Lodged",F193&lt;&gt;"Complete"),"CHECK: lodged without complete check","")</f>
        <v/>
      </c>
    </row>
    <row r="194">
      <c r="A194" t="inlineStr">
        <is>
          <t>LDG0193</t>
        </is>
      </c>
      <c r="D194" s="2" t="n"/>
      <c r="H194" s="2" t="n"/>
      <c r="J194">
        <f>IF(AND(D194&lt;&gt;"",H194&lt;&gt;""),ROUND((H194-D194)*24,1),"")</f>
        <v/>
      </c>
      <c r="K194">
        <f>IF(AND(I194="Lodged",F194&lt;&gt;"Complete"),"CHECK: lodged without complete check","")</f>
        <v/>
      </c>
    </row>
    <row r="195">
      <c r="A195" t="inlineStr">
        <is>
          <t>LDG0194</t>
        </is>
      </c>
      <c r="D195" s="2" t="n"/>
      <c r="H195" s="2" t="n"/>
      <c r="J195">
        <f>IF(AND(D195&lt;&gt;"",H195&lt;&gt;""),ROUND((H195-D195)*24,1),"")</f>
        <v/>
      </c>
      <c r="K195">
        <f>IF(AND(I195="Lodged",F195&lt;&gt;"Complete"),"CHECK: lodged without complete check","")</f>
        <v/>
      </c>
    </row>
    <row r="196">
      <c r="A196" t="inlineStr">
        <is>
          <t>LDG0195</t>
        </is>
      </c>
      <c r="D196" s="2" t="n"/>
      <c r="H196" s="2" t="n"/>
      <c r="J196">
        <f>IF(AND(D196&lt;&gt;"",H196&lt;&gt;""),ROUND((H196-D196)*24,1),"")</f>
        <v/>
      </c>
      <c r="K196">
        <f>IF(AND(I196="Lodged",F196&lt;&gt;"Complete"),"CHECK: lodged without complete check","")</f>
        <v/>
      </c>
    </row>
    <row r="197">
      <c r="A197" t="inlineStr">
        <is>
          <t>LDG0196</t>
        </is>
      </c>
      <c r="D197" s="2" t="n"/>
      <c r="H197" s="2" t="n"/>
      <c r="J197">
        <f>IF(AND(D197&lt;&gt;"",H197&lt;&gt;""),ROUND((H197-D197)*24,1),"")</f>
        <v/>
      </c>
      <c r="K197">
        <f>IF(AND(I197="Lodged",F197&lt;&gt;"Complete"),"CHECK: lodged without complete check","")</f>
        <v/>
      </c>
    </row>
    <row r="198">
      <c r="A198" t="inlineStr">
        <is>
          <t>LDG0197</t>
        </is>
      </c>
      <c r="D198" s="2" t="n"/>
      <c r="H198" s="2" t="n"/>
      <c r="J198">
        <f>IF(AND(D198&lt;&gt;"",H198&lt;&gt;""),ROUND((H198-D198)*24,1),"")</f>
        <v/>
      </c>
      <c r="K198">
        <f>IF(AND(I198="Lodged",F198&lt;&gt;"Complete"),"CHECK: lodged without complete check","")</f>
        <v/>
      </c>
    </row>
    <row r="199">
      <c r="A199" t="inlineStr">
        <is>
          <t>LDG0198</t>
        </is>
      </c>
      <c r="D199" s="2" t="n"/>
      <c r="H199" s="2" t="n"/>
      <c r="J199">
        <f>IF(AND(D199&lt;&gt;"",H199&lt;&gt;""),ROUND((H199-D199)*24,1),"")</f>
        <v/>
      </c>
      <c r="K199">
        <f>IF(AND(I199="Lodged",F199&lt;&gt;"Complete"),"CHECK: lodged without complete check","")</f>
        <v/>
      </c>
    </row>
    <row r="200">
      <c r="A200" t="inlineStr">
        <is>
          <t>LDG0199</t>
        </is>
      </c>
      <c r="D200" s="2" t="n"/>
      <c r="H200" s="2" t="n"/>
      <c r="J200">
        <f>IF(AND(D200&lt;&gt;"",H200&lt;&gt;""),ROUND((H200-D200)*24,1),"")</f>
        <v/>
      </c>
      <c r="K200">
        <f>IF(AND(I200="Lodged",F200&lt;&gt;"Complete"),"CHECK: lodged without complete check","")</f>
        <v/>
      </c>
    </row>
    <row r="201">
      <c r="A201" t="inlineStr">
        <is>
          <t>LDG0200</t>
        </is>
      </c>
      <c r="D201" s="2" t="n"/>
      <c r="H201" s="2" t="n"/>
      <c r="J201">
        <f>IF(AND(D201&lt;&gt;"",H201&lt;&gt;""),ROUND((H201-D201)*24,1),"")</f>
        <v/>
      </c>
      <c r="K201">
        <f>IF(AND(I201="Lodged",F201&lt;&gt;"Complete"),"CHECK: lodged without complete check","")</f>
        <v/>
      </c>
    </row>
  </sheetData>
  <conditionalFormatting sqref="K2:K201">
    <cfRule type="expression" priority="1" dxfId="0">
      <formula>LEFT(K2,5)="CHECK"</formula>
    </cfRule>
  </conditionalFormatting>
  <dataValidations count="5">
    <dataValidation sqref="C2:C201" showDropDown="0" showInputMessage="0" showErrorMessage="1" allowBlank="1" errorTitle="document_type" error="Pick a value from the list." type="list">
      <formula1>"Signatory list,Board resolution,ID document,Account opening form,Signature card,Address proof"</formula1>
    </dataValidation>
    <dataValidation sqref="E2:E201" showDropDown="0" showInputMessage="0" showErrorMessage="1" allowBlank="1" errorTitle="checker" error="Pick a value from the list." type="list">
      <formula1>"C1,C2,C3,C4"</formula1>
    </dataValidation>
    <dataValidation sqref="F2:F19 F21:F201" showDropDown="0" showInputMessage="0" showErrorMessage="1" allowBlank="1" errorTitle="check_result" error="Pick a value from the list." type="list">
      <formula1>"Complete,Incomplete,Rejected"</formula1>
    </dataValidation>
    <dataValidation sqref="G2:G19 G21:G201" showDropDown="0" showInputMessage="0" showErrorMessage="1" allowBlank="1" errorTitle="maker" error="Pick a value from the list." type="list">
      <formula1>"M1,M2,M3,M4,M5,M6,M7,M8"</formula1>
    </dataValidation>
    <dataValidation sqref="I2:I201" showDropDown="0" showInputMessage="0" showErrorMessage="1" allowBlank="1" errorTitle="status" error="Pick a value from the list." type="list">
      <formula1>"Pending,Lodged,Returned to client"</formula1>
    </dataValidation>
  </dataValidations>
  <pageMargins left="0.75" right="0.75" top="1" bottom="1" header="0.5" footer="0.5"/>
  <headerFooter>
    <oddHeader/>
    <oddFooter>&amp;CSimulated workflow on real GLEIF entity data. Not Citi data.</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O201"/>
  <sheetViews>
    <sheetView workbookViewId="0">
      <pane ySplit="1" topLeftCell="A2" activePane="bottomLeft" state="frozen"/>
      <selection pane="bottomLeft" activeCell="F9" sqref="F9"/>
    </sheetView>
  </sheetViews>
  <sheetFormatPr baseColWidth="8" defaultRowHeight="14.4"/>
  <cols>
    <col width="12" customWidth="1" min="1" max="2"/>
    <col width="22" customWidth="1" min="3" max="3"/>
    <col width="12" customWidth="1" min="4" max="4"/>
    <col width="9" customWidth="1" min="5" max="5"/>
    <col width="46" customWidth="1" min="6" max="6"/>
    <col width="14" customWidth="1" min="7" max="9"/>
    <col width="52" customWidth="1" min="10" max="10"/>
    <col width="12" customWidth="1" min="11" max="11"/>
    <col width="14" customWidth="1" min="12" max="12"/>
    <col width="34" customWidth="1" min="13" max="13"/>
    <col width="3" customWidth="1" min="14" max="14"/>
    <col width="52" customWidth="1" min="15" max="15"/>
  </cols>
  <sheetData>
    <row r="1">
      <c r="A1" s="3" t="inlineStr">
        <is>
          <t>archive_id</t>
        </is>
      </c>
      <c r="B1" s="3" t="inlineStr">
        <is>
          <t>request_id</t>
        </is>
      </c>
      <c r="C1" s="3" t="inlineStr">
        <is>
          <t>document_type</t>
        </is>
      </c>
      <c r="D1" s="3" t="inlineStr">
        <is>
          <t>doc_date</t>
        </is>
      </c>
      <c r="E1" s="3" t="inlineStr">
        <is>
          <t>version</t>
        </is>
      </c>
      <c r="F1" s="3" t="inlineStr">
        <is>
          <t>file_name</t>
        </is>
      </c>
      <c r="G1" s="3" t="inlineStr">
        <is>
          <t>docs_expected</t>
        </is>
      </c>
      <c r="H1" s="3" t="inlineStr">
        <is>
          <t>docs_present</t>
        </is>
      </c>
      <c r="I1" s="3" t="inlineStr">
        <is>
          <t>completeness</t>
        </is>
      </c>
      <c r="J1" s="3" t="inlineStr">
        <is>
          <t>retention_note</t>
        </is>
      </c>
      <c r="K1" s="3" t="inlineStr">
        <is>
          <t>archived_by</t>
        </is>
      </c>
      <c r="L1" s="3" t="inlineStr">
        <is>
          <t>archived_date</t>
        </is>
      </c>
      <c r="M1" s="3" t="inlineStr">
        <is>
          <t>flag</t>
        </is>
      </c>
      <c r="O1" s="3" t="inlineStr">
        <is>
          <t>File naming convention</t>
        </is>
      </c>
    </row>
    <row r="2">
      <c r="A2" t="inlineStr">
        <is>
          <t>ARC0001</t>
        </is>
      </c>
      <c r="B2" t="inlineStr">
        <is>
          <t>REQ00001</t>
        </is>
      </c>
      <c r="C2" t="inlineStr">
        <is>
          <t>Signatory list</t>
        </is>
      </c>
      <c r="D2" s="8" t="n">
        <v>46300</v>
      </c>
      <c r="E2" t="n">
        <v>1</v>
      </c>
      <c r="F2">
        <f>IF(OR(B2="",C2="",D2="",E2=""),"",B2&amp;"_"&amp;SUBSTITUTE(C2," ","-")&amp;"_"&amp;TEXT(D2,"yyyymmdd")&amp;"_v"&amp;E2)</f>
        <v/>
      </c>
      <c r="G2" t="n">
        <v>2</v>
      </c>
      <c r="H2" t="n">
        <v>2</v>
      </c>
      <c r="I2">
        <f>IF(OR(G2="",H2=""),"",IF(H2&gt;=G2,"Complete","Incomplete"))</f>
        <v/>
      </c>
      <c r="J2">
        <f>IF(B2="","","Retention period per bank policy; not defined in this simulation")</f>
        <v/>
      </c>
      <c r="K2" t="inlineStr">
        <is>
          <t>M1</t>
        </is>
      </c>
      <c r="L2" s="8" t="n">
        <v>46301</v>
      </c>
      <c r="M2">
        <f>IF(AND(K2&lt;&gt;"",I2&lt;&gt;"Complete"),"CHECK: archived while incomplete","")</f>
        <v/>
      </c>
      <c r="O2" t="inlineStr">
        <is>
          <t>request_id_document-type_YYYYMMDD_vN</t>
        </is>
      </c>
    </row>
    <row r="3">
      <c r="A3" t="inlineStr">
        <is>
          <t>ARC0002</t>
        </is>
      </c>
      <c r="B3" t="inlineStr">
        <is>
          <t>REQ00101</t>
        </is>
      </c>
      <c r="C3" t="inlineStr">
        <is>
          <t>Board resolution</t>
        </is>
      </c>
      <c r="D3" s="8" t="n">
        <v>46301</v>
      </c>
      <c r="E3" t="n">
        <v>1</v>
      </c>
      <c r="F3">
        <f>IF(OR(B3="",C3="",D3="",E3=""),"",B3&amp;"_"&amp;SUBSTITUTE(C3," ","-")&amp;"_"&amp;TEXT(D3,"yyyymmdd")&amp;"_v"&amp;E3)</f>
        <v/>
      </c>
      <c r="G3" t="n">
        <v>3</v>
      </c>
      <c r="H3" t="n">
        <v>3</v>
      </c>
      <c r="I3">
        <f>IF(OR(G3="",H3=""),"",IF(H3&gt;=G3,"Complete","Incomplete"))</f>
        <v/>
      </c>
      <c r="J3">
        <f>IF(B3="","","Retention period per bank policy; not defined in this simulation")</f>
        <v/>
      </c>
      <c r="K3" t="inlineStr">
        <is>
          <t>M2</t>
        </is>
      </c>
      <c r="L3" s="8" t="n">
        <v>46302</v>
      </c>
      <c r="M3">
        <f>IF(AND(K3&lt;&gt;"",I3&lt;&gt;"Complete"),"CHECK: archived while incomplete","")</f>
        <v/>
      </c>
      <c r="O3" t="inlineStr">
        <is>
          <t>Example: REQ01971_Signatory-list_20261030_v1</t>
        </is>
      </c>
    </row>
    <row r="4">
      <c r="A4" t="inlineStr">
        <is>
          <t>ARC0003</t>
        </is>
      </c>
      <c r="B4" t="inlineStr">
        <is>
          <t>REQ00201</t>
        </is>
      </c>
      <c r="C4" t="inlineStr">
        <is>
          <t>ID document</t>
        </is>
      </c>
      <c r="D4" s="8" t="n">
        <v>46302</v>
      </c>
      <c r="E4" t="n">
        <v>1</v>
      </c>
      <c r="F4">
        <f>IF(OR(B4="",C4="",D4="",E4=""),"",B4&amp;"_"&amp;SUBSTITUTE(C4," ","-")&amp;"_"&amp;TEXT(D4,"yyyymmdd")&amp;"_v"&amp;E4)</f>
        <v/>
      </c>
      <c r="G4" t="n">
        <v>2</v>
      </c>
      <c r="H4" t="n">
        <v>2</v>
      </c>
      <c r="I4">
        <f>IF(OR(G4="",H4=""),"",IF(H4&gt;=G4,"Complete","Incomplete"))</f>
        <v/>
      </c>
      <c r="J4">
        <f>IF(B4="","","Retention period per bank policy; not defined in this simulation")</f>
        <v/>
      </c>
      <c r="K4" t="inlineStr">
        <is>
          <t>M3</t>
        </is>
      </c>
      <c r="L4" s="8" t="n">
        <v>46303</v>
      </c>
      <c r="M4">
        <f>IF(AND(K4&lt;&gt;"",I4&lt;&gt;"Complete"),"CHECK: archived while incomplete","")</f>
        <v/>
      </c>
      <c r="O4" t="inlineStr">
        <is>
          <t>Archive only when completeness = Complete.</t>
        </is>
      </c>
    </row>
    <row r="5">
      <c r="A5" t="inlineStr">
        <is>
          <t>ARC0004</t>
        </is>
      </c>
      <c r="B5" t="inlineStr">
        <is>
          <t>REQ00301</t>
        </is>
      </c>
      <c r="C5" t="inlineStr">
        <is>
          <t>Account opening form</t>
        </is>
      </c>
      <c r="D5" s="8" t="n">
        <v>46303</v>
      </c>
      <c r="E5" t="n">
        <v>1</v>
      </c>
      <c r="F5">
        <f>IF(OR(B5="",C5="",D5="",E5=""),"",B5&amp;"_"&amp;SUBSTITUTE(C5," ","-")&amp;"_"&amp;TEXT(D5,"yyyymmdd")&amp;"_v"&amp;E5)</f>
        <v/>
      </c>
      <c r="G5" t="n">
        <v>3</v>
      </c>
      <c r="H5" t="n">
        <v>3</v>
      </c>
      <c r="I5">
        <f>IF(OR(G5="",H5=""),"",IF(H5&gt;=G5,"Complete","Incomplete"))</f>
        <v/>
      </c>
      <c r="J5">
        <f>IF(B5="","","Retention period per bank policy; not defined in this simulation")</f>
        <v/>
      </c>
      <c r="K5" t="inlineStr">
        <is>
          <t>M4</t>
        </is>
      </c>
      <c r="L5" s="8" t="n">
        <v>46304</v>
      </c>
      <c r="M5">
        <f>IF(AND(K5&lt;&gt;"",I5&lt;&gt;"Complete"),"CHECK: archived while incomplete","")</f>
        <v/>
      </c>
      <c r="O5" t="inlineStr">
        <is>
          <t>Retention period: set by bank policy, not defined here.</t>
        </is>
      </c>
    </row>
    <row r="6">
      <c r="A6" t="inlineStr">
        <is>
          <t>ARC0005</t>
        </is>
      </c>
      <c r="B6" t="inlineStr">
        <is>
          <t>REQ00401</t>
        </is>
      </c>
      <c r="C6" t="inlineStr">
        <is>
          <t>Signature card</t>
        </is>
      </c>
      <c r="D6" s="8" t="n">
        <v>46304</v>
      </c>
      <c r="E6" t="n">
        <v>1</v>
      </c>
      <c r="F6">
        <f>IF(OR(B6="",C6="",D6="",E6=""),"",B6&amp;"_"&amp;SUBSTITUTE(C6," ","-")&amp;"_"&amp;TEXT(D6,"yyyymmdd")&amp;"_v"&amp;E6)</f>
        <v/>
      </c>
      <c r="G6" t="n">
        <v>2</v>
      </c>
      <c r="H6" t="n">
        <v>2</v>
      </c>
      <c r="I6">
        <f>IF(OR(G6="",H6=""),"",IF(H6&gt;=G6,"Complete","Incomplete"))</f>
        <v/>
      </c>
      <c r="J6">
        <f>IF(B6="","","Retention period per bank policy; not defined in this simulation")</f>
        <v/>
      </c>
      <c r="K6" t="inlineStr">
        <is>
          <t>M5</t>
        </is>
      </c>
      <c r="L6" s="8" t="n">
        <v>46305</v>
      </c>
      <c r="M6">
        <f>IF(AND(K6&lt;&gt;"",I6&lt;&gt;"Complete"),"CHECK: archived while incomplete","")</f>
        <v/>
      </c>
      <c r="O6" t="inlineStr">
        <is>
          <t>Simulated manifest. Not Citi data.</t>
        </is>
      </c>
    </row>
    <row r="7">
      <c r="A7" t="inlineStr">
        <is>
          <t>ARC0006</t>
        </is>
      </c>
      <c r="B7" t="inlineStr">
        <is>
          <t>REQ00501</t>
        </is>
      </c>
      <c r="C7" t="inlineStr">
        <is>
          <t>Address proof</t>
        </is>
      </c>
      <c r="D7" s="8" t="n">
        <v>46307</v>
      </c>
      <c r="E7" t="n">
        <v>2</v>
      </c>
      <c r="F7">
        <f>IF(OR(B7="",C7="",D7="",E7=""),"",B7&amp;"_"&amp;SUBSTITUTE(C7," ","-")&amp;"_"&amp;TEXT(D7,"yyyymmdd")&amp;"_v"&amp;E7)</f>
        <v/>
      </c>
      <c r="G7" t="n">
        <v>3</v>
      </c>
      <c r="H7" t="n">
        <v>3</v>
      </c>
      <c r="I7">
        <f>IF(OR(G7="",H7=""),"",IF(H7&gt;=G7,"Complete","Incomplete"))</f>
        <v/>
      </c>
      <c r="J7">
        <f>IF(B7="","","Retention period per bank policy; not defined in this simulation")</f>
        <v/>
      </c>
      <c r="K7" t="inlineStr">
        <is>
          <t>M6</t>
        </is>
      </c>
      <c r="L7" s="8" t="n">
        <v>46308</v>
      </c>
      <c r="M7">
        <f>IF(AND(K7&lt;&gt;"",I7&lt;&gt;"Complete"),"CHECK: archived while incomplete","")</f>
        <v/>
      </c>
    </row>
    <row r="8">
      <c r="A8" t="inlineStr">
        <is>
          <t>ARC0007</t>
        </is>
      </c>
      <c r="B8" t="inlineStr">
        <is>
          <t>REQ00601</t>
        </is>
      </c>
      <c r="C8" t="inlineStr">
        <is>
          <t>Signatory list</t>
        </is>
      </c>
      <c r="D8" s="8" t="n">
        <v>46308</v>
      </c>
      <c r="E8" t="n">
        <v>1</v>
      </c>
      <c r="F8">
        <f>IF(OR(B8="",C8="",D8="",E8=""),"",B8&amp;"_"&amp;SUBSTITUTE(C8," ","-")&amp;"_"&amp;TEXT(D8,"yyyymmdd")&amp;"_v"&amp;E8)</f>
        <v/>
      </c>
      <c r="G8" t="n">
        <v>2</v>
      </c>
      <c r="H8" t="n">
        <v>2</v>
      </c>
      <c r="I8">
        <f>IF(OR(G8="",H8=""),"",IF(H8&gt;=G8,"Complete","Incomplete"))</f>
        <v/>
      </c>
      <c r="J8">
        <f>IF(B8="","","Retention period per bank policy; not defined in this simulation")</f>
        <v/>
      </c>
      <c r="K8" t="inlineStr">
        <is>
          <t>M7</t>
        </is>
      </c>
      <c r="L8" s="8" t="n">
        <v>46309</v>
      </c>
      <c r="M8">
        <f>IF(AND(K8&lt;&gt;"",I8&lt;&gt;"Complete"),"CHECK: archived while incomplete","")</f>
        <v/>
      </c>
    </row>
    <row r="9">
      <c r="A9" t="inlineStr">
        <is>
          <t>ARC0008</t>
        </is>
      </c>
      <c r="B9" t="inlineStr">
        <is>
          <t>REQ00701</t>
        </is>
      </c>
      <c r="C9" t="inlineStr">
        <is>
          <t>Board resolution</t>
        </is>
      </c>
      <c r="D9" s="8" t="n">
        <v>46309</v>
      </c>
      <c r="E9" t="n">
        <v>1</v>
      </c>
      <c r="F9">
        <f>IF(OR(B9="",C9="",D9="",E9=""),"",B9&amp;"_"&amp;SUBSTITUTE(C9," ","-")&amp;"_"&amp;TEXT(D9,"yyyymmdd")&amp;"_v"&amp;E9)</f>
        <v/>
      </c>
      <c r="G9" t="n">
        <v>3</v>
      </c>
      <c r="H9" t="n">
        <v>3</v>
      </c>
      <c r="I9">
        <f>IF(OR(G9="",H9=""),"",IF(H9&gt;=G9,"Complete","Incomplete"))</f>
        <v/>
      </c>
      <c r="J9">
        <f>IF(B9="","","Retention period per bank policy; not defined in this simulation")</f>
        <v/>
      </c>
      <c r="K9" t="inlineStr">
        <is>
          <t>M8</t>
        </is>
      </c>
      <c r="L9" s="8" t="n">
        <v>46310</v>
      </c>
      <c r="M9">
        <f>IF(AND(K9&lt;&gt;"",I9&lt;&gt;"Complete"),"CHECK: archived while incomplete","")</f>
        <v/>
      </c>
    </row>
    <row r="10">
      <c r="A10" t="inlineStr">
        <is>
          <t>ARC0009</t>
        </is>
      </c>
      <c r="B10" t="inlineStr">
        <is>
          <t>REQ00801</t>
        </is>
      </c>
      <c r="C10" t="inlineStr">
        <is>
          <t>ID document</t>
        </is>
      </c>
      <c r="D10" s="8" t="n">
        <v>46310</v>
      </c>
      <c r="E10" t="n">
        <v>1</v>
      </c>
      <c r="F10">
        <f>IF(OR(B10="",C10="",D10="",E10=""),"",B10&amp;"_"&amp;SUBSTITUTE(C10," ","-")&amp;"_"&amp;TEXT(D10,"yyyymmdd")&amp;"_v"&amp;E10)</f>
        <v/>
      </c>
      <c r="G10" t="n">
        <v>2</v>
      </c>
      <c r="H10" t="n">
        <v>2</v>
      </c>
      <c r="I10">
        <f>IF(OR(G10="",H10=""),"",IF(H10&gt;=G10,"Complete","Incomplete"))</f>
        <v/>
      </c>
      <c r="J10">
        <f>IF(B10="","","Retention period per bank policy; not defined in this simulation")</f>
        <v/>
      </c>
      <c r="K10" t="inlineStr">
        <is>
          <t>M1</t>
        </is>
      </c>
      <c r="L10" s="8" t="n">
        <v>46311</v>
      </c>
      <c r="M10">
        <f>IF(AND(K10&lt;&gt;"",I10&lt;&gt;"Complete"),"CHECK: archived while incomplete","")</f>
        <v/>
      </c>
    </row>
    <row r="11">
      <c r="A11" t="inlineStr">
        <is>
          <t>ARC0010</t>
        </is>
      </c>
      <c r="B11" t="inlineStr">
        <is>
          <t>REQ00901</t>
        </is>
      </c>
      <c r="C11" t="inlineStr">
        <is>
          <t>Account opening form</t>
        </is>
      </c>
      <c r="D11" s="8" t="n">
        <v>46311</v>
      </c>
      <c r="E11" t="n">
        <v>1</v>
      </c>
      <c r="F11">
        <f>IF(OR(B11="",C11="",D11="",E11=""),"",B11&amp;"_"&amp;SUBSTITUTE(C11," ","-")&amp;"_"&amp;TEXT(D11,"yyyymmdd")&amp;"_v"&amp;E11)</f>
        <v/>
      </c>
      <c r="G11" t="n">
        <v>3</v>
      </c>
      <c r="H11" t="n">
        <v>3</v>
      </c>
      <c r="I11">
        <f>IF(OR(G11="",H11=""),"",IF(H11&gt;=G11,"Complete","Incomplete"))</f>
        <v/>
      </c>
      <c r="J11">
        <f>IF(B11="","","Retention period per bank policy; not defined in this simulation")</f>
        <v/>
      </c>
      <c r="K11" t="inlineStr">
        <is>
          <t>M2</t>
        </is>
      </c>
      <c r="L11" s="8" t="n">
        <v>46312</v>
      </c>
      <c r="M11">
        <f>IF(AND(K11&lt;&gt;"",I11&lt;&gt;"Complete"),"CHECK: archived while incomplete","")</f>
        <v/>
      </c>
    </row>
    <row r="12">
      <c r="A12" t="inlineStr">
        <is>
          <t>ARC0011</t>
        </is>
      </c>
      <c r="B12" t="inlineStr">
        <is>
          <t>REQ01001</t>
        </is>
      </c>
      <c r="C12" t="inlineStr">
        <is>
          <t>Signature card</t>
        </is>
      </c>
      <c r="D12" s="8" t="n">
        <v>46314</v>
      </c>
      <c r="E12" t="n">
        <v>1</v>
      </c>
      <c r="F12">
        <f>IF(OR(B12="",C12="",D12="",E12=""),"",B12&amp;"_"&amp;SUBSTITUTE(C12," ","-")&amp;"_"&amp;TEXT(D12,"yyyymmdd")&amp;"_v"&amp;E12)</f>
        <v/>
      </c>
      <c r="G12" t="n">
        <v>2</v>
      </c>
      <c r="H12" t="n">
        <v>2</v>
      </c>
      <c r="I12">
        <f>IF(OR(G12="",H12=""),"",IF(H12&gt;=G12,"Complete","Incomplete"))</f>
        <v/>
      </c>
      <c r="J12">
        <f>IF(B12="","","Retention period per bank policy; not defined in this simulation")</f>
        <v/>
      </c>
      <c r="K12" t="inlineStr">
        <is>
          <t>M3</t>
        </is>
      </c>
      <c r="L12" s="8" t="n">
        <v>46315</v>
      </c>
      <c r="M12">
        <f>IF(AND(K12&lt;&gt;"",I12&lt;&gt;"Complete"),"CHECK: archived while incomplete","")</f>
        <v/>
      </c>
    </row>
    <row r="13">
      <c r="A13" t="inlineStr">
        <is>
          <t>ARC0012</t>
        </is>
      </c>
      <c r="B13" t="inlineStr">
        <is>
          <t>REQ01101</t>
        </is>
      </c>
      <c r="C13" t="inlineStr">
        <is>
          <t>Address proof</t>
        </is>
      </c>
      <c r="D13" s="8" t="n">
        <v>46315</v>
      </c>
      <c r="E13" t="n">
        <v>1</v>
      </c>
      <c r="F13">
        <f>IF(OR(B13="",C13="",D13="",E13=""),"",B13&amp;"_"&amp;SUBSTITUTE(C13," ","-")&amp;"_"&amp;TEXT(D13,"yyyymmdd")&amp;"_v"&amp;E13)</f>
        <v/>
      </c>
      <c r="G13" t="n">
        <v>3</v>
      </c>
      <c r="H13" t="n">
        <v>3</v>
      </c>
      <c r="I13">
        <f>IF(OR(G13="",H13=""),"",IF(H13&gt;=G13,"Complete","Incomplete"))</f>
        <v/>
      </c>
      <c r="J13">
        <f>IF(B13="","","Retention period per bank policy; not defined in this simulation")</f>
        <v/>
      </c>
      <c r="K13" t="inlineStr">
        <is>
          <t>M4</t>
        </is>
      </c>
      <c r="L13" s="8" t="n">
        <v>46316</v>
      </c>
      <c r="M13">
        <f>IF(AND(K13&lt;&gt;"",I13&lt;&gt;"Complete"),"CHECK: archived while incomplete","")</f>
        <v/>
      </c>
    </row>
    <row r="14">
      <c r="A14" t="inlineStr">
        <is>
          <t>ARC0013</t>
        </is>
      </c>
      <c r="B14" t="inlineStr">
        <is>
          <t>REQ01601</t>
        </is>
      </c>
      <c r="C14" t="inlineStr">
        <is>
          <t>Signature card</t>
        </is>
      </c>
      <c r="D14" s="8" t="n">
        <v>46322</v>
      </c>
      <c r="E14" t="n">
        <v>1</v>
      </c>
      <c r="F14">
        <f>IF(OR(B14="",C14="",D14="",E14=""),"",B14&amp;"_"&amp;SUBSTITUTE(C14," ","-")&amp;"_"&amp;TEXT(D14,"yyyymmdd")&amp;"_v"&amp;E14)</f>
        <v/>
      </c>
      <c r="G14" t="n">
        <v>2</v>
      </c>
      <c r="H14" t="n">
        <v>1</v>
      </c>
      <c r="I14">
        <f>IF(OR(G14="",H14=""),"",IF(H14&gt;=G14,"Complete","Incomplete"))</f>
        <v/>
      </c>
      <c r="J14">
        <f>IF(B14="","","Retention period per bank policy; not defined in this simulation")</f>
        <v/>
      </c>
      <c r="L14" s="8" t="n"/>
      <c r="M14">
        <f>IF(AND(K14&lt;&gt;"",I14&lt;&gt;"Complete"),"CHECK: archived while incomplete","")</f>
        <v/>
      </c>
    </row>
    <row r="15">
      <c r="A15" t="inlineStr">
        <is>
          <t>ARC0014</t>
        </is>
      </c>
      <c r="B15" t="inlineStr">
        <is>
          <t>REQ01701</t>
        </is>
      </c>
      <c r="C15" t="inlineStr">
        <is>
          <t>Address proof</t>
        </is>
      </c>
      <c r="D15" s="8" t="n">
        <v>46323</v>
      </c>
      <c r="E15" t="n">
        <v>1</v>
      </c>
      <c r="F15">
        <f>IF(OR(B15="",C15="",D15="",E15=""),"",B15&amp;"_"&amp;SUBSTITUTE(C15," ","-")&amp;"_"&amp;TEXT(D15,"yyyymmdd")&amp;"_v"&amp;E15)</f>
        <v/>
      </c>
      <c r="G15" t="n">
        <v>3</v>
      </c>
      <c r="H15" t="n">
        <v>2</v>
      </c>
      <c r="I15">
        <f>IF(OR(G15="",H15=""),"",IF(H15&gt;=G15,"Complete","Incomplete"))</f>
        <v/>
      </c>
      <c r="J15">
        <f>IF(B15="","","Retention period per bank policy; not defined in this simulation")</f>
        <v/>
      </c>
      <c r="K15" t="inlineStr">
        <is>
          <t>M2</t>
        </is>
      </c>
      <c r="L15" s="8" t="n">
        <v>46324</v>
      </c>
      <c r="M15">
        <f>IF(AND(K15&lt;&gt;"",I15&lt;&gt;"Complete"),"CHECK: archived while incomplete","")</f>
        <v/>
      </c>
    </row>
    <row r="16">
      <c r="A16" t="inlineStr">
        <is>
          <t>ARC0015</t>
        </is>
      </c>
      <c r="D16" s="8" t="n"/>
      <c r="F16">
        <f>IF(OR(B16="",C16="",D16="",E16=""),"",B16&amp;"_"&amp;SUBSTITUTE(C16," ","-")&amp;"_"&amp;TEXT(D16,"yyyymmdd")&amp;"_v"&amp;E16)</f>
        <v/>
      </c>
      <c r="I16">
        <f>IF(OR(G16="",H16=""),"",IF(H16&gt;=G16,"Complete","Incomplete"))</f>
        <v/>
      </c>
      <c r="J16">
        <f>IF(B16="","","Retention period per bank policy; not defined in this simulation")</f>
        <v/>
      </c>
      <c r="L16" s="8" t="n"/>
      <c r="M16">
        <f>IF(AND(K16&lt;&gt;"",I16&lt;&gt;"Complete"),"CHECK: archived while incomplete","")</f>
        <v/>
      </c>
    </row>
    <row r="17">
      <c r="A17" t="inlineStr">
        <is>
          <t>ARC0016</t>
        </is>
      </c>
      <c r="D17" s="8" t="n"/>
      <c r="F17">
        <f>IF(OR(B17="",C17="",D17="",E17=""),"",B17&amp;"_"&amp;SUBSTITUTE(C17," ","-")&amp;"_"&amp;TEXT(D17,"yyyymmdd")&amp;"_v"&amp;E17)</f>
        <v/>
      </c>
      <c r="I17">
        <f>IF(OR(G17="",H17=""),"",IF(H17&gt;=G17,"Complete","Incomplete"))</f>
        <v/>
      </c>
      <c r="J17">
        <f>IF(B17="","","Retention period per bank policy; not defined in this simulation")</f>
        <v/>
      </c>
      <c r="L17" s="8" t="n"/>
      <c r="M17">
        <f>IF(AND(K17&lt;&gt;"",I17&lt;&gt;"Complete"),"CHECK: archived while incomplete","")</f>
        <v/>
      </c>
    </row>
    <row r="18">
      <c r="A18" t="inlineStr">
        <is>
          <t>ARC0017</t>
        </is>
      </c>
      <c r="D18" s="8" t="n"/>
      <c r="F18">
        <f>IF(OR(B18="",C18="",D18="",E18=""),"",B18&amp;"_"&amp;SUBSTITUTE(C18," ","-")&amp;"_"&amp;TEXT(D18,"yyyymmdd")&amp;"_v"&amp;E18)</f>
        <v/>
      </c>
      <c r="I18">
        <f>IF(OR(G18="",H18=""),"",IF(H18&gt;=G18,"Complete","Incomplete"))</f>
        <v/>
      </c>
      <c r="J18">
        <f>IF(B18="","","Retention period per bank policy; not defined in this simulation")</f>
        <v/>
      </c>
      <c r="L18" s="8" t="n"/>
      <c r="M18">
        <f>IF(AND(K18&lt;&gt;"",I18&lt;&gt;"Complete"),"CHECK: archived while incomplete","")</f>
        <v/>
      </c>
    </row>
    <row r="19">
      <c r="A19" t="inlineStr">
        <is>
          <t>ARC0018</t>
        </is>
      </c>
      <c r="D19" s="8" t="n"/>
      <c r="F19">
        <f>IF(OR(B19="",C19="",D19="",E19=""),"",B19&amp;"_"&amp;SUBSTITUTE(C19," ","-")&amp;"_"&amp;TEXT(D19,"yyyymmdd")&amp;"_v"&amp;E19)</f>
        <v/>
      </c>
      <c r="I19">
        <f>IF(OR(G19="",H19=""),"",IF(H19&gt;=G19,"Complete","Incomplete"))</f>
        <v/>
      </c>
      <c r="J19">
        <f>IF(B19="","","Retention period per bank policy; not defined in this simulation")</f>
        <v/>
      </c>
      <c r="L19" s="8" t="n"/>
      <c r="M19">
        <f>IF(AND(K19&lt;&gt;"",I19&lt;&gt;"Complete"),"CHECK: archived while incomplete","")</f>
        <v/>
      </c>
    </row>
    <row r="20">
      <c r="A20" t="inlineStr">
        <is>
          <t>ARC0019</t>
        </is>
      </c>
      <c r="D20" s="8" t="n"/>
      <c r="F20">
        <f>IF(OR(B20="",C20="",D20="",E20=""),"",B20&amp;"_"&amp;SUBSTITUTE(C20," ","-")&amp;"_"&amp;TEXT(D20,"yyyymmdd")&amp;"_v"&amp;E20)</f>
        <v/>
      </c>
      <c r="I20">
        <f>IF(OR(G20="",H20=""),"",IF(H20&gt;=G20,"Complete","Incomplete"))</f>
        <v/>
      </c>
      <c r="J20">
        <f>IF(B20="","","Retention period per bank policy; not defined in this simulation")</f>
        <v/>
      </c>
      <c r="L20" s="8" t="n"/>
      <c r="M20">
        <f>IF(AND(K20&lt;&gt;"",I20&lt;&gt;"Complete"),"CHECK: archived while incomplete","")</f>
        <v/>
      </c>
    </row>
    <row r="21">
      <c r="A21" t="inlineStr">
        <is>
          <t>ARC0020</t>
        </is>
      </c>
      <c r="D21" s="8" t="n"/>
      <c r="F21">
        <f>IF(OR(B21="",C21="",D21="",E21=""),"",B21&amp;"_"&amp;SUBSTITUTE(C21," ","-")&amp;"_"&amp;TEXT(D21,"yyyymmdd")&amp;"_v"&amp;E21)</f>
        <v/>
      </c>
      <c r="I21">
        <f>IF(OR(G21="",H21=""),"",IF(H21&gt;=G21,"Complete","Incomplete"))</f>
        <v/>
      </c>
      <c r="J21">
        <f>IF(B21="","","Retention period per bank policy; not defined in this simulation")</f>
        <v/>
      </c>
      <c r="L21" s="8" t="n"/>
      <c r="M21">
        <f>IF(AND(K21&lt;&gt;"",I21&lt;&gt;"Complete"),"CHECK: archived while incomplete","")</f>
        <v/>
      </c>
    </row>
    <row r="22">
      <c r="A22" t="inlineStr">
        <is>
          <t>ARC0021</t>
        </is>
      </c>
      <c r="D22" s="8" t="n"/>
      <c r="F22">
        <f>IF(OR(B22="",C22="",D22="",E22=""),"",B22&amp;"_"&amp;SUBSTITUTE(C22," ","-")&amp;"_"&amp;TEXT(D22,"yyyymmdd")&amp;"_v"&amp;E22)</f>
        <v/>
      </c>
      <c r="I22">
        <f>IF(OR(G22="",H22=""),"",IF(H22&gt;=G22,"Complete","Incomplete"))</f>
        <v/>
      </c>
      <c r="J22">
        <f>IF(B22="","","Retention period per bank policy; not defined in this simulation")</f>
        <v/>
      </c>
      <c r="L22" s="8" t="n"/>
      <c r="M22">
        <f>IF(AND(K22&lt;&gt;"",I22&lt;&gt;"Complete"),"CHECK: archived while incomplete","")</f>
        <v/>
      </c>
    </row>
    <row r="23">
      <c r="A23" t="inlineStr">
        <is>
          <t>ARC0022</t>
        </is>
      </c>
      <c r="D23" s="8" t="n"/>
      <c r="F23">
        <f>IF(OR(B23="",C23="",D23="",E23=""),"",B23&amp;"_"&amp;SUBSTITUTE(C23," ","-")&amp;"_"&amp;TEXT(D23,"yyyymmdd")&amp;"_v"&amp;E23)</f>
        <v/>
      </c>
      <c r="I23">
        <f>IF(OR(G23="",H23=""),"",IF(H23&gt;=G23,"Complete","Incomplete"))</f>
        <v/>
      </c>
      <c r="J23">
        <f>IF(B23="","","Retention period per bank policy; not defined in this simulation")</f>
        <v/>
      </c>
      <c r="L23" s="8" t="n"/>
      <c r="M23">
        <f>IF(AND(K23&lt;&gt;"",I23&lt;&gt;"Complete"),"CHECK: archived while incomplete","")</f>
        <v/>
      </c>
    </row>
    <row r="24">
      <c r="A24" t="inlineStr">
        <is>
          <t>ARC0023</t>
        </is>
      </c>
      <c r="D24" s="8" t="n"/>
      <c r="F24">
        <f>IF(OR(B24="",C24="",D24="",E24=""),"",B24&amp;"_"&amp;SUBSTITUTE(C24," ","-")&amp;"_"&amp;TEXT(D24,"yyyymmdd")&amp;"_v"&amp;E24)</f>
        <v/>
      </c>
      <c r="I24">
        <f>IF(OR(G24="",H24=""),"",IF(H24&gt;=G24,"Complete","Incomplete"))</f>
        <v/>
      </c>
      <c r="J24">
        <f>IF(B24="","","Retention period per bank policy; not defined in this simulation")</f>
        <v/>
      </c>
      <c r="L24" s="8" t="n"/>
      <c r="M24">
        <f>IF(AND(K24&lt;&gt;"",I24&lt;&gt;"Complete"),"CHECK: archived while incomplete","")</f>
        <v/>
      </c>
    </row>
    <row r="25">
      <c r="A25" t="inlineStr">
        <is>
          <t>ARC0024</t>
        </is>
      </c>
      <c r="D25" s="8" t="n"/>
      <c r="F25">
        <f>IF(OR(B25="",C25="",D25="",E25=""),"",B25&amp;"_"&amp;SUBSTITUTE(C25," ","-")&amp;"_"&amp;TEXT(D25,"yyyymmdd")&amp;"_v"&amp;E25)</f>
        <v/>
      </c>
      <c r="I25">
        <f>IF(OR(G25="",H25=""),"",IF(H25&gt;=G25,"Complete","Incomplete"))</f>
        <v/>
      </c>
      <c r="J25">
        <f>IF(B25="","","Retention period per bank policy; not defined in this simulation")</f>
        <v/>
      </c>
      <c r="L25" s="8" t="n"/>
      <c r="M25">
        <f>IF(AND(K25&lt;&gt;"",I25&lt;&gt;"Complete"),"CHECK: archived while incomplete","")</f>
        <v/>
      </c>
    </row>
    <row r="26">
      <c r="A26" t="inlineStr">
        <is>
          <t>ARC0025</t>
        </is>
      </c>
      <c r="D26" s="8" t="n"/>
      <c r="F26">
        <f>IF(OR(B26="",C26="",D26="",E26=""),"",B26&amp;"_"&amp;SUBSTITUTE(C26," ","-")&amp;"_"&amp;TEXT(D26,"yyyymmdd")&amp;"_v"&amp;E26)</f>
        <v/>
      </c>
      <c r="I26">
        <f>IF(OR(G26="",H26=""),"",IF(H26&gt;=G26,"Complete","Incomplete"))</f>
        <v/>
      </c>
      <c r="J26">
        <f>IF(B26="","","Retention period per bank policy; not defined in this simulation")</f>
        <v/>
      </c>
      <c r="L26" s="8" t="n"/>
      <c r="M26">
        <f>IF(AND(K26&lt;&gt;"",I26&lt;&gt;"Complete"),"CHECK: archived while incomplete","")</f>
        <v/>
      </c>
    </row>
    <row r="27">
      <c r="A27" t="inlineStr">
        <is>
          <t>ARC0026</t>
        </is>
      </c>
      <c r="D27" s="8" t="n"/>
      <c r="F27">
        <f>IF(OR(B27="",C27="",D27="",E27=""),"",B27&amp;"_"&amp;SUBSTITUTE(C27," ","-")&amp;"_"&amp;TEXT(D27,"yyyymmdd")&amp;"_v"&amp;E27)</f>
        <v/>
      </c>
      <c r="I27">
        <f>IF(OR(G27="",H27=""),"",IF(H27&gt;=G27,"Complete","Incomplete"))</f>
        <v/>
      </c>
      <c r="J27">
        <f>IF(B27="","","Retention period per bank policy; not defined in this simulation")</f>
        <v/>
      </c>
      <c r="L27" s="8" t="n"/>
      <c r="M27">
        <f>IF(AND(K27&lt;&gt;"",I27&lt;&gt;"Complete"),"CHECK: archived while incomplete","")</f>
        <v/>
      </c>
    </row>
    <row r="28">
      <c r="A28" t="inlineStr">
        <is>
          <t>ARC0027</t>
        </is>
      </c>
      <c r="D28" s="8" t="n"/>
      <c r="F28">
        <f>IF(OR(B28="",C28="",D28="",E28=""),"",B28&amp;"_"&amp;SUBSTITUTE(C28," ","-")&amp;"_"&amp;TEXT(D28,"yyyymmdd")&amp;"_v"&amp;E28)</f>
        <v/>
      </c>
      <c r="I28">
        <f>IF(OR(G28="",H28=""),"",IF(H28&gt;=G28,"Complete","Incomplete"))</f>
        <v/>
      </c>
      <c r="J28">
        <f>IF(B28="","","Retention period per bank policy; not defined in this simulation")</f>
        <v/>
      </c>
      <c r="L28" s="8" t="n"/>
      <c r="M28">
        <f>IF(AND(K28&lt;&gt;"",I28&lt;&gt;"Complete"),"CHECK: archived while incomplete","")</f>
        <v/>
      </c>
    </row>
    <row r="29">
      <c r="A29" t="inlineStr">
        <is>
          <t>ARC0028</t>
        </is>
      </c>
      <c r="D29" s="8" t="n"/>
      <c r="F29">
        <f>IF(OR(B29="",C29="",D29="",E29=""),"",B29&amp;"_"&amp;SUBSTITUTE(C29," ","-")&amp;"_"&amp;TEXT(D29,"yyyymmdd")&amp;"_v"&amp;E29)</f>
        <v/>
      </c>
      <c r="I29">
        <f>IF(OR(G29="",H29=""),"",IF(H29&gt;=G29,"Complete","Incomplete"))</f>
        <v/>
      </c>
      <c r="J29">
        <f>IF(B29="","","Retention period per bank policy; not defined in this simulation")</f>
        <v/>
      </c>
      <c r="L29" s="8" t="n"/>
      <c r="M29">
        <f>IF(AND(K29&lt;&gt;"",I29&lt;&gt;"Complete"),"CHECK: archived while incomplete","")</f>
        <v/>
      </c>
    </row>
    <row r="30">
      <c r="A30" t="inlineStr">
        <is>
          <t>ARC0029</t>
        </is>
      </c>
      <c r="D30" s="8" t="n"/>
      <c r="F30">
        <f>IF(OR(B30="",C30="",D30="",E30=""),"",B30&amp;"_"&amp;SUBSTITUTE(C30," ","-")&amp;"_"&amp;TEXT(D30,"yyyymmdd")&amp;"_v"&amp;E30)</f>
        <v/>
      </c>
      <c r="I30">
        <f>IF(OR(G30="",H30=""),"",IF(H30&gt;=G30,"Complete","Incomplete"))</f>
        <v/>
      </c>
      <c r="J30">
        <f>IF(B30="","","Retention period per bank policy; not defined in this simulation")</f>
        <v/>
      </c>
      <c r="L30" s="8" t="n"/>
      <c r="M30">
        <f>IF(AND(K30&lt;&gt;"",I30&lt;&gt;"Complete"),"CHECK: archived while incomplete","")</f>
        <v/>
      </c>
    </row>
    <row r="31">
      <c r="A31" t="inlineStr">
        <is>
          <t>ARC0030</t>
        </is>
      </c>
      <c r="D31" s="8" t="n"/>
      <c r="F31">
        <f>IF(OR(B31="",C31="",D31="",E31=""),"",B31&amp;"_"&amp;SUBSTITUTE(C31," ","-")&amp;"_"&amp;TEXT(D31,"yyyymmdd")&amp;"_v"&amp;E31)</f>
        <v/>
      </c>
      <c r="I31">
        <f>IF(OR(G31="",H31=""),"",IF(H31&gt;=G31,"Complete","Incomplete"))</f>
        <v/>
      </c>
      <c r="J31">
        <f>IF(B31="","","Retention period per bank policy; not defined in this simulation")</f>
        <v/>
      </c>
      <c r="L31" s="8" t="n"/>
      <c r="M31">
        <f>IF(AND(K31&lt;&gt;"",I31&lt;&gt;"Complete"),"CHECK: archived while incomplete","")</f>
        <v/>
      </c>
    </row>
    <row r="32">
      <c r="A32" t="inlineStr">
        <is>
          <t>ARC0031</t>
        </is>
      </c>
      <c r="D32" s="8" t="n"/>
      <c r="F32">
        <f>IF(OR(B32="",C32="",D32="",E32=""),"",B32&amp;"_"&amp;SUBSTITUTE(C32," ","-")&amp;"_"&amp;TEXT(D32,"yyyymmdd")&amp;"_v"&amp;E32)</f>
        <v/>
      </c>
      <c r="I32">
        <f>IF(OR(G32="",H32=""),"",IF(H32&gt;=G32,"Complete","Incomplete"))</f>
        <v/>
      </c>
      <c r="J32">
        <f>IF(B32="","","Retention period per bank policy; not defined in this simulation")</f>
        <v/>
      </c>
      <c r="L32" s="8" t="n"/>
      <c r="M32">
        <f>IF(AND(K32&lt;&gt;"",I32&lt;&gt;"Complete"),"CHECK: archived while incomplete","")</f>
        <v/>
      </c>
    </row>
    <row r="33">
      <c r="A33" t="inlineStr">
        <is>
          <t>ARC0032</t>
        </is>
      </c>
      <c r="D33" s="8" t="n"/>
      <c r="F33">
        <f>IF(OR(B33="",C33="",D33="",E33=""),"",B33&amp;"_"&amp;SUBSTITUTE(C33," ","-")&amp;"_"&amp;TEXT(D33,"yyyymmdd")&amp;"_v"&amp;E33)</f>
        <v/>
      </c>
      <c r="I33">
        <f>IF(OR(G33="",H33=""),"",IF(H33&gt;=G33,"Complete","Incomplete"))</f>
        <v/>
      </c>
      <c r="J33">
        <f>IF(B33="","","Retention period per bank policy; not defined in this simulation")</f>
        <v/>
      </c>
      <c r="L33" s="8" t="n"/>
      <c r="M33">
        <f>IF(AND(K33&lt;&gt;"",I33&lt;&gt;"Complete"),"CHECK: archived while incomplete","")</f>
        <v/>
      </c>
    </row>
    <row r="34">
      <c r="A34" t="inlineStr">
        <is>
          <t>ARC0033</t>
        </is>
      </c>
      <c r="D34" s="8" t="n"/>
      <c r="F34">
        <f>IF(OR(B34="",C34="",D34="",E34=""),"",B34&amp;"_"&amp;SUBSTITUTE(C34," ","-")&amp;"_"&amp;TEXT(D34,"yyyymmdd")&amp;"_v"&amp;E34)</f>
        <v/>
      </c>
      <c r="I34">
        <f>IF(OR(G34="",H34=""),"",IF(H34&gt;=G34,"Complete","Incomplete"))</f>
        <v/>
      </c>
      <c r="J34">
        <f>IF(B34="","","Retention period per bank policy; not defined in this simulation")</f>
        <v/>
      </c>
      <c r="L34" s="8" t="n"/>
      <c r="M34">
        <f>IF(AND(K34&lt;&gt;"",I34&lt;&gt;"Complete"),"CHECK: archived while incomplete","")</f>
        <v/>
      </c>
    </row>
    <row r="35">
      <c r="A35" t="inlineStr">
        <is>
          <t>ARC0034</t>
        </is>
      </c>
      <c r="D35" s="8" t="n"/>
      <c r="F35">
        <f>IF(OR(B35="",C35="",D35="",E35=""),"",B35&amp;"_"&amp;SUBSTITUTE(C35," ","-")&amp;"_"&amp;TEXT(D35,"yyyymmdd")&amp;"_v"&amp;E35)</f>
        <v/>
      </c>
      <c r="I35">
        <f>IF(OR(G35="",H35=""),"",IF(H35&gt;=G35,"Complete","Incomplete"))</f>
        <v/>
      </c>
      <c r="J35">
        <f>IF(B35="","","Retention period per bank policy; not defined in this simulation")</f>
        <v/>
      </c>
      <c r="L35" s="8" t="n"/>
      <c r="M35">
        <f>IF(AND(K35&lt;&gt;"",I35&lt;&gt;"Complete"),"CHECK: archived while incomplete","")</f>
        <v/>
      </c>
    </row>
    <row r="36">
      <c r="A36" t="inlineStr">
        <is>
          <t>ARC0035</t>
        </is>
      </c>
      <c r="D36" s="8" t="n"/>
      <c r="F36">
        <f>IF(OR(B36="",C36="",D36="",E36=""),"",B36&amp;"_"&amp;SUBSTITUTE(C36," ","-")&amp;"_"&amp;TEXT(D36,"yyyymmdd")&amp;"_v"&amp;E36)</f>
        <v/>
      </c>
      <c r="I36">
        <f>IF(OR(G36="",H36=""),"",IF(H36&gt;=G36,"Complete","Incomplete"))</f>
        <v/>
      </c>
      <c r="J36">
        <f>IF(B36="","","Retention period per bank policy; not defined in this simulation")</f>
        <v/>
      </c>
      <c r="L36" s="8" t="n"/>
      <c r="M36">
        <f>IF(AND(K36&lt;&gt;"",I36&lt;&gt;"Complete"),"CHECK: archived while incomplete","")</f>
        <v/>
      </c>
    </row>
    <row r="37">
      <c r="A37" t="inlineStr">
        <is>
          <t>ARC0036</t>
        </is>
      </c>
      <c r="D37" s="8" t="n"/>
      <c r="F37">
        <f>IF(OR(B37="",C37="",D37="",E37=""),"",B37&amp;"_"&amp;SUBSTITUTE(C37," ","-")&amp;"_"&amp;TEXT(D37,"yyyymmdd")&amp;"_v"&amp;E37)</f>
        <v/>
      </c>
      <c r="I37">
        <f>IF(OR(G37="",H37=""),"",IF(H37&gt;=G37,"Complete","Incomplete"))</f>
        <v/>
      </c>
      <c r="J37">
        <f>IF(B37="","","Retention period per bank policy; not defined in this simulation")</f>
        <v/>
      </c>
      <c r="L37" s="8" t="n"/>
      <c r="M37">
        <f>IF(AND(K37&lt;&gt;"",I37&lt;&gt;"Complete"),"CHECK: archived while incomplete","")</f>
        <v/>
      </c>
    </row>
    <row r="38">
      <c r="A38" t="inlineStr">
        <is>
          <t>ARC0037</t>
        </is>
      </c>
      <c r="D38" s="8" t="n"/>
      <c r="F38">
        <f>IF(OR(B38="",C38="",D38="",E38=""),"",B38&amp;"_"&amp;SUBSTITUTE(C38," ","-")&amp;"_"&amp;TEXT(D38,"yyyymmdd")&amp;"_v"&amp;E38)</f>
        <v/>
      </c>
      <c r="I38">
        <f>IF(OR(G38="",H38=""),"",IF(H38&gt;=G38,"Complete","Incomplete"))</f>
        <v/>
      </c>
      <c r="J38">
        <f>IF(B38="","","Retention period per bank policy; not defined in this simulation")</f>
        <v/>
      </c>
      <c r="L38" s="8" t="n"/>
      <c r="M38">
        <f>IF(AND(K38&lt;&gt;"",I38&lt;&gt;"Complete"),"CHECK: archived while incomplete","")</f>
        <v/>
      </c>
    </row>
    <row r="39">
      <c r="A39" t="inlineStr">
        <is>
          <t>ARC0038</t>
        </is>
      </c>
      <c r="D39" s="8" t="n"/>
      <c r="F39">
        <f>IF(OR(B39="",C39="",D39="",E39=""),"",B39&amp;"_"&amp;SUBSTITUTE(C39," ","-")&amp;"_"&amp;TEXT(D39,"yyyymmdd")&amp;"_v"&amp;E39)</f>
        <v/>
      </c>
      <c r="I39">
        <f>IF(OR(G39="",H39=""),"",IF(H39&gt;=G39,"Complete","Incomplete"))</f>
        <v/>
      </c>
      <c r="J39">
        <f>IF(B39="","","Retention period per bank policy; not defined in this simulation")</f>
        <v/>
      </c>
      <c r="L39" s="8" t="n"/>
      <c r="M39">
        <f>IF(AND(K39&lt;&gt;"",I39&lt;&gt;"Complete"),"CHECK: archived while incomplete","")</f>
        <v/>
      </c>
    </row>
    <row r="40">
      <c r="A40" t="inlineStr">
        <is>
          <t>ARC0039</t>
        </is>
      </c>
      <c r="D40" s="8" t="n"/>
      <c r="F40">
        <f>IF(OR(B40="",C40="",D40="",E40=""),"",B40&amp;"_"&amp;SUBSTITUTE(C40," ","-")&amp;"_"&amp;TEXT(D40,"yyyymmdd")&amp;"_v"&amp;E40)</f>
        <v/>
      </c>
      <c r="I40">
        <f>IF(OR(G40="",H40=""),"",IF(H40&gt;=G40,"Complete","Incomplete"))</f>
        <v/>
      </c>
      <c r="J40">
        <f>IF(B40="","","Retention period per bank policy; not defined in this simulation")</f>
        <v/>
      </c>
      <c r="L40" s="8" t="n"/>
      <c r="M40">
        <f>IF(AND(K40&lt;&gt;"",I40&lt;&gt;"Complete"),"CHECK: archived while incomplete","")</f>
        <v/>
      </c>
    </row>
    <row r="41">
      <c r="A41" t="inlineStr">
        <is>
          <t>ARC0040</t>
        </is>
      </c>
      <c r="D41" s="8" t="n"/>
      <c r="F41">
        <f>IF(OR(B41="",C41="",D41="",E41=""),"",B41&amp;"_"&amp;SUBSTITUTE(C41," ","-")&amp;"_"&amp;TEXT(D41,"yyyymmdd")&amp;"_v"&amp;E41)</f>
        <v/>
      </c>
      <c r="I41">
        <f>IF(OR(G41="",H41=""),"",IF(H41&gt;=G41,"Complete","Incomplete"))</f>
        <v/>
      </c>
      <c r="J41">
        <f>IF(B41="","","Retention period per bank policy; not defined in this simulation")</f>
        <v/>
      </c>
      <c r="L41" s="8" t="n"/>
      <c r="M41">
        <f>IF(AND(K41&lt;&gt;"",I41&lt;&gt;"Complete"),"CHECK: archived while incomplete","")</f>
        <v/>
      </c>
    </row>
    <row r="42">
      <c r="A42" t="inlineStr">
        <is>
          <t>ARC0041</t>
        </is>
      </c>
      <c r="D42" s="8" t="n"/>
      <c r="F42">
        <f>IF(OR(B42="",C42="",D42="",E42=""),"",B42&amp;"_"&amp;SUBSTITUTE(C42," ","-")&amp;"_"&amp;TEXT(D42,"yyyymmdd")&amp;"_v"&amp;E42)</f>
        <v/>
      </c>
      <c r="I42">
        <f>IF(OR(G42="",H42=""),"",IF(H42&gt;=G42,"Complete","Incomplete"))</f>
        <v/>
      </c>
      <c r="J42">
        <f>IF(B42="","","Retention period per bank policy; not defined in this simulation")</f>
        <v/>
      </c>
      <c r="L42" s="8" t="n"/>
      <c r="M42">
        <f>IF(AND(K42&lt;&gt;"",I42&lt;&gt;"Complete"),"CHECK: archived while incomplete","")</f>
        <v/>
      </c>
    </row>
    <row r="43">
      <c r="A43" t="inlineStr">
        <is>
          <t>ARC0042</t>
        </is>
      </c>
      <c r="D43" s="8" t="n"/>
      <c r="F43">
        <f>IF(OR(B43="",C43="",D43="",E43=""),"",B43&amp;"_"&amp;SUBSTITUTE(C43," ","-")&amp;"_"&amp;TEXT(D43,"yyyymmdd")&amp;"_v"&amp;E43)</f>
        <v/>
      </c>
      <c r="I43">
        <f>IF(OR(G43="",H43=""),"",IF(H43&gt;=G43,"Complete","Incomplete"))</f>
        <v/>
      </c>
      <c r="J43">
        <f>IF(B43="","","Retention period per bank policy; not defined in this simulation")</f>
        <v/>
      </c>
      <c r="L43" s="8" t="n"/>
      <c r="M43">
        <f>IF(AND(K43&lt;&gt;"",I43&lt;&gt;"Complete"),"CHECK: archived while incomplete","")</f>
        <v/>
      </c>
    </row>
    <row r="44">
      <c r="A44" t="inlineStr">
        <is>
          <t>ARC0043</t>
        </is>
      </c>
      <c r="D44" s="8" t="n"/>
      <c r="F44">
        <f>IF(OR(B44="",C44="",D44="",E44=""),"",B44&amp;"_"&amp;SUBSTITUTE(C44," ","-")&amp;"_"&amp;TEXT(D44,"yyyymmdd")&amp;"_v"&amp;E44)</f>
        <v/>
      </c>
      <c r="I44">
        <f>IF(OR(G44="",H44=""),"",IF(H44&gt;=G44,"Complete","Incomplete"))</f>
        <v/>
      </c>
      <c r="J44">
        <f>IF(B44="","","Retention period per bank policy; not defined in this simulation")</f>
        <v/>
      </c>
      <c r="L44" s="8" t="n"/>
      <c r="M44">
        <f>IF(AND(K44&lt;&gt;"",I44&lt;&gt;"Complete"),"CHECK: archived while incomplete","")</f>
        <v/>
      </c>
    </row>
    <row r="45">
      <c r="A45" t="inlineStr">
        <is>
          <t>ARC0044</t>
        </is>
      </c>
      <c r="D45" s="8" t="n"/>
      <c r="F45">
        <f>IF(OR(B45="",C45="",D45="",E45=""),"",B45&amp;"_"&amp;SUBSTITUTE(C45," ","-")&amp;"_"&amp;TEXT(D45,"yyyymmdd")&amp;"_v"&amp;E45)</f>
        <v/>
      </c>
      <c r="I45">
        <f>IF(OR(G45="",H45=""),"",IF(H45&gt;=G45,"Complete","Incomplete"))</f>
        <v/>
      </c>
      <c r="J45">
        <f>IF(B45="","","Retention period per bank policy; not defined in this simulation")</f>
        <v/>
      </c>
      <c r="L45" s="8" t="n"/>
      <c r="M45">
        <f>IF(AND(K45&lt;&gt;"",I45&lt;&gt;"Complete"),"CHECK: archived while incomplete","")</f>
        <v/>
      </c>
    </row>
    <row r="46">
      <c r="A46" t="inlineStr">
        <is>
          <t>ARC0045</t>
        </is>
      </c>
      <c r="D46" s="8" t="n"/>
      <c r="F46">
        <f>IF(OR(B46="",C46="",D46="",E46=""),"",B46&amp;"_"&amp;SUBSTITUTE(C46," ","-")&amp;"_"&amp;TEXT(D46,"yyyymmdd")&amp;"_v"&amp;E46)</f>
        <v/>
      </c>
      <c r="I46">
        <f>IF(OR(G46="",H46=""),"",IF(H46&gt;=G46,"Complete","Incomplete"))</f>
        <v/>
      </c>
      <c r="J46">
        <f>IF(B46="","","Retention period per bank policy; not defined in this simulation")</f>
        <v/>
      </c>
      <c r="L46" s="8" t="n"/>
      <c r="M46">
        <f>IF(AND(K46&lt;&gt;"",I46&lt;&gt;"Complete"),"CHECK: archived while incomplete","")</f>
        <v/>
      </c>
    </row>
    <row r="47">
      <c r="A47" t="inlineStr">
        <is>
          <t>ARC0046</t>
        </is>
      </c>
      <c r="D47" s="8" t="n"/>
      <c r="F47">
        <f>IF(OR(B47="",C47="",D47="",E47=""),"",B47&amp;"_"&amp;SUBSTITUTE(C47," ","-")&amp;"_"&amp;TEXT(D47,"yyyymmdd")&amp;"_v"&amp;E47)</f>
        <v/>
      </c>
      <c r="I47">
        <f>IF(OR(G47="",H47=""),"",IF(H47&gt;=G47,"Complete","Incomplete"))</f>
        <v/>
      </c>
      <c r="J47">
        <f>IF(B47="","","Retention period per bank policy; not defined in this simulation")</f>
        <v/>
      </c>
      <c r="L47" s="8" t="n"/>
      <c r="M47">
        <f>IF(AND(K47&lt;&gt;"",I47&lt;&gt;"Complete"),"CHECK: archived while incomplete","")</f>
        <v/>
      </c>
    </row>
    <row r="48">
      <c r="A48" t="inlineStr">
        <is>
          <t>ARC0047</t>
        </is>
      </c>
      <c r="D48" s="8" t="n"/>
      <c r="F48">
        <f>IF(OR(B48="",C48="",D48="",E48=""),"",B48&amp;"_"&amp;SUBSTITUTE(C48," ","-")&amp;"_"&amp;TEXT(D48,"yyyymmdd")&amp;"_v"&amp;E48)</f>
        <v/>
      </c>
      <c r="I48">
        <f>IF(OR(G48="",H48=""),"",IF(H48&gt;=G48,"Complete","Incomplete"))</f>
        <v/>
      </c>
      <c r="J48">
        <f>IF(B48="","","Retention period per bank policy; not defined in this simulation")</f>
        <v/>
      </c>
      <c r="L48" s="8" t="n"/>
      <c r="M48">
        <f>IF(AND(K48&lt;&gt;"",I48&lt;&gt;"Complete"),"CHECK: archived while incomplete","")</f>
        <v/>
      </c>
    </row>
    <row r="49">
      <c r="A49" t="inlineStr">
        <is>
          <t>ARC0048</t>
        </is>
      </c>
      <c r="D49" s="8" t="n"/>
      <c r="F49">
        <f>IF(OR(B49="",C49="",D49="",E49=""),"",B49&amp;"_"&amp;SUBSTITUTE(C49," ","-")&amp;"_"&amp;TEXT(D49,"yyyymmdd")&amp;"_v"&amp;E49)</f>
        <v/>
      </c>
      <c r="I49">
        <f>IF(OR(G49="",H49=""),"",IF(H49&gt;=G49,"Complete","Incomplete"))</f>
        <v/>
      </c>
      <c r="J49">
        <f>IF(B49="","","Retention period per bank policy; not defined in this simulation")</f>
        <v/>
      </c>
      <c r="L49" s="8" t="n"/>
      <c r="M49">
        <f>IF(AND(K49&lt;&gt;"",I49&lt;&gt;"Complete"),"CHECK: archived while incomplete","")</f>
        <v/>
      </c>
    </row>
    <row r="50">
      <c r="A50" t="inlineStr">
        <is>
          <t>ARC0049</t>
        </is>
      </c>
      <c r="D50" s="8" t="n"/>
      <c r="F50">
        <f>IF(OR(B50="",C50="",D50="",E50=""),"",B50&amp;"_"&amp;SUBSTITUTE(C50," ","-")&amp;"_"&amp;TEXT(D50,"yyyymmdd")&amp;"_v"&amp;E50)</f>
        <v/>
      </c>
      <c r="I50">
        <f>IF(OR(G50="",H50=""),"",IF(H50&gt;=G50,"Complete","Incomplete"))</f>
        <v/>
      </c>
      <c r="J50">
        <f>IF(B50="","","Retention period per bank policy; not defined in this simulation")</f>
        <v/>
      </c>
      <c r="L50" s="8" t="n"/>
      <c r="M50">
        <f>IF(AND(K50&lt;&gt;"",I50&lt;&gt;"Complete"),"CHECK: archived while incomplete","")</f>
        <v/>
      </c>
    </row>
    <row r="51">
      <c r="A51" t="inlineStr">
        <is>
          <t>ARC0050</t>
        </is>
      </c>
      <c r="D51" s="8" t="n"/>
      <c r="F51">
        <f>IF(OR(B51="",C51="",D51="",E51=""),"",B51&amp;"_"&amp;SUBSTITUTE(C51," ","-")&amp;"_"&amp;TEXT(D51,"yyyymmdd")&amp;"_v"&amp;E51)</f>
        <v/>
      </c>
      <c r="I51">
        <f>IF(OR(G51="",H51=""),"",IF(H51&gt;=G51,"Complete","Incomplete"))</f>
        <v/>
      </c>
      <c r="J51">
        <f>IF(B51="","","Retention period per bank policy; not defined in this simulation")</f>
        <v/>
      </c>
      <c r="L51" s="8" t="n"/>
      <c r="M51">
        <f>IF(AND(K51&lt;&gt;"",I51&lt;&gt;"Complete"),"CHECK: archived while incomplete","")</f>
        <v/>
      </c>
    </row>
    <row r="52">
      <c r="A52" t="inlineStr">
        <is>
          <t>ARC0051</t>
        </is>
      </c>
      <c r="D52" s="8" t="n"/>
      <c r="F52">
        <f>IF(OR(B52="",C52="",D52="",E52=""),"",B52&amp;"_"&amp;SUBSTITUTE(C52," ","-")&amp;"_"&amp;TEXT(D52,"yyyymmdd")&amp;"_v"&amp;E52)</f>
        <v/>
      </c>
      <c r="I52">
        <f>IF(OR(G52="",H52=""),"",IF(H52&gt;=G52,"Complete","Incomplete"))</f>
        <v/>
      </c>
      <c r="J52">
        <f>IF(B52="","","Retention period per bank policy; not defined in this simulation")</f>
        <v/>
      </c>
      <c r="L52" s="8" t="n"/>
      <c r="M52">
        <f>IF(AND(K52&lt;&gt;"",I52&lt;&gt;"Complete"),"CHECK: archived while incomplete","")</f>
        <v/>
      </c>
    </row>
    <row r="53">
      <c r="A53" t="inlineStr">
        <is>
          <t>ARC0052</t>
        </is>
      </c>
      <c r="D53" s="8" t="n"/>
      <c r="F53">
        <f>IF(OR(B53="",C53="",D53="",E53=""),"",B53&amp;"_"&amp;SUBSTITUTE(C53," ","-")&amp;"_"&amp;TEXT(D53,"yyyymmdd")&amp;"_v"&amp;E53)</f>
        <v/>
      </c>
      <c r="I53">
        <f>IF(OR(G53="",H53=""),"",IF(H53&gt;=G53,"Complete","Incomplete"))</f>
        <v/>
      </c>
      <c r="J53">
        <f>IF(B53="","","Retention period per bank policy; not defined in this simulation")</f>
        <v/>
      </c>
      <c r="L53" s="8" t="n"/>
      <c r="M53">
        <f>IF(AND(K53&lt;&gt;"",I53&lt;&gt;"Complete"),"CHECK: archived while incomplete","")</f>
        <v/>
      </c>
    </row>
    <row r="54">
      <c r="A54" t="inlineStr">
        <is>
          <t>ARC0053</t>
        </is>
      </c>
      <c r="D54" s="8" t="n"/>
      <c r="F54">
        <f>IF(OR(B54="",C54="",D54="",E54=""),"",B54&amp;"_"&amp;SUBSTITUTE(C54," ","-")&amp;"_"&amp;TEXT(D54,"yyyymmdd")&amp;"_v"&amp;E54)</f>
        <v/>
      </c>
      <c r="I54">
        <f>IF(OR(G54="",H54=""),"",IF(H54&gt;=G54,"Complete","Incomplete"))</f>
        <v/>
      </c>
      <c r="J54">
        <f>IF(B54="","","Retention period per bank policy; not defined in this simulation")</f>
        <v/>
      </c>
      <c r="L54" s="8" t="n"/>
      <c r="M54">
        <f>IF(AND(K54&lt;&gt;"",I54&lt;&gt;"Complete"),"CHECK: archived while incomplete","")</f>
        <v/>
      </c>
    </row>
    <row r="55">
      <c r="A55" t="inlineStr">
        <is>
          <t>ARC0054</t>
        </is>
      </c>
      <c r="D55" s="8" t="n"/>
      <c r="F55">
        <f>IF(OR(B55="",C55="",D55="",E55=""),"",B55&amp;"_"&amp;SUBSTITUTE(C55," ","-")&amp;"_"&amp;TEXT(D55,"yyyymmdd")&amp;"_v"&amp;E55)</f>
        <v/>
      </c>
      <c r="I55">
        <f>IF(OR(G55="",H55=""),"",IF(H55&gt;=G55,"Complete","Incomplete"))</f>
        <v/>
      </c>
      <c r="J55">
        <f>IF(B55="","","Retention period per bank policy; not defined in this simulation")</f>
        <v/>
      </c>
      <c r="L55" s="8" t="n"/>
      <c r="M55">
        <f>IF(AND(K55&lt;&gt;"",I55&lt;&gt;"Complete"),"CHECK: archived while incomplete","")</f>
        <v/>
      </c>
    </row>
    <row r="56">
      <c r="A56" t="inlineStr">
        <is>
          <t>ARC0055</t>
        </is>
      </c>
      <c r="D56" s="8" t="n"/>
      <c r="F56">
        <f>IF(OR(B56="",C56="",D56="",E56=""),"",B56&amp;"_"&amp;SUBSTITUTE(C56," ","-")&amp;"_"&amp;TEXT(D56,"yyyymmdd")&amp;"_v"&amp;E56)</f>
        <v/>
      </c>
      <c r="I56">
        <f>IF(OR(G56="",H56=""),"",IF(H56&gt;=G56,"Complete","Incomplete"))</f>
        <v/>
      </c>
      <c r="J56">
        <f>IF(B56="","","Retention period per bank policy; not defined in this simulation")</f>
        <v/>
      </c>
      <c r="L56" s="8" t="n"/>
      <c r="M56">
        <f>IF(AND(K56&lt;&gt;"",I56&lt;&gt;"Complete"),"CHECK: archived while incomplete","")</f>
        <v/>
      </c>
    </row>
    <row r="57">
      <c r="A57" t="inlineStr">
        <is>
          <t>ARC0056</t>
        </is>
      </c>
      <c r="D57" s="8" t="n"/>
      <c r="F57">
        <f>IF(OR(B57="",C57="",D57="",E57=""),"",B57&amp;"_"&amp;SUBSTITUTE(C57," ","-")&amp;"_"&amp;TEXT(D57,"yyyymmdd")&amp;"_v"&amp;E57)</f>
        <v/>
      </c>
      <c r="I57">
        <f>IF(OR(G57="",H57=""),"",IF(H57&gt;=G57,"Complete","Incomplete"))</f>
        <v/>
      </c>
      <c r="J57">
        <f>IF(B57="","","Retention period per bank policy; not defined in this simulation")</f>
        <v/>
      </c>
      <c r="L57" s="8" t="n"/>
      <c r="M57">
        <f>IF(AND(K57&lt;&gt;"",I57&lt;&gt;"Complete"),"CHECK: archived while incomplete","")</f>
        <v/>
      </c>
    </row>
    <row r="58">
      <c r="A58" t="inlineStr">
        <is>
          <t>ARC0057</t>
        </is>
      </c>
      <c r="D58" s="8" t="n"/>
      <c r="F58">
        <f>IF(OR(B58="",C58="",D58="",E58=""),"",B58&amp;"_"&amp;SUBSTITUTE(C58," ","-")&amp;"_"&amp;TEXT(D58,"yyyymmdd")&amp;"_v"&amp;E58)</f>
        <v/>
      </c>
      <c r="I58">
        <f>IF(OR(G58="",H58=""),"",IF(H58&gt;=G58,"Complete","Incomplete"))</f>
        <v/>
      </c>
      <c r="J58">
        <f>IF(B58="","","Retention period per bank policy; not defined in this simulation")</f>
        <v/>
      </c>
      <c r="L58" s="8" t="n"/>
      <c r="M58">
        <f>IF(AND(K58&lt;&gt;"",I58&lt;&gt;"Complete"),"CHECK: archived while incomplete","")</f>
        <v/>
      </c>
    </row>
    <row r="59">
      <c r="A59" t="inlineStr">
        <is>
          <t>ARC0058</t>
        </is>
      </c>
      <c r="D59" s="8" t="n"/>
      <c r="F59">
        <f>IF(OR(B59="",C59="",D59="",E59=""),"",B59&amp;"_"&amp;SUBSTITUTE(C59," ","-")&amp;"_"&amp;TEXT(D59,"yyyymmdd")&amp;"_v"&amp;E59)</f>
        <v/>
      </c>
      <c r="I59">
        <f>IF(OR(G59="",H59=""),"",IF(H59&gt;=G59,"Complete","Incomplete"))</f>
        <v/>
      </c>
      <c r="J59">
        <f>IF(B59="","","Retention period per bank policy; not defined in this simulation")</f>
        <v/>
      </c>
      <c r="L59" s="8" t="n"/>
      <c r="M59">
        <f>IF(AND(K59&lt;&gt;"",I59&lt;&gt;"Complete"),"CHECK: archived while incomplete","")</f>
        <v/>
      </c>
    </row>
    <row r="60">
      <c r="A60" t="inlineStr">
        <is>
          <t>ARC0059</t>
        </is>
      </c>
      <c r="D60" s="8" t="n"/>
      <c r="F60">
        <f>IF(OR(B60="",C60="",D60="",E60=""),"",B60&amp;"_"&amp;SUBSTITUTE(C60," ","-")&amp;"_"&amp;TEXT(D60,"yyyymmdd")&amp;"_v"&amp;E60)</f>
        <v/>
      </c>
      <c r="I60">
        <f>IF(OR(G60="",H60=""),"",IF(H60&gt;=G60,"Complete","Incomplete"))</f>
        <v/>
      </c>
      <c r="J60">
        <f>IF(B60="","","Retention period per bank policy; not defined in this simulation")</f>
        <v/>
      </c>
      <c r="L60" s="8" t="n"/>
      <c r="M60">
        <f>IF(AND(K60&lt;&gt;"",I60&lt;&gt;"Complete"),"CHECK: archived while incomplete","")</f>
        <v/>
      </c>
    </row>
    <row r="61">
      <c r="A61" t="inlineStr">
        <is>
          <t>ARC0060</t>
        </is>
      </c>
      <c r="D61" s="8" t="n"/>
      <c r="F61">
        <f>IF(OR(B61="",C61="",D61="",E61=""),"",B61&amp;"_"&amp;SUBSTITUTE(C61," ","-")&amp;"_"&amp;TEXT(D61,"yyyymmdd")&amp;"_v"&amp;E61)</f>
        <v/>
      </c>
      <c r="I61">
        <f>IF(OR(G61="",H61=""),"",IF(H61&gt;=G61,"Complete","Incomplete"))</f>
        <v/>
      </c>
      <c r="J61">
        <f>IF(B61="","","Retention period per bank policy; not defined in this simulation")</f>
        <v/>
      </c>
      <c r="L61" s="8" t="n"/>
      <c r="M61">
        <f>IF(AND(K61&lt;&gt;"",I61&lt;&gt;"Complete"),"CHECK: archived while incomplete","")</f>
        <v/>
      </c>
    </row>
    <row r="62">
      <c r="A62" t="inlineStr">
        <is>
          <t>ARC0061</t>
        </is>
      </c>
      <c r="D62" s="8" t="n"/>
      <c r="F62">
        <f>IF(OR(B62="",C62="",D62="",E62=""),"",B62&amp;"_"&amp;SUBSTITUTE(C62," ","-")&amp;"_"&amp;TEXT(D62,"yyyymmdd")&amp;"_v"&amp;E62)</f>
        <v/>
      </c>
      <c r="I62">
        <f>IF(OR(G62="",H62=""),"",IF(H62&gt;=G62,"Complete","Incomplete"))</f>
        <v/>
      </c>
      <c r="J62">
        <f>IF(B62="","","Retention period per bank policy; not defined in this simulation")</f>
        <v/>
      </c>
      <c r="L62" s="8" t="n"/>
      <c r="M62">
        <f>IF(AND(K62&lt;&gt;"",I62&lt;&gt;"Complete"),"CHECK: archived while incomplete","")</f>
        <v/>
      </c>
    </row>
    <row r="63">
      <c r="A63" t="inlineStr">
        <is>
          <t>ARC0062</t>
        </is>
      </c>
      <c r="D63" s="8" t="n"/>
      <c r="F63">
        <f>IF(OR(B63="",C63="",D63="",E63=""),"",B63&amp;"_"&amp;SUBSTITUTE(C63," ","-")&amp;"_"&amp;TEXT(D63,"yyyymmdd")&amp;"_v"&amp;E63)</f>
        <v/>
      </c>
      <c r="I63">
        <f>IF(OR(G63="",H63=""),"",IF(H63&gt;=G63,"Complete","Incomplete"))</f>
        <v/>
      </c>
      <c r="J63">
        <f>IF(B63="","","Retention period per bank policy; not defined in this simulation")</f>
        <v/>
      </c>
      <c r="L63" s="8" t="n"/>
      <c r="M63">
        <f>IF(AND(K63&lt;&gt;"",I63&lt;&gt;"Complete"),"CHECK: archived while incomplete","")</f>
        <v/>
      </c>
    </row>
    <row r="64">
      <c r="A64" t="inlineStr">
        <is>
          <t>ARC0063</t>
        </is>
      </c>
      <c r="D64" s="8" t="n"/>
      <c r="F64">
        <f>IF(OR(B64="",C64="",D64="",E64=""),"",B64&amp;"_"&amp;SUBSTITUTE(C64," ","-")&amp;"_"&amp;TEXT(D64,"yyyymmdd")&amp;"_v"&amp;E64)</f>
        <v/>
      </c>
      <c r="I64">
        <f>IF(OR(G64="",H64=""),"",IF(H64&gt;=G64,"Complete","Incomplete"))</f>
        <v/>
      </c>
      <c r="J64">
        <f>IF(B64="","","Retention period per bank policy; not defined in this simulation")</f>
        <v/>
      </c>
      <c r="L64" s="8" t="n"/>
      <c r="M64">
        <f>IF(AND(K64&lt;&gt;"",I64&lt;&gt;"Complete"),"CHECK: archived while incomplete","")</f>
        <v/>
      </c>
    </row>
    <row r="65">
      <c r="A65" t="inlineStr">
        <is>
          <t>ARC0064</t>
        </is>
      </c>
      <c r="D65" s="8" t="n"/>
      <c r="F65">
        <f>IF(OR(B65="",C65="",D65="",E65=""),"",B65&amp;"_"&amp;SUBSTITUTE(C65," ","-")&amp;"_"&amp;TEXT(D65,"yyyymmdd")&amp;"_v"&amp;E65)</f>
        <v/>
      </c>
      <c r="I65">
        <f>IF(OR(G65="",H65=""),"",IF(H65&gt;=G65,"Complete","Incomplete"))</f>
        <v/>
      </c>
      <c r="J65">
        <f>IF(B65="","","Retention period per bank policy; not defined in this simulation")</f>
        <v/>
      </c>
      <c r="L65" s="8" t="n"/>
      <c r="M65">
        <f>IF(AND(K65&lt;&gt;"",I65&lt;&gt;"Complete"),"CHECK: archived while incomplete","")</f>
        <v/>
      </c>
    </row>
    <row r="66">
      <c r="A66" t="inlineStr">
        <is>
          <t>ARC0065</t>
        </is>
      </c>
      <c r="D66" s="8" t="n"/>
      <c r="F66">
        <f>IF(OR(B66="",C66="",D66="",E66=""),"",B66&amp;"_"&amp;SUBSTITUTE(C66," ","-")&amp;"_"&amp;TEXT(D66,"yyyymmdd")&amp;"_v"&amp;E66)</f>
        <v/>
      </c>
      <c r="I66">
        <f>IF(OR(G66="",H66=""),"",IF(H66&gt;=G66,"Complete","Incomplete"))</f>
        <v/>
      </c>
      <c r="J66">
        <f>IF(B66="","","Retention period per bank policy; not defined in this simulation")</f>
        <v/>
      </c>
      <c r="L66" s="8" t="n"/>
      <c r="M66">
        <f>IF(AND(K66&lt;&gt;"",I66&lt;&gt;"Complete"),"CHECK: archived while incomplete","")</f>
        <v/>
      </c>
    </row>
    <row r="67">
      <c r="A67" t="inlineStr">
        <is>
          <t>ARC0066</t>
        </is>
      </c>
      <c r="D67" s="8" t="n"/>
      <c r="F67">
        <f>IF(OR(B67="",C67="",D67="",E67=""),"",B67&amp;"_"&amp;SUBSTITUTE(C67," ","-")&amp;"_"&amp;TEXT(D67,"yyyymmdd")&amp;"_v"&amp;E67)</f>
        <v/>
      </c>
      <c r="I67">
        <f>IF(OR(G67="",H67=""),"",IF(H67&gt;=G67,"Complete","Incomplete"))</f>
        <v/>
      </c>
      <c r="J67">
        <f>IF(B67="","","Retention period per bank policy; not defined in this simulation")</f>
        <v/>
      </c>
      <c r="L67" s="8" t="n"/>
      <c r="M67">
        <f>IF(AND(K67&lt;&gt;"",I67&lt;&gt;"Complete"),"CHECK: archived while incomplete","")</f>
        <v/>
      </c>
    </row>
    <row r="68">
      <c r="A68" t="inlineStr">
        <is>
          <t>ARC0067</t>
        </is>
      </c>
      <c r="D68" s="8" t="n"/>
      <c r="F68">
        <f>IF(OR(B68="",C68="",D68="",E68=""),"",B68&amp;"_"&amp;SUBSTITUTE(C68," ","-")&amp;"_"&amp;TEXT(D68,"yyyymmdd")&amp;"_v"&amp;E68)</f>
        <v/>
      </c>
      <c r="I68">
        <f>IF(OR(G68="",H68=""),"",IF(H68&gt;=G68,"Complete","Incomplete"))</f>
        <v/>
      </c>
      <c r="J68">
        <f>IF(B68="","","Retention period per bank policy; not defined in this simulation")</f>
        <v/>
      </c>
      <c r="L68" s="8" t="n"/>
      <c r="M68">
        <f>IF(AND(K68&lt;&gt;"",I68&lt;&gt;"Complete"),"CHECK: archived while incomplete","")</f>
        <v/>
      </c>
    </row>
    <row r="69">
      <c r="A69" t="inlineStr">
        <is>
          <t>ARC0068</t>
        </is>
      </c>
      <c r="D69" s="8" t="n"/>
      <c r="F69">
        <f>IF(OR(B69="",C69="",D69="",E69=""),"",B69&amp;"_"&amp;SUBSTITUTE(C69," ","-")&amp;"_"&amp;TEXT(D69,"yyyymmdd")&amp;"_v"&amp;E69)</f>
        <v/>
      </c>
      <c r="I69">
        <f>IF(OR(G69="",H69=""),"",IF(H69&gt;=G69,"Complete","Incomplete"))</f>
        <v/>
      </c>
      <c r="J69">
        <f>IF(B69="","","Retention period per bank policy; not defined in this simulation")</f>
        <v/>
      </c>
      <c r="L69" s="8" t="n"/>
      <c r="M69">
        <f>IF(AND(K69&lt;&gt;"",I69&lt;&gt;"Complete"),"CHECK: archived while incomplete","")</f>
        <v/>
      </c>
    </row>
    <row r="70">
      <c r="A70" t="inlineStr">
        <is>
          <t>ARC0069</t>
        </is>
      </c>
      <c r="D70" s="8" t="n"/>
      <c r="F70">
        <f>IF(OR(B70="",C70="",D70="",E70=""),"",B70&amp;"_"&amp;SUBSTITUTE(C70," ","-")&amp;"_"&amp;TEXT(D70,"yyyymmdd")&amp;"_v"&amp;E70)</f>
        <v/>
      </c>
      <c r="I70">
        <f>IF(OR(G70="",H70=""),"",IF(H70&gt;=G70,"Complete","Incomplete"))</f>
        <v/>
      </c>
      <c r="J70">
        <f>IF(B70="","","Retention period per bank policy; not defined in this simulation")</f>
        <v/>
      </c>
      <c r="L70" s="8" t="n"/>
      <c r="M70">
        <f>IF(AND(K70&lt;&gt;"",I70&lt;&gt;"Complete"),"CHECK: archived while incomplete","")</f>
        <v/>
      </c>
    </row>
    <row r="71">
      <c r="A71" t="inlineStr">
        <is>
          <t>ARC0070</t>
        </is>
      </c>
      <c r="D71" s="8" t="n"/>
      <c r="F71">
        <f>IF(OR(B71="",C71="",D71="",E71=""),"",B71&amp;"_"&amp;SUBSTITUTE(C71," ","-")&amp;"_"&amp;TEXT(D71,"yyyymmdd")&amp;"_v"&amp;E71)</f>
        <v/>
      </c>
      <c r="I71">
        <f>IF(OR(G71="",H71=""),"",IF(H71&gt;=G71,"Complete","Incomplete"))</f>
        <v/>
      </c>
      <c r="J71">
        <f>IF(B71="","","Retention period per bank policy; not defined in this simulation")</f>
        <v/>
      </c>
      <c r="L71" s="8" t="n"/>
      <c r="M71">
        <f>IF(AND(K71&lt;&gt;"",I71&lt;&gt;"Complete"),"CHECK: archived while incomplete","")</f>
        <v/>
      </c>
    </row>
    <row r="72">
      <c r="A72" t="inlineStr">
        <is>
          <t>ARC0071</t>
        </is>
      </c>
      <c r="D72" s="8" t="n"/>
      <c r="F72">
        <f>IF(OR(B72="",C72="",D72="",E72=""),"",B72&amp;"_"&amp;SUBSTITUTE(C72," ","-")&amp;"_"&amp;TEXT(D72,"yyyymmdd")&amp;"_v"&amp;E72)</f>
        <v/>
      </c>
      <c r="I72">
        <f>IF(OR(G72="",H72=""),"",IF(H72&gt;=G72,"Complete","Incomplete"))</f>
        <v/>
      </c>
      <c r="J72">
        <f>IF(B72="","","Retention period per bank policy; not defined in this simulation")</f>
        <v/>
      </c>
      <c r="L72" s="8" t="n"/>
      <c r="M72">
        <f>IF(AND(K72&lt;&gt;"",I72&lt;&gt;"Complete"),"CHECK: archived while incomplete","")</f>
        <v/>
      </c>
    </row>
    <row r="73">
      <c r="A73" t="inlineStr">
        <is>
          <t>ARC0072</t>
        </is>
      </c>
      <c r="D73" s="8" t="n"/>
      <c r="F73">
        <f>IF(OR(B73="",C73="",D73="",E73=""),"",B73&amp;"_"&amp;SUBSTITUTE(C73," ","-")&amp;"_"&amp;TEXT(D73,"yyyymmdd")&amp;"_v"&amp;E73)</f>
        <v/>
      </c>
      <c r="I73">
        <f>IF(OR(G73="",H73=""),"",IF(H73&gt;=G73,"Complete","Incomplete"))</f>
        <v/>
      </c>
      <c r="J73">
        <f>IF(B73="","","Retention period per bank policy; not defined in this simulation")</f>
        <v/>
      </c>
      <c r="L73" s="8" t="n"/>
      <c r="M73">
        <f>IF(AND(K73&lt;&gt;"",I73&lt;&gt;"Complete"),"CHECK: archived while incomplete","")</f>
        <v/>
      </c>
    </row>
    <row r="74">
      <c r="A74" t="inlineStr">
        <is>
          <t>ARC0073</t>
        </is>
      </c>
      <c r="D74" s="8" t="n"/>
      <c r="F74">
        <f>IF(OR(B74="",C74="",D74="",E74=""),"",B74&amp;"_"&amp;SUBSTITUTE(C74," ","-")&amp;"_"&amp;TEXT(D74,"yyyymmdd")&amp;"_v"&amp;E74)</f>
        <v/>
      </c>
      <c r="I74">
        <f>IF(OR(G74="",H74=""),"",IF(H74&gt;=G74,"Complete","Incomplete"))</f>
        <v/>
      </c>
      <c r="J74">
        <f>IF(B74="","","Retention period per bank policy; not defined in this simulation")</f>
        <v/>
      </c>
      <c r="L74" s="8" t="n"/>
      <c r="M74">
        <f>IF(AND(K74&lt;&gt;"",I74&lt;&gt;"Complete"),"CHECK: archived while incomplete","")</f>
        <v/>
      </c>
    </row>
    <row r="75">
      <c r="A75" t="inlineStr">
        <is>
          <t>ARC0074</t>
        </is>
      </c>
      <c r="D75" s="8" t="n"/>
      <c r="F75">
        <f>IF(OR(B75="",C75="",D75="",E75=""),"",B75&amp;"_"&amp;SUBSTITUTE(C75," ","-")&amp;"_"&amp;TEXT(D75,"yyyymmdd")&amp;"_v"&amp;E75)</f>
        <v/>
      </c>
      <c r="I75">
        <f>IF(OR(G75="",H75=""),"",IF(H75&gt;=G75,"Complete","Incomplete"))</f>
        <v/>
      </c>
      <c r="J75">
        <f>IF(B75="","","Retention period per bank policy; not defined in this simulation")</f>
        <v/>
      </c>
      <c r="L75" s="8" t="n"/>
      <c r="M75">
        <f>IF(AND(K75&lt;&gt;"",I75&lt;&gt;"Complete"),"CHECK: archived while incomplete","")</f>
        <v/>
      </c>
    </row>
    <row r="76">
      <c r="A76" t="inlineStr">
        <is>
          <t>ARC0075</t>
        </is>
      </c>
      <c r="D76" s="8" t="n"/>
      <c r="F76">
        <f>IF(OR(B76="",C76="",D76="",E76=""),"",B76&amp;"_"&amp;SUBSTITUTE(C76," ","-")&amp;"_"&amp;TEXT(D76,"yyyymmdd")&amp;"_v"&amp;E76)</f>
        <v/>
      </c>
      <c r="I76">
        <f>IF(OR(G76="",H76=""),"",IF(H76&gt;=G76,"Complete","Incomplete"))</f>
        <v/>
      </c>
      <c r="J76">
        <f>IF(B76="","","Retention period per bank policy; not defined in this simulation")</f>
        <v/>
      </c>
      <c r="L76" s="8" t="n"/>
      <c r="M76">
        <f>IF(AND(K76&lt;&gt;"",I76&lt;&gt;"Complete"),"CHECK: archived while incomplete","")</f>
        <v/>
      </c>
    </row>
    <row r="77">
      <c r="A77" t="inlineStr">
        <is>
          <t>ARC0076</t>
        </is>
      </c>
      <c r="D77" s="8" t="n"/>
      <c r="F77">
        <f>IF(OR(B77="",C77="",D77="",E77=""),"",B77&amp;"_"&amp;SUBSTITUTE(C77," ","-")&amp;"_"&amp;TEXT(D77,"yyyymmdd")&amp;"_v"&amp;E77)</f>
        <v/>
      </c>
      <c r="I77">
        <f>IF(OR(G77="",H77=""),"",IF(H77&gt;=G77,"Complete","Incomplete"))</f>
        <v/>
      </c>
      <c r="J77">
        <f>IF(B77="","","Retention period per bank policy; not defined in this simulation")</f>
        <v/>
      </c>
      <c r="L77" s="8" t="n"/>
      <c r="M77">
        <f>IF(AND(K77&lt;&gt;"",I77&lt;&gt;"Complete"),"CHECK: archived while incomplete","")</f>
        <v/>
      </c>
    </row>
    <row r="78">
      <c r="A78" t="inlineStr">
        <is>
          <t>ARC0077</t>
        </is>
      </c>
      <c r="D78" s="8" t="n"/>
      <c r="F78">
        <f>IF(OR(B78="",C78="",D78="",E78=""),"",B78&amp;"_"&amp;SUBSTITUTE(C78," ","-")&amp;"_"&amp;TEXT(D78,"yyyymmdd")&amp;"_v"&amp;E78)</f>
        <v/>
      </c>
      <c r="I78">
        <f>IF(OR(G78="",H78=""),"",IF(H78&gt;=G78,"Complete","Incomplete"))</f>
        <v/>
      </c>
      <c r="J78">
        <f>IF(B78="","","Retention period per bank policy; not defined in this simulation")</f>
        <v/>
      </c>
      <c r="L78" s="8" t="n"/>
      <c r="M78">
        <f>IF(AND(K78&lt;&gt;"",I78&lt;&gt;"Complete"),"CHECK: archived while incomplete","")</f>
        <v/>
      </c>
    </row>
    <row r="79">
      <c r="A79" t="inlineStr">
        <is>
          <t>ARC0078</t>
        </is>
      </c>
      <c r="D79" s="8" t="n"/>
      <c r="F79">
        <f>IF(OR(B79="",C79="",D79="",E79=""),"",B79&amp;"_"&amp;SUBSTITUTE(C79," ","-")&amp;"_"&amp;TEXT(D79,"yyyymmdd")&amp;"_v"&amp;E79)</f>
        <v/>
      </c>
      <c r="I79">
        <f>IF(OR(G79="",H79=""),"",IF(H79&gt;=G79,"Complete","Incomplete"))</f>
        <v/>
      </c>
      <c r="J79">
        <f>IF(B79="","","Retention period per bank policy; not defined in this simulation")</f>
        <v/>
      </c>
      <c r="L79" s="8" t="n"/>
      <c r="M79">
        <f>IF(AND(K79&lt;&gt;"",I79&lt;&gt;"Complete"),"CHECK: archived while incomplete","")</f>
        <v/>
      </c>
    </row>
    <row r="80">
      <c r="A80" t="inlineStr">
        <is>
          <t>ARC0079</t>
        </is>
      </c>
      <c r="D80" s="8" t="n"/>
      <c r="F80">
        <f>IF(OR(B80="",C80="",D80="",E80=""),"",B80&amp;"_"&amp;SUBSTITUTE(C80," ","-")&amp;"_"&amp;TEXT(D80,"yyyymmdd")&amp;"_v"&amp;E80)</f>
        <v/>
      </c>
      <c r="I80">
        <f>IF(OR(G80="",H80=""),"",IF(H80&gt;=G80,"Complete","Incomplete"))</f>
        <v/>
      </c>
      <c r="J80">
        <f>IF(B80="","","Retention period per bank policy; not defined in this simulation")</f>
        <v/>
      </c>
      <c r="L80" s="8" t="n"/>
      <c r="M80">
        <f>IF(AND(K80&lt;&gt;"",I80&lt;&gt;"Complete"),"CHECK: archived while incomplete","")</f>
        <v/>
      </c>
    </row>
    <row r="81">
      <c r="A81" t="inlineStr">
        <is>
          <t>ARC0080</t>
        </is>
      </c>
      <c r="D81" s="8" t="n"/>
      <c r="F81">
        <f>IF(OR(B81="",C81="",D81="",E81=""),"",B81&amp;"_"&amp;SUBSTITUTE(C81," ","-")&amp;"_"&amp;TEXT(D81,"yyyymmdd")&amp;"_v"&amp;E81)</f>
        <v/>
      </c>
      <c r="I81">
        <f>IF(OR(G81="",H81=""),"",IF(H81&gt;=G81,"Complete","Incomplete"))</f>
        <v/>
      </c>
      <c r="J81">
        <f>IF(B81="","","Retention period per bank policy; not defined in this simulation")</f>
        <v/>
      </c>
      <c r="L81" s="8" t="n"/>
      <c r="M81">
        <f>IF(AND(K81&lt;&gt;"",I81&lt;&gt;"Complete"),"CHECK: archived while incomplete","")</f>
        <v/>
      </c>
    </row>
    <row r="82">
      <c r="A82" t="inlineStr">
        <is>
          <t>ARC0081</t>
        </is>
      </c>
      <c r="D82" s="8" t="n"/>
      <c r="F82">
        <f>IF(OR(B82="",C82="",D82="",E82=""),"",B82&amp;"_"&amp;SUBSTITUTE(C82," ","-")&amp;"_"&amp;TEXT(D82,"yyyymmdd")&amp;"_v"&amp;E82)</f>
        <v/>
      </c>
      <c r="I82">
        <f>IF(OR(G82="",H82=""),"",IF(H82&gt;=G82,"Complete","Incomplete"))</f>
        <v/>
      </c>
      <c r="J82">
        <f>IF(B82="","","Retention period per bank policy; not defined in this simulation")</f>
        <v/>
      </c>
      <c r="L82" s="8" t="n"/>
      <c r="M82">
        <f>IF(AND(K82&lt;&gt;"",I82&lt;&gt;"Complete"),"CHECK: archived while incomplete","")</f>
        <v/>
      </c>
    </row>
    <row r="83">
      <c r="A83" t="inlineStr">
        <is>
          <t>ARC0082</t>
        </is>
      </c>
      <c r="D83" s="8" t="n"/>
      <c r="F83">
        <f>IF(OR(B83="",C83="",D83="",E83=""),"",B83&amp;"_"&amp;SUBSTITUTE(C83," ","-")&amp;"_"&amp;TEXT(D83,"yyyymmdd")&amp;"_v"&amp;E83)</f>
        <v/>
      </c>
      <c r="I83">
        <f>IF(OR(G83="",H83=""),"",IF(H83&gt;=G83,"Complete","Incomplete"))</f>
        <v/>
      </c>
      <c r="J83">
        <f>IF(B83="","","Retention period per bank policy; not defined in this simulation")</f>
        <v/>
      </c>
      <c r="L83" s="8" t="n"/>
      <c r="M83">
        <f>IF(AND(K83&lt;&gt;"",I83&lt;&gt;"Complete"),"CHECK: archived while incomplete","")</f>
        <v/>
      </c>
    </row>
    <row r="84">
      <c r="A84" t="inlineStr">
        <is>
          <t>ARC0083</t>
        </is>
      </c>
      <c r="D84" s="8" t="n"/>
      <c r="F84">
        <f>IF(OR(B84="",C84="",D84="",E84=""),"",B84&amp;"_"&amp;SUBSTITUTE(C84," ","-")&amp;"_"&amp;TEXT(D84,"yyyymmdd")&amp;"_v"&amp;E84)</f>
        <v/>
      </c>
      <c r="I84">
        <f>IF(OR(G84="",H84=""),"",IF(H84&gt;=G84,"Complete","Incomplete"))</f>
        <v/>
      </c>
      <c r="J84">
        <f>IF(B84="","","Retention period per bank policy; not defined in this simulation")</f>
        <v/>
      </c>
      <c r="L84" s="8" t="n"/>
      <c r="M84">
        <f>IF(AND(K84&lt;&gt;"",I84&lt;&gt;"Complete"),"CHECK: archived while incomplete","")</f>
        <v/>
      </c>
    </row>
    <row r="85">
      <c r="A85" t="inlineStr">
        <is>
          <t>ARC0084</t>
        </is>
      </c>
      <c r="D85" s="8" t="n"/>
      <c r="F85">
        <f>IF(OR(B85="",C85="",D85="",E85=""),"",B85&amp;"_"&amp;SUBSTITUTE(C85," ","-")&amp;"_"&amp;TEXT(D85,"yyyymmdd")&amp;"_v"&amp;E85)</f>
        <v/>
      </c>
      <c r="I85">
        <f>IF(OR(G85="",H85=""),"",IF(H85&gt;=G85,"Complete","Incomplete"))</f>
        <v/>
      </c>
      <c r="J85">
        <f>IF(B85="","","Retention period per bank policy; not defined in this simulation")</f>
        <v/>
      </c>
      <c r="L85" s="8" t="n"/>
      <c r="M85">
        <f>IF(AND(K85&lt;&gt;"",I85&lt;&gt;"Complete"),"CHECK: archived while incomplete","")</f>
        <v/>
      </c>
    </row>
    <row r="86">
      <c r="A86" t="inlineStr">
        <is>
          <t>ARC0085</t>
        </is>
      </c>
      <c r="D86" s="8" t="n"/>
      <c r="F86">
        <f>IF(OR(B86="",C86="",D86="",E86=""),"",B86&amp;"_"&amp;SUBSTITUTE(C86," ","-")&amp;"_"&amp;TEXT(D86,"yyyymmdd")&amp;"_v"&amp;E86)</f>
        <v/>
      </c>
      <c r="I86">
        <f>IF(OR(G86="",H86=""),"",IF(H86&gt;=G86,"Complete","Incomplete"))</f>
        <v/>
      </c>
      <c r="J86">
        <f>IF(B86="","","Retention period per bank policy; not defined in this simulation")</f>
        <v/>
      </c>
      <c r="L86" s="8" t="n"/>
      <c r="M86">
        <f>IF(AND(K86&lt;&gt;"",I86&lt;&gt;"Complete"),"CHECK: archived while incomplete","")</f>
        <v/>
      </c>
    </row>
    <row r="87">
      <c r="A87" t="inlineStr">
        <is>
          <t>ARC0086</t>
        </is>
      </c>
      <c r="D87" s="8" t="n"/>
      <c r="F87">
        <f>IF(OR(B87="",C87="",D87="",E87=""),"",B87&amp;"_"&amp;SUBSTITUTE(C87," ","-")&amp;"_"&amp;TEXT(D87,"yyyymmdd")&amp;"_v"&amp;E87)</f>
        <v/>
      </c>
      <c r="I87">
        <f>IF(OR(G87="",H87=""),"",IF(H87&gt;=G87,"Complete","Incomplete"))</f>
        <v/>
      </c>
      <c r="J87">
        <f>IF(B87="","","Retention period per bank policy; not defined in this simulation")</f>
        <v/>
      </c>
      <c r="L87" s="8" t="n"/>
      <c r="M87">
        <f>IF(AND(K87&lt;&gt;"",I87&lt;&gt;"Complete"),"CHECK: archived while incomplete","")</f>
        <v/>
      </c>
    </row>
    <row r="88">
      <c r="A88" t="inlineStr">
        <is>
          <t>ARC0087</t>
        </is>
      </c>
      <c r="D88" s="8" t="n"/>
      <c r="F88">
        <f>IF(OR(B88="",C88="",D88="",E88=""),"",B88&amp;"_"&amp;SUBSTITUTE(C88," ","-")&amp;"_"&amp;TEXT(D88,"yyyymmdd")&amp;"_v"&amp;E88)</f>
        <v/>
      </c>
      <c r="I88">
        <f>IF(OR(G88="",H88=""),"",IF(H88&gt;=G88,"Complete","Incomplete"))</f>
        <v/>
      </c>
      <c r="J88">
        <f>IF(B88="","","Retention period per bank policy; not defined in this simulation")</f>
        <v/>
      </c>
      <c r="L88" s="8" t="n"/>
      <c r="M88">
        <f>IF(AND(K88&lt;&gt;"",I88&lt;&gt;"Complete"),"CHECK: archived while incomplete","")</f>
        <v/>
      </c>
    </row>
    <row r="89">
      <c r="A89" t="inlineStr">
        <is>
          <t>ARC0088</t>
        </is>
      </c>
      <c r="D89" s="8" t="n"/>
      <c r="F89">
        <f>IF(OR(B89="",C89="",D89="",E89=""),"",B89&amp;"_"&amp;SUBSTITUTE(C89," ","-")&amp;"_"&amp;TEXT(D89,"yyyymmdd")&amp;"_v"&amp;E89)</f>
        <v/>
      </c>
      <c r="I89">
        <f>IF(OR(G89="",H89=""),"",IF(H89&gt;=G89,"Complete","Incomplete"))</f>
        <v/>
      </c>
      <c r="J89">
        <f>IF(B89="","","Retention period per bank policy; not defined in this simulation")</f>
        <v/>
      </c>
      <c r="L89" s="8" t="n"/>
      <c r="M89">
        <f>IF(AND(K89&lt;&gt;"",I89&lt;&gt;"Complete"),"CHECK: archived while incomplete","")</f>
        <v/>
      </c>
    </row>
    <row r="90">
      <c r="A90" t="inlineStr">
        <is>
          <t>ARC0089</t>
        </is>
      </c>
      <c r="D90" s="8" t="n"/>
      <c r="F90">
        <f>IF(OR(B90="",C90="",D90="",E90=""),"",B90&amp;"_"&amp;SUBSTITUTE(C90," ","-")&amp;"_"&amp;TEXT(D90,"yyyymmdd")&amp;"_v"&amp;E90)</f>
        <v/>
      </c>
      <c r="I90">
        <f>IF(OR(G90="",H90=""),"",IF(H90&gt;=G90,"Complete","Incomplete"))</f>
        <v/>
      </c>
      <c r="J90">
        <f>IF(B90="","","Retention period per bank policy; not defined in this simulation")</f>
        <v/>
      </c>
      <c r="L90" s="8" t="n"/>
      <c r="M90">
        <f>IF(AND(K90&lt;&gt;"",I90&lt;&gt;"Complete"),"CHECK: archived while incomplete","")</f>
        <v/>
      </c>
    </row>
    <row r="91">
      <c r="A91" t="inlineStr">
        <is>
          <t>ARC0090</t>
        </is>
      </c>
      <c r="D91" s="8" t="n"/>
      <c r="F91">
        <f>IF(OR(B91="",C91="",D91="",E91=""),"",B91&amp;"_"&amp;SUBSTITUTE(C91," ","-")&amp;"_"&amp;TEXT(D91,"yyyymmdd")&amp;"_v"&amp;E91)</f>
        <v/>
      </c>
      <c r="I91">
        <f>IF(OR(G91="",H91=""),"",IF(H91&gt;=G91,"Complete","Incomplete"))</f>
        <v/>
      </c>
      <c r="J91">
        <f>IF(B91="","","Retention period per bank policy; not defined in this simulation")</f>
        <v/>
      </c>
      <c r="L91" s="8" t="n"/>
      <c r="M91">
        <f>IF(AND(K91&lt;&gt;"",I91&lt;&gt;"Complete"),"CHECK: archived while incomplete","")</f>
        <v/>
      </c>
    </row>
    <row r="92">
      <c r="A92" t="inlineStr">
        <is>
          <t>ARC0091</t>
        </is>
      </c>
      <c r="D92" s="8" t="n"/>
      <c r="F92">
        <f>IF(OR(B92="",C92="",D92="",E92=""),"",B92&amp;"_"&amp;SUBSTITUTE(C92," ","-")&amp;"_"&amp;TEXT(D92,"yyyymmdd")&amp;"_v"&amp;E92)</f>
        <v/>
      </c>
      <c r="I92">
        <f>IF(OR(G92="",H92=""),"",IF(H92&gt;=G92,"Complete","Incomplete"))</f>
        <v/>
      </c>
      <c r="J92">
        <f>IF(B92="","","Retention period per bank policy; not defined in this simulation")</f>
        <v/>
      </c>
      <c r="L92" s="8" t="n"/>
      <c r="M92">
        <f>IF(AND(K92&lt;&gt;"",I92&lt;&gt;"Complete"),"CHECK: archived while incomplete","")</f>
        <v/>
      </c>
    </row>
    <row r="93">
      <c r="A93" t="inlineStr">
        <is>
          <t>ARC0092</t>
        </is>
      </c>
      <c r="D93" s="8" t="n"/>
      <c r="F93">
        <f>IF(OR(B93="",C93="",D93="",E93=""),"",B93&amp;"_"&amp;SUBSTITUTE(C93," ","-")&amp;"_"&amp;TEXT(D93,"yyyymmdd")&amp;"_v"&amp;E93)</f>
        <v/>
      </c>
      <c r="I93">
        <f>IF(OR(G93="",H93=""),"",IF(H93&gt;=G93,"Complete","Incomplete"))</f>
        <v/>
      </c>
      <c r="J93">
        <f>IF(B93="","","Retention period per bank policy; not defined in this simulation")</f>
        <v/>
      </c>
      <c r="L93" s="8" t="n"/>
      <c r="M93">
        <f>IF(AND(K93&lt;&gt;"",I93&lt;&gt;"Complete"),"CHECK: archived while incomplete","")</f>
        <v/>
      </c>
    </row>
    <row r="94">
      <c r="A94" t="inlineStr">
        <is>
          <t>ARC0093</t>
        </is>
      </c>
      <c r="D94" s="8" t="n"/>
      <c r="F94">
        <f>IF(OR(B94="",C94="",D94="",E94=""),"",B94&amp;"_"&amp;SUBSTITUTE(C94," ","-")&amp;"_"&amp;TEXT(D94,"yyyymmdd")&amp;"_v"&amp;E94)</f>
        <v/>
      </c>
      <c r="I94">
        <f>IF(OR(G94="",H94=""),"",IF(H94&gt;=G94,"Complete","Incomplete"))</f>
        <v/>
      </c>
      <c r="J94">
        <f>IF(B94="","","Retention period per bank policy; not defined in this simulation")</f>
        <v/>
      </c>
      <c r="L94" s="8" t="n"/>
      <c r="M94">
        <f>IF(AND(K94&lt;&gt;"",I94&lt;&gt;"Complete"),"CHECK: archived while incomplete","")</f>
        <v/>
      </c>
    </row>
    <row r="95">
      <c r="A95" t="inlineStr">
        <is>
          <t>ARC0094</t>
        </is>
      </c>
      <c r="D95" s="8" t="n"/>
      <c r="F95">
        <f>IF(OR(B95="",C95="",D95="",E95=""),"",B95&amp;"_"&amp;SUBSTITUTE(C95," ","-")&amp;"_"&amp;TEXT(D95,"yyyymmdd")&amp;"_v"&amp;E95)</f>
        <v/>
      </c>
      <c r="I95">
        <f>IF(OR(G95="",H95=""),"",IF(H95&gt;=G95,"Complete","Incomplete"))</f>
        <v/>
      </c>
      <c r="J95">
        <f>IF(B95="","","Retention period per bank policy; not defined in this simulation")</f>
        <v/>
      </c>
      <c r="L95" s="8" t="n"/>
      <c r="M95">
        <f>IF(AND(K95&lt;&gt;"",I95&lt;&gt;"Complete"),"CHECK: archived while incomplete","")</f>
        <v/>
      </c>
    </row>
    <row r="96">
      <c r="A96" t="inlineStr">
        <is>
          <t>ARC0095</t>
        </is>
      </c>
      <c r="D96" s="8" t="n"/>
      <c r="F96">
        <f>IF(OR(B96="",C96="",D96="",E96=""),"",B96&amp;"_"&amp;SUBSTITUTE(C96," ","-")&amp;"_"&amp;TEXT(D96,"yyyymmdd")&amp;"_v"&amp;E96)</f>
        <v/>
      </c>
      <c r="I96">
        <f>IF(OR(G96="",H96=""),"",IF(H96&gt;=G96,"Complete","Incomplete"))</f>
        <v/>
      </c>
      <c r="J96">
        <f>IF(B96="","","Retention period per bank policy; not defined in this simulation")</f>
        <v/>
      </c>
      <c r="L96" s="8" t="n"/>
      <c r="M96">
        <f>IF(AND(K96&lt;&gt;"",I96&lt;&gt;"Complete"),"CHECK: archived while incomplete","")</f>
        <v/>
      </c>
    </row>
    <row r="97">
      <c r="A97" t="inlineStr">
        <is>
          <t>ARC0096</t>
        </is>
      </c>
      <c r="D97" s="8" t="n"/>
      <c r="F97">
        <f>IF(OR(B97="",C97="",D97="",E97=""),"",B97&amp;"_"&amp;SUBSTITUTE(C97," ","-")&amp;"_"&amp;TEXT(D97,"yyyymmdd")&amp;"_v"&amp;E97)</f>
        <v/>
      </c>
      <c r="I97">
        <f>IF(OR(G97="",H97=""),"",IF(H97&gt;=G97,"Complete","Incomplete"))</f>
        <v/>
      </c>
      <c r="J97">
        <f>IF(B97="","","Retention period per bank policy; not defined in this simulation")</f>
        <v/>
      </c>
      <c r="L97" s="8" t="n"/>
      <c r="M97">
        <f>IF(AND(K97&lt;&gt;"",I97&lt;&gt;"Complete"),"CHECK: archived while incomplete","")</f>
        <v/>
      </c>
    </row>
    <row r="98">
      <c r="A98" t="inlineStr">
        <is>
          <t>ARC0097</t>
        </is>
      </c>
      <c r="D98" s="8" t="n"/>
      <c r="F98">
        <f>IF(OR(B98="",C98="",D98="",E98=""),"",B98&amp;"_"&amp;SUBSTITUTE(C98," ","-")&amp;"_"&amp;TEXT(D98,"yyyymmdd")&amp;"_v"&amp;E98)</f>
        <v/>
      </c>
      <c r="I98">
        <f>IF(OR(G98="",H98=""),"",IF(H98&gt;=G98,"Complete","Incomplete"))</f>
        <v/>
      </c>
      <c r="J98">
        <f>IF(B98="","","Retention period per bank policy; not defined in this simulation")</f>
        <v/>
      </c>
      <c r="L98" s="8" t="n"/>
      <c r="M98">
        <f>IF(AND(K98&lt;&gt;"",I98&lt;&gt;"Complete"),"CHECK: archived while incomplete","")</f>
        <v/>
      </c>
    </row>
    <row r="99">
      <c r="A99" t="inlineStr">
        <is>
          <t>ARC0098</t>
        </is>
      </c>
      <c r="D99" s="8" t="n"/>
      <c r="F99">
        <f>IF(OR(B99="",C99="",D99="",E99=""),"",B99&amp;"_"&amp;SUBSTITUTE(C99," ","-")&amp;"_"&amp;TEXT(D99,"yyyymmdd")&amp;"_v"&amp;E99)</f>
        <v/>
      </c>
      <c r="I99">
        <f>IF(OR(G99="",H99=""),"",IF(H99&gt;=G99,"Complete","Incomplete"))</f>
        <v/>
      </c>
      <c r="J99">
        <f>IF(B99="","","Retention period per bank policy; not defined in this simulation")</f>
        <v/>
      </c>
      <c r="L99" s="8" t="n"/>
      <c r="M99">
        <f>IF(AND(K99&lt;&gt;"",I99&lt;&gt;"Complete"),"CHECK: archived while incomplete","")</f>
        <v/>
      </c>
    </row>
    <row r="100">
      <c r="A100" t="inlineStr">
        <is>
          <t>ARC0099</t>
        </is>
      </c>
      <c r="D100" s="8" t="n"/>
      <c r="F100">
        <f>IF(OR(B100="",C100="",D100="",E100=""),"",B100&amp;"_"&amp;SUBSTITUTE(C100," ","-")&amp;"_"&amp;TEXT(D100,"yyyymmdd")&amp;"_v"&amp;E100)</f>
        <v/>
      </c>
      <c r="I100">
        <f>IF(OR(G100="",H100=""),"",IF(H100&gt;=G100,"Complete","Incomplete"))</f>
        <v/>
      </c>
      <c r="J100">
        <f>IF(B100="","","Retention period per bank policy; not defined in this simulation")</f>
        <v/>
      </c>
      <c r="L100" s="8" t="n"/>
      <c r="M100">
        <f>IF(AND(K100&lt;&gt;"",I100&lt;&gt;"Complete"),"CHECK: archived while incomplete","")</f>
        <v/>
      </c>
    </row>
    <row r="101">
      <c r="A101" t="inlineStr">
        <is>
          <t>ARC0100</t>
        </is>
      </c>
      <c r="D101" s="8" t="n"/>
      <c r="F101">
        <f>IF(OR(B101="",C101="",D101="",E101=""),"",B101&amp;"_"&amp;SUBSTITUTE(C101," ","-")&amp;"_"&amp;TEXT(D101,"yyyymmdd")&amp;"_v"&amp;E101)</f>
        <v/>
      </c>
      <c r="I101">
        <f>IF(OR(G101="",H101=""),"",IF(H101&gt;=G101,"Complete","Incomplete"))</f>
        <v/>
      </c>
      <c r="J101">
        <f>IF(B101="","","Retention period per bank policy; not defined in this simulation")</f>
        <v/>
      </c>
      <c r="L101" s="8" t="n"/>
      <c r="M101">
        <f>IF(AND(K101&lt;&gt;"",I101&lt;&gt;"Complete"),"CHECK: archived while incomplete","")</f>
        <v/>
      </c>
    </row>
    <row r="102">
      <c r="A102" t="inlineStr">
        <is>
          <t>ARC0101</t>
        </is>
      </c>
      <c r="D102" s="8" t="n"/>
      <c r="F102">
        <f>IF(OR(B102="",C102="",D102="",E102=""),"",B102&amp;"_"&amp;SUBSTITUTE(C102," ","-")&amp;"_"&amp;TEXT(D102,"yyyymmdd")&amp;"_v"&amp;E102)</f>
        <v/>
      </c>
      <c r="I102">
        <f>IF(OR(G102="",H102=""),"",IF(H102&gt;=G102,"Complete","Incomplete"))</f>
        <v/>
      </c>
      <c r="J102">
        <f>IF(B102="","","Retention period per bank policy; not defined in this simulation")</f>
        <v/>
      </c>
      <c r="L102" s="8" t="n"/>
      <c r="M102">
        <f>IF(AND(K102&lt;&gt;"",I102&lt;&gt;"Complete"),"CHECK: archived while incomplete","")</f>
        <v/>
      </c>
    </row>
    <row r="103">
      <c r="A103" t="inlineStr">
        <is>
          <t>ARC0102</t>
        </is>
      </c>
      <c r="D103" s="8" t="n"/>
      <c r="F103">
        <f>IF(OR(B103="",C103="",D103="",E103=""),"",B103&amp;"_"&amp;SUBSTITUTE(C103," ","-")&amp;"_"&amp;TEXT(D103,"yyyymmdd")&amp;"_v"&amp;E103)</f>
        <v/>
      </c>
      <c r="I103">
        <f>IF(OR(G103="",H103=""),"",IF(H103&gt;=G103,"Complete","Incomplete"))</f>
        <v/>
      </c>
      <c r="J103">
        <f>IF(B103="","","Retention period per bank policy; not defined in this simulation")</f>
        <v/>
      </c>
      <c r="L103" s="8" t="n"/>
      <c r="M103">
        <f>IF(AND(K103&lt;&gt;"",I103&lt;&gt;"Complete"),"CHECK: archived while incomplete","")</f>
        <v/>
      </c>
    </row>
    <row r="104">
      <c r="A104" t="inlineStr">
        <is>
          <t>ARC0103</t>
        </is>
      </c>
      <c r="D104" s="8" t="n"/>
      <c r="F104">
        <f>IF(OR(B104="",C104="",D104="",E104=""),"",B104&amp;"_"&amp;SUBSTITUTE(C104," ","-")&amp;"_"&amp;TEXT(D104,"yyyymmdd")&amp;"_v"&amp;E104)</f>
        <v/>
      </c>
      <c r="I104">
        <f>IF(OR(G104="",H104=""),"",IF(H104&gt;=G104,"Complete","Incomplete"))</f>
        <v/>
      </c>
      <c r="J104">
        <f>IF(B104="","","Retention period per bank policy; not defined in this simulation")</f>
        <v/>
      </c>
      <c r="L104" s="8" t="n"/>
      <c r="M104">
        <f>IF(AND(K104&lt;&gt;"",I104&lt;&gt;"Complete"),"CHECK: archived while incomplete","")</f>
        <v/>
      </c>
    </row>
    <row r="105">
      <c r="A105" t="inlineStr">
        <is>
          <t>ARC0104</t>
        </is>
      </c>
      <c r="D105" s="8" t="n"/>
      <c r="F105">
        <f>IF(OR(B105="",C105="",D105="",E105=""),"",B105&amp;"_"&amp;SUBSTITUTE(C105," ","-")&amp;"_"&amp;TEXT(D105,"yyyymmdd")&amp;"_v"&amp;E105)</f>
        <v/>
      </c>
      <c r="I105">
        <f>IF(OR(G105="",H105=""),"",IF(H105&gt;=G105,"Complete","Incomplete"))</f>
        <v/>
      </c>
      <c r="J105">
        <f>IF(B105="","","Retention period per bank policy; not defined in this simulation")</f>
        <v/>
      </c>
      <c r="L105" s="8" t="n"/>
      <c r="M105">
        <f>IF(AND(K105&lt;&gt;"",I105&lt;&gt;"Complete"),"CHECK: archived while incomplete","")</f>
        <v/>
      </c>
    </row>
    <row r="106">
      <c r="A106" t="inlineStr">
        <is>
          <t>ARC0105</t>
        </is>
      </c>
      <c r="D106" s="8" t="n"/>
      <c r="F106">
        <f>IF(OR(B106="",C106="",D106="",E106=""),"",B106&amp;"_"&amp;SUBSTITUTE(C106," ","-")&amp;"_"&amp;TEXT(D106,"yyyymmdd")&amp;"_v"&amp;E106)</f>
        <v/>
      </c>
      <c r="I106">
        <f>IF(OR(G106="",H106=""),"",IF(H106&gt;=G106,"Complete","Incomplete"))</f>
        <v/>
      </c>
      <c r="J106">
        <f>IF(B106="","","Retention period per bank policy; not defined in this simulation")</f>
        <v/>
      </c>
      <c r="L106" s="8" t="n"/>
      <c r="M106">
        <f>IF(AND(K106&lt;&gt;"",I106&lt;&gt;"Complete"),"CHECK: archived while incomplete","")</f>
        <v/>
      </c>
    </row>
    <row r="107">
      <c r="A107" t="inlineStr">
        <is>
          <t>ARC0106</t>
        </is>
      </c>
      <c r="D107" s="8" t="n"/>
      <c r="F107">
        <f>IF(OR(B107="",C107="",D107="",E107=""),"",B107&amp;"_"&amp;SUBSTITUTE(C107," ","-")&amp;"_"&amp;TEXT(D107,"yyyymmdd")&amp;"_v"&amp;E107)</f>
        <v/>
      </c>
      <c r="I107">
        <f>IF(OR(G107="",H107=""),"",IF(H107&gt;=G107,"Complete","Incomplete"))</f>
        <v/>
      </c>
      <c r="J107">
        <f>IF(B107="","","Retention period per bank policy; not defined in this simulation")</f>
        <v/>
      </c>
      <c r="L107" s="8" t="n"/>
      <c r="M107">
        <f>IF(AND(K107&lt;&gt;"",I107&lt;&gt;"Complete"),"CHECK: archived while incomplete","")</f>
        <v/>
      </c>
    </row>
    <row r="108">
      <c r="A108" t="inlineStr">
        <is>
          <t>ARC0107</t>
        </is>
      </c>
      <c r="D108" s="8" t="n"/>
      <c r="F108">
        <f>IF(OR(B108="",C108="",D108="",E108=""),"",B108&amp;"_"&amp;SUBSTITUTE(C108," ","-")&amp;"_"&amp;TEXT(D108,"yyyymmdd")&amp;"_v"&amp;E108)</f>
        <v/>
      </c>
      <c r="I108">
        <f>IF(OR(G108="",H108=""),"",IF(H108&gt;=G108,"Complete","Incomplete"))</f>
        <v/>
      </c>
      <c r="J108">
        <f>IF(B108="","","Retention period per bank policy; not defined in this simulation")</f>
        <v/>
      </c>
      <c r="L108" s="8" t="n"/>
      <c r="M108">
        <f>IF(AND(K108&lt;&gt;"",I108&lt;&gt;"Complete"),"CHECK: archived while incomplete","")</f>
        <v/>
      </c>
    </row>
    <row r="109">
      <c r="A109" t="inlineStr">
        <is>
          <t>ARC0108</t>
        </is>
      </c>
      <c r="D109" s="8" t="n"/>
      <c r="F109">
        <f>IF(OR(B109="",C109="",D109="",E109=""),"",B109&amp;"_"&amp;SUBSTITUTE(C109," ","-")&amp;"_"&amp;TEXT(D109,"yyyymmdd")&amp;"_v"&amp;E109)</f>
        <v/>
      </c>
      <c r="I109">
        <f>IF(OR(G109="",H109=""),"",IF(H109&gt;=G109,"Complete","Incomplete"))</f>
        <v/>
      </c>
      <c r="J109">
        <f>IF(B109="","","Retention period per bank policy; not defined in this simulation")</f>
        <v/>
      </c>
      <c r="L109" s="8" t="n"/>
      <c r="M109">
        <f>IF(AND(K109&lt;&gt;"",I109&lt;&gt;"Complete"),"CHECK: archived while incomplete","")</f>
        <v/>
      </c>
    </row>
    <row r="110">
      <c r="A110" t="inlineStr">
        <is>
          <t>ARC0109</t>
        </is>
      </c>
      <c r="D110" s="8" t="n"/>
      <c r="F110">
        <f>IF(OR(B110="",C110="",D110="",E110=""),"",B110&amp;"_"&amp;SUBSTITUTE(C110," ","-")&amp;"_"&amp;TEXT(D110,"yyyymmdd")&amp;"_v"&amp;E110)</f>
        <v/>
      </c>
      <c r="I110">
        <f>IF(OR(G110="",H110=""),"",IF(H110&gt;=G110,"Complete","Incomplete"))</f>
        <v/>
      </c>
      <c r="J110">
        <f>IF(B110="","","Retention period per bank policy; not defined in this simulation")</f>
        <v/>
      </c>
      <c r="L110" s="8" t="n"/>
      <c r="M110">
        <f>IF(AND(K110&lt;&gt;"",I110&lt;&gt;"Complete"),"CHECK: archived while incomplete","")</f>
        <v/>
      </c>
    </row>
    <row r="111">
      <c r="A111" t="inlineStr">
        <is>
          <t>ARC0110</t>
        </is>
      </c>
      <c r="D111" s="8" t="n"/>
      <c r="F111">
        <f>IF(OR(B111="",C111="",D111="",E111=""),"",B111&amp;"_"&amp;SUBSTITUTE(C111," ","-")&amp;"_"&amp;TEXT(D111,"yyyymmdd")&amp;"_v"&amp;E111)</f>
        <v/>
      </c>
      <c r="I111">
        <f>IF(OR(G111="",H111=""),"",IF(H111&gt;=G111,"Complete","Incomplete"))</f>
        <v/>
      </c>
      <c r="J111">
        <f>IF(B111="","","Retention period per bank policy; not defined in this simulation")</f>
        <v/>
      </c>
      <c r="L111" s="8" t="n"/>
      <c r="M111">
        <f>IF(AND(K111&lt;&gt;"",I111&lt;&gt;"Complete"),"CHECK: archived while incomplete","")</f>
        <v/>
      </c>
    </row>
    <row r="112">
      <c r="A112" t="inlineStr">
        <is>
          <t>ARC0111</t>
        </is>
      </c>
      <c r="D112" s="8" t="n"/>
      <c r="F112">
        <f>IF(OR(B112="",C112="",D112="",E112=""),"",B112&amp;"_"&amp;SUBSTITUTE(C112," ","-")&amp;"_"&amp;TEXT(D112,"yyyymmdd")&amp;"_v"&amp;E112)</f>
        <v/>
      </c>
      <c r="I112">
        <f>IF(OR(G112="",H112=""),"",IF(H112&gt;=G112,"Complete","Incomplete"))</f>
        <v/>
      </c>
      <c r="J112">
        <f>IF(B112="","","Retention period per bank policy; not defined in this simulation")</f>
        <v/>
      </c>
      <c r="L112" s="8" t="n"/>
      <c r="M112">
        <f>IF(AND(K112&lt;&gt;"",I112&lt;&gt;"Complete"),"CHECK: archived while incomplete","")</f>
        <v/>
      </c>
    </row>
    <row r="113">
      <c r="A113" t="inlineStr">
        <is>
          <t>ARC0112</t>
        </is>
      </c>
      <c r="D113" s="8" t="n"/>
      <c r="F113">
        <f>IF(OR(B113="",C113="",D113="",E113=""),"",B113&amp;"_"&amp;SUBSTITUTE(C113," ","-")&amp;"_"&amp;TEXT(D113,"yyyymmdd")&amp;"_v"&amp;E113)</f>
        <v/>
      </c>
      <c r="I113">
        <f>IF(OR(G113="",H113=""),"",IF(H113&gt;=G113,"Complete","Incomplete"))</f>
        <v/>
      </c>
      <c r="J113">
        <f>IF(B113="","","Retention period per bank policy; not defined in this simulation")</f>
        <v/>
      </c>
      <c r="L113" s="8" t="n"/>
      <c r="M113">
        <f>IF(AND(K113&lt;&gt;"",I113&lt;&gt;"Complete"),"CHECK: archived while incomplete","")</f>
        <v/>
      </c>
    </row>
    <row r="114">
      <c r="A114" t="inlineStr">
        <is>
          <t>ARC0113</t>
        </is>
      </c>
      <c r="D114" s="8" t="n"/>
      <c r="F114">
        <f>IF(OR(B114="",C114="",D114="",E114=""),"",B114&amp;"_"&amp;SUBSTITUTE(C114," ","-")&amp;"_"&amp;TEXT(D114,"yyyymmdd")&amp;"_v"&amp;E114)</f>
        <v/>
      </c>
      <c r="I114">
        <f>IF(OR(G114="",H114=""),"",IF(H114&gt;=G114,"Complete","Incomplete"))</f>
        <v/>
      </c>
      <c r="J114">
        <f>IF(B114="","","Retention period per bank policy; not defined in this simulation")</f>
        <v/>
      </c>
      <c r="L114" s="8" t="n"/>
      <c r="M114">
        <f>IF(AND(K114&lt;&gt;"",I114&lt;&gt;"Complete"),"CHECK: archived while incomplete","")</f>
        <v/>
      </c>
    </row>
    <row r="115">
      <c r="A115" t="inlineStr">
        <is>
          <t>ARC0114</t>
        </is>
      </c>
      <c r="D115" s="8" t="n"/>
      <c r="F115">
        <f>IF(OR(B115="",C115="",D115="",E115=""),"",B115&amp;"_"&amp;SUBSTITUTE(C115," ","-")&amp;"_"&amp;TEXT(D115,"yyyymmdd")&amp;"_v"&amp;E115)</f>
        <v/>
      </c>
      <c r="I115">
        <f>IF(OR(G115="",H115=""),"",IF(H115&gt;=G115,"Complete","Incomplete"))</f>
        <v/>
      </c>
      <c r="J115">
        <f>IF(B115="","","Retention period per bank policy; not defined in this simulation")</f>
        <v/>
      </c>
      <c r="L115" s="8" t="n"/>
      <c r="M115">
        <f>IF(AND(K115&lt;&gt;"",I115&lt;&gt;"Complete"),"CHECK: archived while incomplete","")</f>
        <v/>
      </c>
    </row>
    <row r="116">
      <c r="A116" t="inlineStr">
        <is>
          <t>ARC0115</t>
        </is>
      </c>
      <c r="D116" s="8" t="n"/>
      <c r="F116">
        <f>IF(OR(B116="",C116="",D116="",E116=""),"",B116&amp;"_"&amp;SUBSTITUTE(C116," ","-")&amp;"_"&amp;TEXT(D116,"yyyymmdd")&amp;"_v"&amp;E116)</f>
        <v/>
      </c>
      <c r="I116">
        <f>IF(OR(G116="",H116=""),"",IF(H116&gt;=G116,"Complete","Incomplete"))</f>
        <v/>
      </c>
      <c r="J116">
        <f>IF(B116="","","Retention period per bank policy; not defined in this simulation")</f>
        <v/>
      </c>
      <c r="L116" s="8" t="n"/>
      <c r="M116">
        <f>IF(AND(K116&lt;&gt;"",I116&lt;&gt;"Complete"),"CHECK: archived while incomplete","")</f>
        <v/>
      </c>
    </row>
    <row r="117">
      <c r="A117" t="inlineStr">
        <is>
          <t>ARC0116</t>
        </is>
      </c>
      <c r="D117" s="8" t="n"/>
      <c r="F117">
        <f>IF(OR(B117="",C117="",D117="",E117=""),"",B117&amp;"_"&amp;SUBSTITUTE(C117," ","-")&amp;"_"&amp;TEXT(D117,"yyyymmdd")&amp;"_v"&amp;E117)</f>
        <v/>
      </c>
      <c r="I117">
        <f>IF(OR(G117="",H117=""),"",IF(H117&gt;=G117,"Complete","Incomplete"))</f>
        <v/>
      </c>
      <c r="J117">
        <f>IF(B117="","","Retention period per bank policy; not defined in this simulation")</f>
        <v/>
      </c>
      <c r="L117" s="8" t="n"/>
      <c r="M117">
        <f>IF(AND(K117&lt;&gt;"",I117&lt;&gt;"Complete"),"CHECK: archived while incomplete","")</f>
        <v/>
      </c>
    </row>
    <row r="118">
      <c r="A118" t="inlineStr">
        <is>
          <t>ARC0117</t>
        </is>
      </c>
      <c r="D118" s="8" t="n"/>
      <c r="F118">
        <f>IF(OR(B118="",C118="",D118="",E118=""),"",B118&amp;"_"&amp;SUBSTITUTE(C118," ","-")&amp;"_"&amp;TEXT(D118,"yyyymmdd")&amp;"_v"&amp;E118)</f>
        <v/>
      </c>
      <c r="I118">
        <f>IF(OR(G118="",H118=""),"",IF(H118&gt;=G118,"Complete","Incomplete"))</f>
        <v/>
      </c>
      <c r="J118">
        <f>IF(B118="","","Retention period per bank policy; not defined in this simulation")</f>
        <v/>
      </c>
      <c r="L118" s="8" t="n"/>
      <c r="M118">
        <f>IF(AND(K118&lt;&gt;"",I118&lt;&gt;"Complete"),"CHECK: archived while incomplete","")</f>
        <v/>
      </c>
    </row>
    <row r="119">
      <c r="A119" t="inlineStr">
        <is>
          <t>ARC0118</t>
        </is>
      </c>
      <c r="D119" s="8" t="n"/>
      <c r="F119">
        <f>IF(OR(B119="",C119="",D119="",E119=""),"",B119&amp;"_"&amp;SUBSTITUTE(C119," ","-")&amp;"_"&amp;TEXT(D119,"yyyymmdd")&amp;"_v"&amp;E119)</f>
        <v/>
      </c>
      <c r="I119">
        <f>IF(OR(G119="",H119=""),"",IF(H119&gt;=G119,"Complete","Incomplete"))</f>
        <v/>
      </c>
      <c r="J119">
        <f>IF(B119="","","Retention period per bank policy; not defined in this simulation")</f>
        <v/>
      </c>
      <c r="L119" s="8" t="n"/>
      <c r="M119">
        <f>IF(AND(K119&lt;&gt;"",I119&lt;&gt;"Complete"),"CHECK: archived while incomplete","")</f>
        <v/>
      </c>
    </row>
    <row r="120">
      <c r="A120" t="inlineStr">
        <is>
          <t>ARC0119</t>
        </is>
      </c>
      <c r="D120" s="8" t="n"/>
      <c r="F120">
        <f>IF(OR(B120="",C120="",D120="",E120=""),"",B120&amp;"_"&amp;SUBSTITUTE(C120," ","-")&amp;"_"&amp;TEXT(D120,"yyyymmdd")&amp;"_v"&amp;E120)</f>
        <v/>
      </c>
      <c r="I120">
        <f>IF(OR(G120="",H120=""),"",IF(H120&gt;=G120,"Complete","Incomplete"))</f>
        <v/>
      </c>
      <c r="J120">
        <f>IF(B120="","","Retention period per bank policy; not defined in this simulation")</f>
        <v/>
      </c>
      <c r="L120" s="8" t="n"/>
      <c r="M120">
        <f>IF(AND(K120&lt;&gt;"",I120&lt;&gt;"Complete"),"CHECK: archived while incomplete","")</f>
        <v/>
      </c>
    </row>
    <row r="121">
      <c r="A121" t="inlineStr">
        <is>
          <t>ARC0120</t>
        </is>
      </c>
      <c r="D121" s="8" t="n"/>
      <c r="F121">
        <f>IF(OR(B121="",C121="",D121="",E121=""),"",B121&amp;"_"&amp;SUBSTITUTE(C121," ","-")&amp;"_"&amp;TEXT(D121,"yyyymmdd")&amp;"_v"&amp;E121)</f>
        <v/>
      </c>
      <c r="I121">
        <f>IF(OR(G121="",H121=""),"",IF(H121&gt;=G121,"Complete","Incomplete"))</f>
        <v/>
      </c>
      <c r="J121">
        <f>IF(B121="","","Retention period per bank policy; not defined in this simulation")</f>
        <v/>
      </c>
      <c r="L121" s="8" t="n"/>
      <c r="M121">
        <f>IF(AND(K121&lt;&gt;"",I121&lt;&gt;"Complete"),"CHECK: archived while incomplete","")</f>
        <v/>
      </c>
    </row>
    <row r="122">
      <c r="A122" t="inlineStr">
        <is>
          <t>ARC0121</t>
        </is>
      </c>
      <c r="D122" s="8" t="n"/>
      <c r="F122">
        <f>IF(OR(B122="",C122="",D122="",E122=""),"",B122&amp;"_"&amp;SUBSTITUTE(C122," ","-")&amp;"_"&amp;TEXT(D122,"yyyymmdd")&amp;"_v"&amp;E122)</f>
        <v/>
      </c>
      <c r="I122">
        <f>IF(OR(G122="",H122=""),"",IF(H122&gt;=G122,"Complete","Incomplete"))</f>
        <v/>
      </c>
      <c r="J122">
        <f>IF(B122="","","Retention period per bank policy; not defined in this simulation")</f>
        <v/>
      </c>
      <c r="L122" s="8" t="n"/>
      <c r="M122">
        <f>IF(AND(K122&lt;&gt;"",I122&lt;&gt;"Complete"),"CHECK: archived while incomplete","")</f>
        <v/>
      </c>
    </row>
    <row r="123">
      <c r="A123" t="inlineStr">
        <is>
          <t>ARC0122</t>
        </is>
      </c>
      <c r="D123" s="8" t="n"/>
      <c r="F123">
        <f>IF(OR(B123="",C123="",D123="",E123=""),"",B123&amp;"_"&amp;SUBSTITUTE(C123," ","-")&amp;"_"&amp;TEXT(D123,"yyyymmdd")&amp;"_v"&amp;E123)</f>
        <v/>
      </c>
      <c r="I123">
        <f>IF(OR(G123="",H123=""),"",IF(H123&gt;=G123,"Complete","Incomplete"))</f>
        <v/>
      </c>
      <c r="J123">
        <f>IF(B123="","","Retention period per bank policy; not defined in this simulation")</f>
        <v/>
      </c>
      <c r="L123" s="8" t="n"/>
      <c r="M123">
        <f>IF(AND(K123&lt;&gt;"",I123&lt;&gt;"Complete"),"CHECK: archived while incomplete","")</f>
        <v/>
      </c>
    </row>
    <row r="124">
      <c r="A124" t="inlineStr">
        <is>
          <t>ARC0123</t>
        </is>
      </c>
      <c r="D124" s="8" t="n"/>
      <c r="F124">
        <f>IF(OR(B124="",C124="",D124="",E124=""),"",B124&amp;"_"&amp;SUBSTITUTE(C124," ","-")&amp;"_"&amp;TEXT(D124,"yyyymmdd")&amp;"_v"&amp;E124)</f>
        <v/>
      </c>
      <c r="I124">
        <f>IF(OR(G124="",H124=""),"",IF(H124&gt;=G124,"Complete","Incomplete"))</f>
        <v/>
      </c>
      <c r="J124">
        <f>IF(B124="","","Retention period per bank policy; not defined in this simulation")</f>
        <v/>
      </c>
      <c r="L124" s="8" t="n"/>
      <c r="M124">
        <f>IF(AND(K124&lt;&gt;"",I124&lt;&gt;"Complete"),"CHECK: archived while incomplete","")</f>
        <v/>
      </c>
    </row>
    <row r="125">
      <c r="A125" t="inlineStr">
        <is>
          <t>ARC0124</t>
        </is>
      </c>
      <c r="D125" s="8" t="n"/>
      <c r="F125">
        <f>IF(OR(B125="",C125="",D125="",E125=""),"",B125&amp;"_"&amp;SUBSTITUTE(C125," ","-")&amp;"_"&amp;TEXT(D125,"yyyymmdd")&amp;"_v"&amp;E125)</f>
        <v/>
      </c>
      <c r="I125">
        <f>IF(OR(G125="",H125=""),"",IF(H125&gt;=G125,"Complete","Incomplete"))</f>
        <v/>
      </c>
      <c r="J125">
        <f>IF(B125="","","Retention period per bank policy; not defined in this simulation")</f>
        <v/>
      </c>
      <c r="L125" s="8" t="n"/>
      <c r="M125">
        <f>IF(AND(K125&lt;&gt;"",I125&lt;&gt;"Complete"),"CHECK: archived while incomplete","")</f>
        <v/>
      </c>
    </row>
    <row r="126">
      <c r="A126" t="inlineStr">
        <is>
          <t>ARC0125</t>
        </is>
      </c>
      <c r="D126" s="8" t="n"/>
      <c r="F126">
        <f>IF(OR(B126="",C126="",D126="",E126=""),"",B126&amp;"_"&amp;SUBSTITUTE(C126," ","-")&amp;"_"&amp;TEXT(D126,"yyyymmdd")&amp;"_v"&amp;E126)</f>
        <v/>
      </c>
      <c r="I126">
        <f>IF(OR(G126="",H126=""),"",IF(H126&gt;=G126,"Complete","Incomplete"))</f>
        <v/>
      </c>
      <c r="J126">
        <f>IF(B126="","","Retention period per bank policy; not defined in this simulation")</f>
        <v/>
      </c>
      <c r="L126" s="8" t="n"/>
      <c r="M126">
        <f>IF(AND(K126&lt;&gt;"",I126&lt;&gt;"Complete"),"CHECK: archived while incomplete","")</f>
        <v/>
      </c>
    </row>
    <row r="127">
      <c r="A127" t="inlineStr">
        <is>
          <t>ARC0126</t>
        </is>
      </c>
      <c r="D127" s="8" t="n"/>
      <c r="F127">
        <f>IF(OR(B127="",C127="",D127="",E127=""),"",B127&amp;"_"&amp;SUBSTITUTE(C127," ","-")&amp;"_"&amp;TEXT(D127,"yyyymmdd")&amp;"_v"&amp;E127)</f>
        <v/>
      </c>
      <c r="I127">
        <f>IF(OR(G127="",H127=""),"",IF(H127&gt;=G127,"Complete","Incomplete"))</f>
        <v/>
      </c>
      <c r="J127">
        <f>IF(B127="","","Retention period per bank policy; not defined in this simulation")</f>
        <v/>
      </c>
      <c r="L127" s="8" t="n"/>
      <c r="M127">
        <f>IF(AND(K127&lt;&gt;"",I127&lt;&gt;"Complete"),"CHECK: archived while incomplete","")</f>
        <v/>
      </c>
    </row>
    <row r="128">
      <c r="A128" t="inlineStr">
        <is>
          <t>ARC0127</t>
        </is>
      </c>
      <c r="D128" s="8" t="n"/>
      <c r="F128">
        <f>IF(OR(B128="",C128="",D128="",E128=""),"",B128&amp;"_"&amp;SUBSTITUTE(C128," ","-")&amp;"_"&amp;TEXT(D128,"yyyymmdd")&amp;"_v"&amp;E128)</f>
        <v/>
      </c>
      <c r="I128">
        <f>IF(OR(G128="",H128=""),"",IF(H128&gt;=G128,"Complete","Incomplete"))</f>
        <v/>
      </c>
      <c r="J128">
        <f>IF(B128="","","Retention period per bank policy; not defined in this simulation")</f>
        <v/>
      </c>
      <c r="L128" s="8" t="n"/>
      <c r="M128">
        <f>IF(AND(K128&lt;&gt;"",I128&lt;&gt;"Complete"),"CHECK: archived while incomplete","")</f>
        <v/>
      </c>
    </row>
    <row r="129">
      <c r="A129" t="inlineStr">
        <is>
          <t>ARC0128</t>
        </is>
      </c>
      <c r="D129" s="8" t="n"/>
      <c r="F129">
        <f>IF(OR(B129="",C129="",D129="",E129=""),"",B129&amp;"_"&amp;SUBSTITUTE(C129," ","-")&amp;"_"&amp;TEXT(D129,"yyyymmdd")&amp;"_v"&amp;E129)</f>
        <v/>
      </c>
      <c r="I129">
        <f>IF(OR(G129="",H129=""),"",IF(H129&gt;=G129,"Complete","Incomplete"))</f>
        <v/>
      </c>
      <c r="J129">
        <f>IF(B129="","","Retention period per bank policy; not defined in this simulation")</f>
        <v/>
      </c>
      <c r="L129" s="8" t="n"/>
      <c r="M129">
        <f>IF(AND(K129&lt;&gt;"",I129&lt;&gt;"Complete"),"CHECK: archived while incomplete","")</f>
        <v/>
      </c>
    </row>
    <row r="130">
      <c r="A130" t="inlineStr">
        <is>
          <t>ARC0129</t>
        </is>
      </c>
      <c r="D130" s="8" t="n"/>
      <c r="F130">
        <f>IF(OR(B130="",C130="",D130="",E130=""),"",B130&amp;"_"&amp;SUBSTITUTE(C130," ","-")&amp;"_"&amp;TEXT(D130,"yyyymmdd")&amp;"_v"&amp;E130)</f>
        <v/>
      </c>
      <c r="I130">
        <f>IF(OR(G130="",H130=""),"",IF(H130&gt;=G130,"Complete","Incomplete"))</f>
        <v/>
      </c>
      <c r="J130">
        <f>IF(B130="","","Retention period per bank policy; not defined in this simulation")</f>
        <v/>
      </c>
      <c r="L130" s="8" t="n"/>
      <c r="M130">
        <f>IF(AND(K130&lt;&gt;"",I130&lt;&gt;"Complete"),"CHECK: archived while incomplete","")</f>
        <v/>
      </c>
    </row>
    <row r="131">
      <c r="A131" t="inlineStr">
        <is>
          <t>ARC0130</t>
        </is>
      </c>
      <c r="D131" s="8" t="n"/>
      <c r="F131">
        <f>IF(OR(B131="",C131="",D131="",E131=""),"",B131&amp;"_"&amp;SUBSTITUTE(C131," ","-")&amp;"_"&amp;TEXT(D131,"yyyymmdd")&amp;"_v"&amp;E131)</f>
        <v/>
      </c>
      <c r="I131">
        <f>IF(OR(G131="",H131=""),"",IF(H131&gt;=G131,"Complete","Incomplete"))</f>
        <v/>
      </c>
      <c r="J131">
        <f>IF(B131="","","Retention period per bank policy; not defined in this simulation")</f>
        <v/>
      </c>
      <c r="L131" s="8" t="n"/>
      <c r="M131">
        <f>IF(AND(K131&lt;&gt;"",I131&lt;&gt;"Complete"),"CHECK: archived while incomplete","")</f>
        <v/>
      </c>
    </row>
    <row r="132">
      <c r="A132" t="inlineStr">
        <is>
          <t>ARC0131</t>
        </is>
      </c>
      <c r="D132" s="8" t="n"/>
      <c r="F132">
        <f>IF(OR(B132="",C132="",D132="",E132=""),"",B132&amp;"_"&amp;SUBSTITUTE(C132," ","-")&amp;"_"&amp;TEXT(D132,"yyyymmdd")&amp;"_v"&amp;E132)</f>
        <v/>
      </c>
      <c r="I132">
        <f>IF(OR(G132="",H132=""),"",IF(H132&gt;=G132,"Complete","Incomplete"))</f>
        <v/>
      </c>
      <c r="J132">
        <f>IF(B132="","","Retention period per bank policy; not defined in this simulation")</f>
        <v/>
      </c>
      <c r="L132" s="8" t="n"/>
      <c r="M132">
        <f>IF(AND(K132&lt;&gt;"",I132&lt;&gt;"Complete"),"CHECK: archived while incomplete","")</f>
        <v/>
      </c>
    </row>
    <row r="133">
      <c r="A133" t="inlineStr">
        <is>
          <t>ARC0132</t>
        </is>
      </c>
      <c r="D133" s="8" t="n"/>
      <c r="F133">
        <f>IF(OR(B133="",C133="",D133="",E133=""),"",B133&amp;"_"&amp;SUBSTITUTE(C133," ","-")&amp;"_"&amp;TEXT(D133,"yyyymmdd")&amp;"_v"&amp;E133)</f>
        <v/>
      </c>
      <c r="I133">
        <f>IF(OR(G133="",H133=""),"",IF(H133&gt;=G133,"Complete","Incomplete"))</f>
        <v/>
      </c>
      <c r="J133">
        <f>IF(B133="","","Retention period per bank policy; not defined in this simulation")</f>
        <v/>
      </c>
      <c r="L133" s="8" t="n"/>
      <c r="M133">
        <f>IF(AND(K133&lt;&gt;"",I133&lt;&gt;"Complete"),"CHECK: archived while incomplete","")</f>
        <v/>
      </c>
    </row>
    <row r="134">
      <c r="A134" t="inlineStr">
        <is>
          <t>ARC0133</t>
        </is>
      </c>
      <c r="D134" s="8" t="n"/>
      <c r="F134">
        <f>IF(OR(B134="",C134="",D134="",E134=""),"",B134&amp;"_"&amp;SUBSTITUTE(C134," ","-")&amp;"_"&amp;TEXT(D134,"yyyymmdd")&amp;"_v"&amp;E134)</f>
        <v/>
      </c>
      <c r="I134">
        <f>IF(OR(G134="",H134=""),"",IF(H134&gt;=G134,"Complete","Incomplete"))</f>
        <v/>
      </c>
      <c r="J134">
        <f>IF(B134="","","Retention period per bank policy; not defined in this simulation")</f>
        <v/>
      </c>
      <c r="L134" s="8" t="n"/>
      <c r="M134">
        <f>IF(AND(K134&lt;&gt;"",I134&lt;&gt;"Complete"),"CHECK: archived while incomplete","")</f>
        <v/>
      </c>
    </row>
    <row r="135">
      <c r="A135" t="inlineStr">
        <is>
          <t>ARC0134</t>
        </is>
      </c>
      <c r="D135" s="8" t="n"/>
      <c r="F135">
        <f>IF(OR(B135="",C135="",D135="",E135=""),"",B135&amp;"_"&amp;SUBSTITUTE(C135," ","-")&amp;"_"&amp;TEXT(D135,"yyyymmdd")&amp;"_v"&amp;E135)</f>
        <v/>
      </c>
      <c r="I135">
        <f>IF(OR(G135="",H135=""),"",IF(H135&gt;=G135,"Complete","Incomplete"))</f>
        <v/>
      </c>
      <c r="J135">
        <f>IF(B135="","","Retention period per bank policy; not defined in this simulation")</f>
        <v/>
      </c>
      <c r="L135" s="8" t="n"/>
      <c r="M135">
        <f>IF(AND(K135&lt;&gt;"",I135&lt;&gt;"Complete"),"CHECK: archived while incomplete","")</f>
        <v/>
      </c>
    </row>
    <row r="136">
      <c r="A136" t="inlineStr">
        <is>
          <t>ARC0135</t>
        </is>
      </c>
      <c r="D136" s="8" t="n"/>
      <c r="F136">
        <f>IF(OR(B136="",C136="",D136="",E136=""),"",B136&amp;"_"&amp;SUBSTITUTE(C136," ","-")&amp;"_"&amp;TEXT(D136,"yyyymmdd")&amp;"_v"&amp;E136)</f>
        <v/>
      </c>
      <c r="I136">
        <f>IF(OR(G136="",H136=""),"",IF(H136&gt;=G136,"Complete","Incomplete"))</f>
        <v/>
      </c>
      <c r="J136">
        <f>IF(B136="","","Retention period per bank policy; not defined in this simulation")</f>
        <v/>
      </c>
      <c r="L136" s="8" t="n"/>
      <c r="M136">
        <f>IF(AND(K136&lt;&gt;"",I136&lt;&gt;"Complete"),"CHECK: archived while incomplete","")</f>
        <v/>
      </c>
    </row>
    <row r="137">
      <c r="A137" t="inlineStr">
        <is>
          <t>ARC0136</t>
        </is>
      </c>
      <c r="D137" s="8" t="n"/>
      <c r="F137">
        <f>IF(OR(B137="",C137="",D137="",E137=""),"",B137&amp;"_"&amp;SUBSTITUTE(C137," ","-")&amp;"_"&amp;TEXT(D137,"yyyymmdd")&amp;"_v"&amp;E137)</f>
        <v/>
      </c>
      <c r="I137">
        <f>IF(OR(G137="",H137=""),"",IF(H137&gt;=G137,"Complete","Incomplete"))</f>
        <v/>
      </c>
      <c r="J137">
        <f>IF(B137="","","Retention period per bank policy; not defined in this simulation")</f>
        <v/>
      </c>
      <c r="L137" s="8" t="n"/>
      <c r="M137">
        <f>IF(AND(K137&lt;&gt;"",I137&lt;&gt;"Complete"),"CHECK: archived while incomplete","")</f>
        <v/>
      </c>
    </row>
    <row r="138">
      <c r="A138" t="inlineStr">
        <is>
          <t>ARC0137</t>
        </is>
      </c>
      <c r="D138" s="8" t="n"/>
      <c r="F138">
        <f>IF(OR(B138="",C138="",D138="",E138=""),"",B138&amp;"_"&amp;SUBSTITUTE(C138," ","-")&amp;"_"&amp;TEXT(D138,"yyyymmdd")&amp;"_v"&amp;E138)</f>
        <v/>
      </c>
      <c r="I138">
        <f>IF(OR(G138="",H138=""),"",IF(H138&gt;=G138,"Complete","Incomplete"))</f>
        <v/>
      </c>
      <c r="J138">
        <f>IF(B138="","","Retention period per bank policy; not defined in this simulation")</f>
        <v/>
      </c>
      <c r="L138" s="8" t="n"/>
      <c r="M138">
        <f>IF(AND(K138&lt;&gt;"",I138&lt;&gt;"Complete"),"CHECK: archived while incomplete","")</f>
        <v/>
      </c>
    </row>
    <row r="139">
      <c r="A139" t="inlineStr">
        <is>
          <t>ARC0138</t>
        </is>
      </c>
      <c r="D139" s="8" t="n"/>
      <c r="F139">
        <f>IF(OR(B139="",C139="",D139="",E139=""),"",B139&amp;"_"&amp;SUBSTITUTE(C139," ","-")&amp;"_"&amp;TEXT(D139,"yyyymmdd")&amp;"_v"&amp;E139)</f>
        <v/>
      </c>
      <c r="I139">
        <f>IF(OR(G139="",H139=""),"",IF(H139&gt;=G139,"Complete","Incomplete"))</f>
        <v/>
      </c>
      <c r="J139">
        <f>IF(B139="","","Retention period per bank policy; not defined in this simulation")</f>
        <v/>
      </c>
      <c r="L139" s="8" t="n"/>
      <c r="M139">
        <f>IF(AND(K139&lt;&gt;"",I139&lt;&gt;"Complete"),"CHECK: archived while incomplete","")</f>
        <v/>
      </c>
    </row>
    <row r="140">
      <c r="A140" t="inlineStr">
        <is>
          <t>ARC0139</t>
        </is>
      </c>
      <c r="D140" s="8" t="n"/>
      <c r="F140">
        <f>IF(OR(B140="",C140="",D140="",E140=""),"",B140&amp;"_"&amp;SUBSTITUTE(C140," ","-")&amp;"_"&amp;TEXT(D140,"yyyymmdd")&amp;"_v"&amp;E140)</f>
        <v/>
      </c>
      <c r="I140">
        <f>IF(OR(G140="",H140=""),"",IF(H140&gt;=G140,"Complete","Incomplete"))</f>
        <v/>
      </c>
      <c r="J140">
        <f>IF(B140="","","Retention period per bank policy; not defined in this simulation")</f>
        <v/>
      </c>
      <c r="L140" s="8" t="n"/>
      <c r="M140">
        <f>IF(AND(K140&lt;&gt;"",I140&lt;&gt;"Complete"),"CHECK: archived while incomplete","")</f>
        <v/>
      </c>
    </row>
    <row r="141">
      <c r="A141" t="inlineStr">
        <is>
          <t>ARC0140</t>
        </is>
      </c>
      <c r="D141" s="8" t="n"/>
      <c r="F141">
        <f>IF(OR(B141="",C141="",D141="",E141=""),"",B141&amp;"_"&amp;SUBSTITUTE(C141," ","-")&amp;"_"&amp;TEXT(D141,"yyyymmdd")&amp;"_v"&amp;E141)</f>
        <v/>
      </c>
      <c r="I141">
        <f>IF(OR(G141="",H141=""),"",IF(H141&gt;=G141,"Complete","Incomplete"))</f>
        <v/>
      </c>
      <c r="J141">
        <f>IF(B141="","","Retention period per bank policy; not defined in this simulation")</f>
        <v/>
      </c>
      <c r="L141" s="8" t="n"/>
      <c r="M141">
        <f>IF(AND(K141&lt;&gt;"",I141&lt;&gt;"Complete"),"CHECK: archived while incomplete","")</f>
        <v/>
      </c>
    </row>
    <row r="142">
      <c r="A142" t="inlineStr">
        <is>
          <t>ARC0141</t>
        </is>
      </c>
      <c r="D142" s="8" t="n"/>
      <c r="F142">
        <f>IF(OR(B142="",C142="",D142="",E142=""),"",B142&amp;"_"&amp;SUBSTITUTE(C142," ","-")&amp;"_"&amp;TEXT(D142,"yyyymmdd")&amp;"_v"&amp;E142)</f>
        <v/>
      </c>
      <c r="I142">
        <f>IF(OR(G142="",H142=""),"",IF(H142&gt;=G142,"Complete","Incomplete"))</f>
        <v/>
      </c>
      <c r="J142">
        <f>IF(B142="","","Retention period per bank policy; not defined in this simulation")</f>
        <v/>
      </c>
      <c r="L142" s="8" t="n"/>
      <c r="M142">
        <f>IF(AND(K142&lt;&gt;"",I142&lt;&gt;"Complete"),"CHECK: archived while incomplete","")</f>
        <v/>
      </c>
    </row>
    <row r="143">
      <c r="A143" t="inlineStr">
        <is>
          <t>ARC0142</t>
        </is>
      </c>
      <c r="D143" s="8" t="n"/>
      <c r="F143">
        <f>IF(OR(B143="",C143="",D143="",E143=""),"",B143&amp;"_"&amp;SUBSTITUTE(C143," ","-")&amp;"_"&amp;TEXT(D143,"yyyymmdd")&amp;"_v"&amp;E143)</f>
        <v/>
      </c>
      <c r="I143">
        <f>IF(OR(G143="",H143=""),"",IF(H143&gt;=G143,"Complete","Incomplete"))</f>
        <v/>
      </c>
      <c r="J143">
        <f>IF(B143="","","Retention period per bank policy; not defined in this simulation")</f>
        <v/>
      </c>
      <c r="L143" s="8" t="n"/>
      <c r="M143">
        <f>IF(AND(K143&lt;&gt;"",I143&lt;&gt;"Complete"),"CHECK: archived while incomplete","")</f>
        <v/>
      </c>
    </row>
    <row r="144">
      <c r="A144" t="inlineStr">
        <is>
          <t>ARC0143</t>
        </is>
      </c>
      <c r="D144" s="8" t="n"/>
      <c r="F144">
        <f>IF(OR(B144="",C144="",D144="",E144=""),"",B144&amp;"_"&amp;SUBSTITUTE(C144," ","-")&amp;"_"&amp;TEXT(D144,"yyyymmdd")&amp;"_v"&amp;E144)</f>
        <v/>
      </c>
      <c r="I144">
        <f>IF(OR(G144="",H144=""),"",IF(H144&gt;=G144,"Complete","Incomplete"))</f>
        <v/>
      </c>
      <c r="J144">
        <f>IF(B144="","","Retention period per bank policy; not defined in this simulation")</f>
        <v/>
      </c>
      <c r="L144" s="8" t="n"/>
      <c r="M144">
        <f>IF(AND(K144&lt;&gt;"",I144&lt;&gt;"Complete"),"CHECK: archived while incomplete","")</f>
        <v/>
      </c>
    </row>
    <row r="145">
      <c r="A145" t="inlineStr">
        <is>
          <t>ARC0144</t>
        </is>
      </c>
      <c r="D145" s="8" t="n"/>
      <c r="F145">
        <f>IF(OR(B145="",C145="",D145="",E145=""),"",B145&amp;"_"&amp;SUBSTITUTE(C145," ","-")&amp;"_"&amp;TEXT(D145,"yyyymmdd")&amp;"_v"&amp;E145)</f>
        <v/>
      </c>
      <c r="I145">
        <f>IF(OR(G145="",H145=""),"",IF(H145&gt;=G145,"Complete","Incomplete"))</f>
        <v/>
      </c>
      <c r="J145">
        <f>IF(B145="","","Retention period per bank policy; not defined in this simulation")</f>
        <v/>
      </c>
      <c r="L145" s="8" t="n"/>
      <c r="M145">
        <f>IF(AND(K145&lt;&gt;"",I145&lt;&gt;"Complete"),"CHECK: archived while incomplete","")</f>
        <v/>
      </c>
    </row>
    <row r="146">
      <c r="A146" t="inlineStr">
        <is>
          <t>ARC0145</t>
        </is>
      </c>
      <c r="D146" s="8" t="n"/>
      <c r="F146">
        <f>IF(OR(B146="",C146="",D146="",E146=""),"",B146&amp;"_"&amp;SUBSTITUTE(C146," ","-")&amp;"_"&amp;TEXT(D146,"yyyymmdd")&amp;"_v"&amp;E146)</f>
        <v/>
      </c>
      <c r="I146">
        <f>IF(OR(G146="",H146=""),"",IF(H146&gt;=G146,"Complete","Incomplete"))</f>
        <v/>
      </c>
      <c r="J146">
        <f>IF(B146="","","Retention period per bank policy; not defined in this simulation")</f>
        <v/>
      </c>
      <c r="L146" s="8" t="n"/>
      <c r="M146">
        <f>IF(AND(K146&lt;&gt;"",I146&lt;&gt;"Complete"),"CHECK: archived while incomplete","")</f>
        <v/>
      </c>
    </row>
    <row r="147">
      <c r="A147" t="inlineStr">
        <is>
          <t>ARC0146</t>
        </is>
      </c>
      <c r="D147" s="8" t="n"/>
      <c r="F147">
        <f>IF(OR(B147="",C147="",D147="",E147=""),"",B147&amp;"_"&amp;SUBSTITUTE(C147," ","-")&amp;"_"&amp;TEXT(D147,"yyyymmdd")&amp;"_v"&amp;E147)</f>
        <v/>
      </c>
      <c r="I147">
        <f>IF(OR(G147="",H147=""),"",IF(H147&gt;=G147,"Complete","Incomplete"))</f>
        <v/>
      </c>
      <c r="J147">
        <f>IF(B147="","","Retention period per bank policy; not defined in this simulation")</f>
        <v/>
      </c>
      <c r="L147" s="8" t="n"/>
      <c r="M147">
        <f>IF(AND(K147&lt;&gt;"",I147&lt;&gt;"Complete"),"CHECK: archived while incomplete","")</f>
        <v/>
      </c>
    </row>
    <row r="148">
      <c r="A148" t="inlineStr">
        <is>
          <t>ARC0147</t>
        </is>
      </c>
      <c r="D148" s="8" t="n"/>
      <c r="F148">
        <f>IF(OR(B148="",C148="",D148="",E148=""),"",B148&amp;"_"&amp;SUBSTITUTE(C148," ","-")&amp;"_"&amp;TEXT(D148,"yyyymmdd")&amp;"_v"&amp;E148)</f>
        <v/>
      </c>
      <c r="I148">
        <f>IF(OR(G148="",H148=""),"",IF(H148&gt;=G148,"Complete","Incomplete"))</f>
        <v/>
      </c>
      <c r="J148">
        <f>IF(B148="","","Retention period per bank policy; not defined in this simulation")</f>
        <v/>
      </c>
      <c r="L148" s="8" t="n"/>
      <c r="M148">
        <f>IF(AND(K148&lt;&gt;"",I148&lt;&gt;"Complete"),"CHECK: archived while incomplete","")</f>
        <v/>
      </c>
    </row>
    <row r="149">
      <c r="A149" t="inlineStr">
        <is>
          <t>ARC0148</t>
        </is>
      </c>
      <c r="D149" s="8" t="n"/>
      <c r="F149">
        <f>IF(OR(B149="",C149="",D149="",E149=""),"",B149&amp;"_"&amp;SUBSTITUTE(C149," ","-")&amp;"_"&amp;TEXT(D149,"yyyymmdd")&amp;"_v"&amp;E149)</f>
        <v/>
      </c>
      <c r="I149">
        <f>IF(OR(G149="",H149=""),"",IF(H149&gt;=G149,"Complete","Incomplete"))</f>
        <v/>
      </c>
      <c r="J149">
        <f>IF(B149="","","Retention period per bank policy; not defined in this simulation")</f>
        <v/>
      </c>
      <c r="L149" s="8" t="n"/>
      <c r="M149">
        <f>IF(AND(K149&lt;&gt;"",I149&lt;&gt;"Complete"),"CHECK: archived while incomplete","")</f>
        <v/>
      </c>
    </row>
    <row r="150">
      <c r="A150" t="inlineStr">
        <is>
          <t>ARC0149</t>
        </is>
      </c>
      <c r="D150" s="8" t="n"/>
      <c r="F150">
        <f>IF(OR(B150="",C150="",D150="",E150=""),"",B150&amp;"_"&amp;SUBSTITUTE(C150," ","-")&amp;"_"&amp;TEXT(D150,"yyyymmdd")&amp;"_v"&amp;E150)</f>
        <v/>
      </c>
      <c r="I150">
        <f>IF(OR(G150="",H150=""),"",IF(H150&gt;=G150,"Complete","Incomplete"))</f>
        <v/>
      </c>
      <c r="J150">
        <f>IF(B150="","","Retention period per bank policy; not defined in this simulation")</f>
        <v/>
      </c>
      <c r="L150" s="8" t="n"/>
      <c r="M150">
        <f>IF(AND(K150&lt;&gt;"",I150&lt;&gt;"Complete"),"CHECK: archived while incomplete","")</f>
        <v/>
      </c>
    </row>
    <row r="151">
      <c r="A151" t="inlineStr">
        <is>
          <t>ARC0150</t>
        </is>
      </c>
      <c r="D151" s="8" t="n"/>
      <c r="F151">
        <f>IF(OR(B151="",C151="",D151="",E151=""),"",B151&amp;"_"&amp;SUBSTITUTE(C151," ","-")&amp;"_"&amp;TEXT(D151,"yyyymmdd")&amp;"_v"&amp;E151)</f>
        <v/>
      </c>
      <c r="I151">
        <f>IF(OR(G151="",H151=""),"",IF(H151&gt;=G151,"Complete","Incomplete"))</f>
        <v/>
      </c>
      <c r="J151">
        <f>IF(B151="","","Retention period per bank policy; not defined in this simulation")</f>
        <v/>
      </c>
      <c r="L151" s="8" t="n"/>
      <c r="M151">
        <f>IF(AND(K151&lt;&gt;"",I151&lt;&gt;"Complete"),"CHECK: archived while incomplete","")</f>
        <v/>
      </c>
    </row>
    <row r="152">
      <c r="A152" t="inlineStr">
        <is>
          <t>ARC0151</t>
        </is>
      </c>
      <c r="D152" s="8" t="n"/>
      <c r="F152">
        <f>IF(OR(B152="",C152="",D152="",E152=""),"",B152&amp;"_"&amp;SUBSTITUTE(C152," ","-")&amp;"_"&amp;TEXT(D152,"yyyymmdd")&amp;"_v"&amp;E152)</f>
        <v/>
      </c>
      <c r="I152">
        <f>IF(OR(G152="",H152=""),"",IF(H152&gt;=G152,"Complete","Incomplete"))</f>
        <v/>
      </c>
      <c r="J152">
        <f>IF(B152="","","Retention period per bank policy; not defined in this simulation")</f>
        <v/>
      </c>
      <c r="L152" s="8" t="n"/>
      <c r="M152">
        <f>IF(AND(K152&lt;&gt;"",I152&lt;&gt;"Complete"),"CHECK: archived while incomplete","")</f>
        <v/>
      </c>
    </row>
    <row r="153">
      <c r="A153" t="inlineStr">
        <is>
          <t>ARC0152</t>
        </is>
      </c>
      <c r="D153" s="8" t="n"/>
      <c r="F153">
        <f>IF(OR(B153="",C153="",D153="",E153=""),"",B153&amp;"_"&amp;SUBSTITUTE(C153," ","-")&amp;"_"&amp;TEXT(D153,"yyyymmdd")&amp;"_v"&amp;E153)</f>
        <v/>
      </c>
      <c r="I153">
        <f>IF(OR(G153="",H153=""),"",IF(H153&gt;=G153,"Complete","Incomplete"))</f>
        <v/>
      </c>
      <c r="J153">
        <f>IF(B153="","","Retention period per bank policy; not defined in this simulation")</f>
        <v/>
      </c>
      <c r="L153" s="8" t="n"/>
      <c r="M153">
        <f>IF(AND(K153&lt;&gt;"",I153&lt;&gt;"Complete"),"CHECK: archived while incomplete","")</f>
        <v/>
      </c>
    </row>
    <row r="154">
      <c r="A154" t="inlineStr">
        <is>
          <t>ARC0153</t>
        </is>
      </c>
      <c r="D154" s="8" t="n"/>
      <c r="F154">
        <f>IF(OR(B154="",C154="",D154="",E154=""),"",B154&amp;"_"&amp;SUBSTITUTE(C154," ","-")&amp;"_"&amp;TEXT(D154,"yyyymmdd")&amp;"_v"&amp;E154)</f>
        <v/>
      </c>
      <c r="I154">
        <f>IF(OR(G154="",H154=""),"",IF(H154&gt;=G154,"Complete","Incomplete"))</f>
        <v/>
      </c>
      <c r="J154">
        <f>IF(B154="","","Retention period per bank policy; not defined in this simulation")</f>
        <v/>
      </c>
      <c r="L154" s="8" t="n"/>
      <c r="M154">
        <f>IF(AND(K154&lt;&gt;"",I154&lt;&gt;"Complete"),"CHECK: archived while incomplete","")</f>
        <v/>
      </c>
    </row>
    <row r="155">
      <c r="A155" t="inlineStr">
        <is>
          <t>ARC0154</t>
        </is>
      </c>
      <c r="D155" s="8" t="n"/>
      <c r="F155">
        <f>IF(OR(B155="",C155="",D155="",E155=""),"",B155&amp;"_"&amp;SUBSTITUTE(C155," ","-")&amp;"_"&amp;TEXT(D155,"yyyymmdd")&amp;"_v"&amp;E155)</f>
        <v/>
      </c>
      <c r="I155">
        <f>IF(OR(G155="",H155=""),"",IF(H155&gt;=G155,"Complete","Incomplete"))</f>
        <v/>
      </c>
      <c r="J155">
        <f>IF(B155="","","Retention period per bank policy; not defined in this simulation")</f>
        <v/>
      </c>
      <c r="L155" s="8" t="n"/>
      <c r="M155">
        <f>IF(AND(K155&lt;&gt;"",I155&lt;&gt;"Complete"),"CHECK: archived while incomplete","")</f>
        <v/>
      </c>
    </row>
    <row r="156">
      <c r="A156" t="inlineStr">
        <is>
          <t>ARC0155</t>
        </is>
      </c>
      <c r="D156" s="8" t="n"/>
      <c r="F156">
        <f>IF(OR(B156="",C156="",D156="",E156=""),"",B156&amp;"_"&amp;SUBSTITUTE(C156," ","-")&amp;"_"&amp;TEXT(D156,"yyyymmdd")&amp;"_v"&amp;E156)</f>
        <v/>
      </c>
      <c r="I156">
        <f>IF(OR(G156="",H156=""),"",IF(H156&gt;=G156,"Complete","Incomplete"))</f>
        <v/>
      </c>
      <c r="J156">
        <f>IF(B156="","","Retention period per bank policy; not defined in this simulation")</f>
        <v/>
      </c>
      <c r="L156" s="8" t="n"/>
      <c r="M156">
        <f>IF(AND(K156&lt;&gt;"",I156&lt;&gt;"Complete"),"CHECK: archived while incomplete","")</f>
        <v/>
      </c>
    </row>
    <row r="157">
      <c r="A157" t="inlineStr">
        <is>
          <t>ARC0156</t>
        </is>
      </c>
      <c r="D157" s="8" t="n"/>
      <c r="F157">
        <f>IF(OR(B157="",C157="",D157="",E157=""),"",B157&amp;"_"&amp;SUBSTITUTE(C157," ","-")&amp;"_"&amp;TEXT(D157,"yyyymmdd")&amp;"_v"&amp;E157)</f>
        <v/>
      </c>
      <c r="I157">
        <f>IF(OR(G157="",H157=""),"",IF(H157&gt;=G157,"Complete","Incomplete"))</f>
        <v/>
      </c>
      <c r="J157">
        <f>IF(B157="","","Retention period per bank policy; not defined in this simulation")</f>
        <v/>
      </c>
      <c r="L157" s="8" t="n"/>
      <c r="M157">
        <f>IF(AND(K157&lt;&gt;"",I157&lt;&gt;"Complete"),"CHECK: archived while incomplete","")</f>
        <v/>
      </c>
    </row>
    <row r="158">
      <c r="A158" t="inlineStr">
        <is>
          <t>ARC0157</t>
        </is>
      </c>
      <c r="D158" s="8" t="n"/>
      <c r="F158">
        <f>IF(OR(B158="",C158="",D158="",E158=""),"",B158&amp;"_"&amp;SUBSTITUTE(C158," ","-")&amp;"_"&amp;TEXT(D158,"yyyymmdd")&amp;"_v"&amp;E158)</f>
        <v/>
      </c>
      <c r="I158">
        <f>IF(OR(G158="",H158=""),"",IF(H158&gt;=G158,"Complete","Incomplete"))</f>
        <v/>
      </c>
      <c r="J158">
        <f>IF(B158="","","Retention period per bank policy; not defined in this simulation")</f>
        <v/>
      </c>
      <c r="L158" s="8" t="n"/>
      <c r="M158">
        <f>IF(AND(K158&lt;&gt;"",I158&lt;&gt;"Complete"),"CHECK: archived while incomplete","")</f>
        <v/>
      </c>
    </row>
    <row r="159">
      <c r="A159" t="inlineStr">
        <is>
          <t>ARC0158</t>
        </is>
      </c>
      <c r="D159" s="8" t="n"/>
      <c r="F159">
        <f>IF(OR(B159="",C159="",D159="",E159=""),"",B159&amp;"_"&amp;SUBSTITUTE(C159," ","-")&amp;"_"&amp;TEXT(D159,"yyyymmdd")&amp;"_v"&amp;E159)</f>
        <v/>
      </c>
      <c r="I159">
        <f>IF(OR(G159="",H159=""),"",IF(H159&gt;=G159,"Complete","Incomplete"))</f>
        <v/>
      </c>
      <c r="J159">
        <f>IF(B159="","","Retention period per bank policy; not defined in this simulation")</f>
        <v/>
      </c>
      <c r="L159" s="8" t="n"/>
      <c r="M159">
        <f>IF(AND(K159&lt;&gt;"",I159&lt;&gt;"Complete"),"CHECK: archived while incomplete","")</f>
        <v/>
      </c>
    </row>
    <row r="160">
      <c r="A160" t="inlineStr">
        <is>
          <t>ARC0159</t>
        </is>
      </c>
      <c r="D160" s="8" t="n"/>
      <c r="F160">
        <f>IF(OR(B160="",C160="",D160="",E160=""),"",B160&amp;"_"&amp;SUBSTITUTE(C160," ","-")&amp;"_"&amp;TEXT(D160,"yyyymmdd")&amp;"_v"&amp;E160)</f>
        <v/>
      </c>
      <c r="I160">
        <f>IF(OR(G160="",H160=""),"",IF(H160&gt;=G160,"Complete","Incomplete"))</f>
        <v/>
      </c>
      <c r="J160">
        <f>IF(B160="","","Retention period per bank policy; not defined in this simulation")</f>
        <v/>
      </c>
      <c r="L160" s="8" t="n"/>
      <c r="M160">
        <f>IF(AND(K160&lt;&gt;"",I160&lt;&gt;"Complete"),"CHECK: archived while incomplete","")</f>
        <v/>
      </c>
    </row>
    <row r="161">
      <c r="A161" t="inlineStr">
        <is>
          <t>ARC0160</t>
        </is>
      </c>
      <c r="D161" s="8" t="n"/>
      <c r="F161">
        <f>IF(OR(B161="",C161="",D161="",E161=""),"",B161&amp;"_"&amp;SUBSTITUTE(C161," ","-")&amp;"_"&amp;TEXT(D161,"yyyymmdd")&amp;"_v"&amp;E161)</f>
        <v/>
      </c>
      <c r="I161">
        <f>IF(OR(G161="",H161=""),"",IF(H161&gt;=G161,"Complete","Incomplete"))</f>
        <v/>
      </c>
      <c r="J161">
        <f>IF(B161="","","Retention period per bank policy; not defined in this simulation")</f>
        <v/>
      </c>
      <c r="L161" s="8" t="n"/>
      <c r="M161">
        <f>IF(AND(K161&lt;&gt;"",I161&lt;&gt;"Complete"),"CHECK: archived while incomplete","")</f>
        <v/>
      </c>
    </row>
    <row r="162">
      <c r="A162" t="inlineStr">
        <is>
          <t>ARC0161</t>
        </is>
      </c>
      <c r="D162" s="8" t="n"/>
      <c r="F162">
        <f>IF(OR(B162="",C162="",D162="",E162=""),"",B162&amp;"_"&amp;SUBSTITUTE(C162," ","-")&amp;"_"&amp;TEXT(D162,"yyyymmdd")&amp;"_v"&amp;E162)</f>
        <v/>
      </c>
      <c r="I162">
        <f>IF(OR(G162="",H162=""),"",IF(H162&gt;=G162,"Complete","Incomplete"))</f>
        <v/>
      </c>
      <c r="J162">
        <f>IF(B162="","","Retention period per bank policy; not defined in this simulation")</f>
        <v/>
      </c>
      <c r="L162" s="8" t="n"/>
      <c r="M162">
        <f>IF(AND(K162&lt;&gt;"",I162&lt;&gt;"Complete"),"CHECK: archived while incomplete","")</f>
        <v/>
      </c>
    </row>
    <row r="163">
      <c r="A163" t="inlineStr">
        <is>
          <t>ARC0162</t>
        </is>
      </c>
      <c r="D163" s="8" t="n"/>
      <c r="F163">
        <f>IF(OR(B163="",C163="",D163="",E163=""),"",B163&amp;"_"&amp;SUBSTITUTE(C163," ","-")&amp;"_"&amp;TEXT(D163,"yyyymmdd")&amp;"_v"&amp;E163)</f>
        <v/>
      </c>
      <c r="I163">
        <f>IF(OR(G163="",H163=""),"",IF(H163&gt;=G163,"Complete","Incomplete"))</f>
        <v/>
      </c>
      <c r="J163">
        <f>IF(B163="","","Retention period per bank policy; not defined in this simulation")</f>
        <v/>
      </c>
      <c r="L163" s="8" t="n"/>
      <c r="M163">
        <f>IF(AND(K163&lt;&gt;"",I163&lt;&gt;"Complete"),"CHECK: archived while incomplete","")</f>
        <v/>
      </c>
    </row>
    <row r="164">
      <c r="A164" t="inlineStr">
        <is>
          <t>ARC0163</t>
        </is>
      </c>
      <c r="D164" s="8" t="n"/>
      <c r="F164">
        <f>IF(OR(B164="",C164="",D164="",E164=""),"",B164&amp;"_"&amp;SUBSTITUTE(C164," ","-")&amp;"_"&amp;TEXT(D164,"yyyymmdd")&amp;"_v"&amp;E164)</f>
        <v/>
      </c>
      <c r="I164">
        <f>IF(OR(G164="",H164=""),"",IF(H164&gt;=G164,"Complete","Incomplete"))</f>
        <v/>
      </c>
      <c r="J164">
        <f>IF(B164="","","Retention period per bank policy; not defined in this simulation")</f>
        <v/>
      </c>
      <c r="L164" s="8" t="n"/>
      <c r="M164">
        <f>IF(AND(K164&lt;&gt;"",I164&lt;&gt;"Complete"),"CHECK: archived while incomplete","")</f>
        <v/>
      </c>
    </row>
    <row r="165">
      <c r="A165" t="inlineStr">
        <is>
          <t>ARC0164</t>
        </is>
      </c>
      <c r="D165" s="8" t="n"/>
      <c r="F165">
        <f>IF(OR(B165="",C165="",D165="",E165=""),"",B165&amp;"_"&amp;SUBSTITUTE(C165," ","-")&amp;"_"&amp;TEXT(D165,"yyyymmdd")&amp;"_v"&amp;E165)</f>
        <v/>
      </c>
      <c r="I165">
        <f>IF(OR(G165="",H165=""),"",IF(H165&gt;=G165,"Complete","Incomplete"))</f>
        <v/>
      </c>
      <c r="J165">
        <f>IF(B165="","","Retention period per bank policy; not defined in this simulation")</f>
        <v/>
      </c>
      <c r="L165" s="8" t="n"/>
      <c r="M165">
        <f>IF(AND(K165&lt;&gt;"",I165&lt;&gt;"Complete"),"CHECK: archived while incomplete","")</f>
        <v/>
      </c>
    </row>
    <row r="166">
      <c r="A166" t="inlineStr">
        <is>
          <t>ARC0165</t>
        </is>
      </c>
      <c r="D166" s="8" t="n"/>
      <c r="F166">
        <f>IF(OR(B166="",C166="",D166="",E166=""),"",B166&amp;"_"&amp;SUBSTITUTE(C166," ","-")&amp;"_"&amp;TEXT(D166,"yyyymmdd")&amp;"_v"&amp;E166)</f>
        <v/>
      </c>
      <c r="I166">
        <f>IF(OR(G166="",H166=""),"",IF(H166&gt;=G166,"Complete","Incomplete"))</f>
        <v/>
      </c>
      <c r="J166">
        <f>IF(B166="","","Retention period per bank policy; not defined in this simulation")</f>
        <v/>
      </c>
      <c r="L166" s="8" t="n"/>
      <c r="M166">
        <f>IF(AND(K166&lt;&gt;"",I166&lt;&gt;"Complete"),"CHECK: archived while incomplete","")</f>
        <v/>
      </c>
    </row>
    <row r="167">
      <c r="A167" t="inlineStr">
        <is>
          <t>ARC0166</t>
        </is>
      </c>
      <c r="D167" s="8" t="n"/>
      <c r="F167">
        <f>IF(OR(B167="",C167="",D167="",E167=""),"",B167&amp;"_"&amp;SUBSTITUTE(C167," ","-")&amp;"_"&amp;TEXT(D167,"yyyymmdd")&amp;"_v"&amp;E167)</f>
        <v/>
      </c>
      <c r="I167">
        <f>IF(OR(G167="",H167=""),"",IF(H167&gt;=G167,"Complete","Incomplete"))</f>
        <v/>
      </c>
      <c r="J167">
        <f>IF(B167="","","Retention period per bank policy; not defined in this simulation")</f>
        <v/>
      </c>
      <c r="L167" s="8" t="n"/>
      <c r="M167">
        <f>IF(AND(K167&lt;&gt;"",I167&lt;&gt;"Complete"),"CHECK: archived while incomplete","")</f>
        <v/>
      </c>
    </row>
    <row r="168">
      <c r="A168" t="inlineStr">
        <is>
          <t>ARC0167</t>
        </is>
      </c>
      <c r="D168" s="8" t="n"/>
      <c r="F168">
        <f>IF(OR(B168="",C168="",D168="",E168=""),"",B168&amp;"_"&amp;SUBSTITUTE(C168," ","-")&amp;"_"&amp;TEXT(D168,"yyyymmdd")&amp;"_v"&amp;E168)</f>
        <v/>
      </c>
      <c r="I168">
        <f>IF(OR(G168="",H168=""),"",IF(H168&gt;=G168,"Complete","Incomplete"))</f>
        <v/>
      </c>
      <c r="J168">
        <f>IF(B168="","","Retention period per bank policy; not defined in this simulation")</f>
        <v/>
      </c>
      <c r="L168" s="8" t="n"/>
      <c r="M168">
        <f>IF(AND(K168&lt;&gt;"",I168&lt;&gt;"Complete"),"CHECK: archived while incomplete","")</f>
        <v/>
      </c>
    </row>
    <row r="169">
      <c r="A169" t="inlineStr">
        <is>
          <t>ARC0168</t>
        </is>
      </c>
      <c r="D169" s="8" t="n"/>
      <c r="F169">
        <f>IF(OR(B169="",C169="",D169="",E169=""),"",B169&amp;"_"&amp;SUBSTITUTE(C169," ","-")&amp;"_"&amp;TEXT(D169,"yyyymmdd")&amp;"_v"&amp;E169)</f>
        <v/>
      </c>
      <c r="I169">
        <f>IF(OR(G169="",H169=""),"",IF(H169&gt;=G169,"Complete","Incomplete"))</f>
        <v/>
      </c>
      <c r="J169">
        <f>IF(B169="","","Retention period per bank policy; not defined in this simulation")</f>
        <v/>
      </c>
      <c r="L169" s="8" t="n"/>
      <c r="M169">
        <f>IF(AND(K169&lt;&gt;"",I169&lt;&gt;"Complete"),"CHECK: archived while incomplete","")</f>
        <v/>
      </c>
    </row>
    <row r="170">
      <c r="A170" t="inlineStr">
        <is>
          <t>ARC0169</t>
        </is>
      </c>
      <c r="D170" s="8" t="n"/>
      <c r="F170">
        <f>IF(OR(B170="",C170="",D170="",E170=""),"",B170&amp;"_"&amp;SUBSTITUTE(C170," ","-")&amp;"_"&amp;TEXT(D170,"yyyymmdd")&amp;"_v"&amp;E170)</f>
        <v/>
      </c>
      <c r="I170">
        <f>IF(OR(G170="",H170=""),"",IF(H170&gt;=G170,"Complete","Incomplete"))</f>
        <v/>
      </c>
      <c r="J170">
        <f>IF(B170="","","Retention period per bank policy; not defined in this simulation")</f>
        <v/>
      </c>
      <c r="L170" s="8" t="n"/>
      <c r="M170">
        <f>IF(AND(K170&lt;&gt;"",I170&lt;&gt;"Complete"),"CHECK: archived while incomplete","")</f>
        <v/>
      </c>
    </row>
    <row r="171">
      <c r="A171" t="inlineStr">
        <is>
          <t>ARC0170</t>
        </is>
      </c>
      <c r="D171" s="8" t="n"/>
      <c r="F171">
        <f>IF(OR(B171="",C171="",D171="",E171=""),"",B171&amp;"_"&amp;SUBSTITUTE(C171," ","-")&amp;"_"&amp;TEXT(D171,"yyyymmdd")&amp;"_v"&amp;E171)</f>
        <v/>
      </c>
      <c r="I171">
        <f>IF(OR(G171="",H171=""),"",IF(H171&gt;=G171,"Complete","Incomplete"))</f>
        <v/>
      </c>
      <c r="J171">
        <f>IF(B171="","","Retention period per bank policy; not defined in this simulation")</f>
        <v/>
      </c>
      <c r="L171" s="8" t="n"/>
      <c r="M171">
        <f>IF(AND(K171&lt;&gt;"",I171&lt;&gt;"Complete"),"CHECK: archived while incomplete","")</f>
        <v/>
      </c>
    </row>
    <row r="172">
      <c r="A172" t="inlineStr">
        <is>
          <t>ARC0171</t>
        </is>
      </c>
      <c r="D172" s="8" t="n"/>
      <c r="F172">
        <f>IF(OR(B172="",C172="",D172="",E172=""),"",B172&amp;"_"&amp;SUBSTITUTE(C172," ","-")&amp;"_"&amp;TEXT(D172,"yyyymmdd")&amp;"_v"&amp;E172)</f>
        <v/>
      </c>
      <c r="I172">
        <f>IF(OR(G172="",H172=""),"",IF(H172&gt;=G172,"Complete","Incomplete"))</f>
        <v/>
      </c>
      <c r="J172">
        <f>IF(B172="","","Retention period per bank policy; not defined in this simulation")</f>
        <v/>
      </c>
      <c r="L172" s="8" t="n"/>
      <c r="M172">
        <f>IF(AND(K172&lt;&gt;"",I172&lt;&gt;"Complete"),"CHECK: archived while incomplete","")</f>
        <v/>
      </c>
    </row>
    <row r="173">
      <c r="A173" t="inlineStr">
        <is>
          <t>ARC0172</t>
        </is>
      </c>
      <c r="D173" s="8" t="n"/>
      <c r="F173">
        <f>IF(OR(B173="",C173="",D173="",E173=""),"",B173&amp;"_"&amp;SUBSTITUTE(C173," ","-")&amp;"_"&amp;TEXT(D173,"yyyymmdd")&amp;"_v"&amp;E173)</f>
        <v/>
      </c>
      <c r="I173">
        <f>IF(OR(G173="",H173=""),"",IF(H173&gt;=G173,"Complete","Incomplete"))</f>
        <v/>
      </c>
      <c r="J173">
        <f>IF(B173="","","Retention period per bank policy; not defined in this simulation")</f>
        <v/>
      </c>
      <c r="L173" s="8" t="n"/>
      <c r="M173">
        <f>IF(AND(K173&lt;&gt;"",I173&lt;&gt;"Complete"),"CHECK: archived while incomplete","")</f>
        <v/>
      </c>
    </row>
    <row r="174">
      <c r="A174" t="inlineStr">
        <is>
          <t>ARC0173</t>
        </is>
      </c>
      <c r="D174" s="8" t="n"/>
      <c r="F174">
        <f>IF(OR(B174="",C174="",D174="",E174=""),"",B174&amp;"_"&amp;SUBSTITUTE(C174," ","-")&amp;"_"&amp;TEXT(D174,"yyyymmdd")&amp;"_v"&amp;E174)</f>
        <v/>
      </c>
      <c r="I174">
        <f>IF(OR(G174="",H174=""),"",IF(H174&gt;=G174,"Complete","Incomplete"))</f>
        <v/>
      </c>
      <c r="J174">
        <f>IF(B174="","","Retention period per bank policy; not defined in this simulation")</f>
        <v/>
      </c>
      <c r="L174" s="8" t="n"/>
      <c r="M174">
        <f>IF(AND(K174&lt;&gt;"",I174&lt;&gt;"Complete"),"CHECK: archived while incomplete","")</f>
        <v/>
      </c>
    </row>
    <row r="175">
      <c r="A175" t="inlineStr">
        <is>
          <t>ARC0174</t>
        </is>
      </c>
      <c r="D175" s="8" t="n"/>
      <c r="F175">
        <f>IF(OR(B175="",C175="",D175="",E175=""),"",B175&amp;"_"&amp;SUBSTITUTE(C175," ","-")&amp;"_"&amp;TEXT(D175,"yyyymmdd")&amp;"_v"&amp;E175)</f>
        <v/>
      </c>
      <c r="I175">
        <f>IF(OR(G175="",H175=""),"",IF(H175&gt;=G175,"Complete","Incomplete"))</f>
        <v/>
      </c>
      <c r="J175">
        <f>IF(B175="","","Retention period per bank policy; not defined in this simulation")</f>
        <v/>
      </c>
      <c r="L175" s="8" t="n"/>
      <c r="M175">
        <f>IF(AND(K175&lt;&gt;"",I175&lt;&gt;"Complete"),"CHECK: archived while incomplete","")</f>
        <v/>
      </c>
    </row>
    <row r="176">
      <c r="A176" t="inlineStr">
        <is>
          <t>ARC0175</t>
        </is>
      </c>
      <c r="D176" s="8" t="n"/>
      <c r="F176">
        <f>IF(OR(B176="",C176="",D176="",E176=""),"",B176&amp;"_"&amp;SUBSTITUTE(C176," ","-")&amp;"_"&amp;TEXT(D176,"yyyymmdd")&amp;"_v"&amp;E176)</f>
        <v/>
      </c>
      <c r="I176">
        <f>IF(OR(G176="",H176=""),"",IF(H176&gt;=G176,"Complete","Incomplete"))</f>
        <v/>
      </c>
      <c r="J176">
        <f>IF(B176="","","Retention period per bank policy; not defined in this simulation")</f>
        <v/>
      </c>
      <c r="L176" s="8" t="n"/>
      <c r="M176">
        <f>IF(AND(K176&lt;&gt;"",I176&lt;&gt;"Complete"),"CHECK: archived while incomplete","")</f>
        <v/>
      </c>
    </row>
    <row r="177">
      <c r="A177" t="inlineStr">
        <is>
          <t>ARC0176</t>
        </is>
      </c>
      <c r="D177" s="8" t="n"/>
      <c r="F177">
        <f>IF(OR(B177="",C177="",D177="",E177=""),"",B177&amp;"_"&amp;SUBSTITUTE(C177," ","-")&amp;"_"&amp;TEXT(D177,"yyyymmdd")&amp;"_v"&amp;E177)</f>
        <v/>
      </c>
      <c r="I177">
        <f>IF(OR(G177="",H177=""),"",IF(H177&gt;=G177,"Complete","Incomplete"))</f>
        <v/>
      </c>
      <c r="J177">
        <f>IF(B177="","","Retention period per bank policy; not defined in this simulation")</f>
        <v/>
      </c>
      <c r="L177" s="8" t="n"/>
      <c r="M177">
        <f>IF(AND(K177&lt;&gt;"",I177&lt;&gt;"Complete"),"CHECK: archived while incomplete","")</f>
        <v/>
      </c>
    </row>
    <row r="178">
      <c r="A178" t="inlineStr">
        <is>
          <t>ARC0177</t>
        </is>
      </c>
      <c r="D178" s="8" t="n"/>
      <c r="F178">
        <f>IF(OR(B178="",C178="",D178="",E178=""),"",B178&amp;"_"&amp;SUBSTITUTE(C178," ","-")&amp;"_"&amp;TEXT(D178,"yyyymmdd")&amp;"_v"&amp;E178)</f>
        <v/>
      </c>
      <c r="I178">
        <f>IF(OR(G178="",H178=""),"",IF(H178&gt;=G178,"Complete","Incomplete"))</f>
        <v/>
      </c>
      <c r="J178">
        <f>IF(B178="","","Retention period per bank policy; not defined in this simulation")</f>
        <v/>
      </c>
      <c r="L178" s="8" t="n"/>
      <c r="M178">
        <f>IF(AND(K178&lt;&gt;"",I178&lt;&gt;"Complete"),"CHECK: archived while incomplete","")</f>
        <v/>
      </c>
    </row>
    <row r="179">
      <c r="A179" t="inlineStr">
        <is>
          <t>ARC0178</t>
        </is>
      </c>
      <c r="D179" s="8" t="n"/>
      <c r="F179">
        <f>IF(OR(B179="",C179="",D179="",E179=""),"",B179&amp;"_"&amp;SUBSTITUTE(C179," ","-")&amp;"_"&amp;TEXT(D179,"yyyymmdd")&amp;"_v"&amp;E179)</f>
        <v/>
      </c>
      <c r="I179">
        <f>IF(OR(G179="",H179=""),"",IF(H179&gt;=G179,"Complete","Incomplete"))</f>
        <v/>
      </c>
      <c r="J179">
        <f>IF(B179="","","Retention period per bank policy; not defined in this simulation")</f>
        <v/>
      </c>
      <c r="L179" s="8" t="n"/>
      <c r="M179">
        <f>IF(AND(K179&lt;&gt;"",I179&lt;&gt;"Complete"),"CHECK: archived while incomplete","")</f>
        <v/>
      </c>
    </row>
    <row r="180">
      <c r="A180" t="inlineStr">
        <is>
          <t>ARC0179</t>
        </is>
      </c>
      <c r="D180" s="8" t="n"/>
      <c r="F180">
        <f>IF(OR(B180="",C180="",D180="",E180=""),"",B180&amp;"_"&amp;SUBSTITUTE(C180," ","-")&amp;"_"&amp;TEXT(D180,"yyyymmdd")&amp;"_v"&amp;E180)</f>
        <v/>
      </c>
      <c r="I180">
        <f>IF(OR(G180="",H180=""),"",IF(H180&gt;=G180,"Complete","Incomplete"))</f>
        <v/>
      </c>
      <c r="J180">
        <f>IF(B180="","","Retention period per bank policy; not defined in this simulation")</f>
        <v/>
      </c>
      <c r="L180" s="8" t="n"/>
      <c r="M180">
        <f>IF(AND(K180&lt;&gt;"",I180&lt;&gt;"Complete"),"CHECK: archived while incomplete","")</f>
        <v/>
      </c>
    </row>
    <row r="181">
      <c r="A181" t="inlineStr">
        <is>
          <t>ARC0180</t>
        </is>
      </c>
      <c r="D181" s="8" t="n"/>
      <c r="F181">
        <f>IF(OR(B181="",C181="",D181="",E181=""),"",B181&amp;"_"&amp;SUBSTITUTE(C181," ","-")&amp;"_"&amp;TEXT(D181,"yyyymmdd")&amp;"_v"&amp;E181)</f>
        <v/>
      </c>
      <c r="I181">
        <f>IF(OR(G181="",H181=""),"",IF(H181&gt;=G181,"Complete","Incomplete"))</f>
        <v/>
      </c>
      <c r="J181">
        <f>IF(B181="","","Retention period per bank policy; not defined in this simulation")</f>
        <v/>
      </c>
      <c r="L181" s="8" t="n"/>
      <c r="M181">
        <f>IF(AND(K181&lt;&gt;"",I181&lt;&gt;"Complete"),"CHECK: archived while incomplete","")</f>
        <v/>
      </c>
    </row>
    <row r="182">
      <c r="A182" t="inlineStr">
        <is>
          <t>ARC0181</t>
        </is>
      </c>
      <c r="D182" s="8" t="n"/>
      <c r="F182">
        <f>IF(OR(B182="",C182="",D182="",E182=""),"",B182&amp;"_"&amp;SUBSTITUTE(C182," ","-")&amp;"_"&amp;TEXT(D182,"yyyymmdd")&amp;"_v"&amp;E182)</f>
        <v/>
      </c>
      <c r="I182">
        <f>IF(OR(G182="",H182=""),"",IF(H182&gt;=G182,"Complete","Incomplete"))</f>
        <v/>
      </c>
      <c r="J182">
        <f>IF(B182="","","Retention period per bank policy; not defined in this simulation")</f>
        <v/>
      </c>
      <c r="L182" s="8" t="n"/>
      <c r="M182">
        <f>IF(AND(K182&lt;&gt;"",I182&lt;&gt;"Complete"),"CHECK: archived while incomplete","")</f>
        <v/>
      </c>
    </row>
    <row r="183">
      <c r="A183" t="inlineStr">
        <is>
          <t>ARC0182</t>
        </is>
      </c>
      <c r="D183" s="8" t="n"/>
      <c r="F183">
        <f>IF(OR(B183="",C183="",D183="",E183=""),"",B183&amp;"_"&amp;SUBSTITUTE(C183," ","-")&amp;"_"&amp;TEXT(D183,"yyyymmdd")&amp;"_v"&amp;E183)</f>
        <v/>
      </c>
      <c r="I183">
        <f>IF(OR(G183="",H183=""),"",IF(H183&gt;=G183,"Complete","Incomplete"))</f>
        <v/>
      </c>
      <c r="J183">
        <f>IF(B183="","","Retention period per bank policy; not defined in this simulation")</f>
        <v/>
      </c>
      <c r="L183" s="8" t="n"/>
      <c r="M183">
        <f>IF(AND(K183&lt;&gt;"",I183&lt;&gt;"Complete"),"CHECK: archived while incomplete","")</f>
        <v/>
      </c>
    </row>
    <row r="184">
      <c r="A184" t="inlineStr">
        <is>
          <t>ARC0183</t>
        </is>
      </c>
      <c r="D184" s="8" t="n"/>
      <c r="F184">
        <f>IF(OR(B184="",C184="",D184="",E184=""),"",B184&amp;"_"&amp;SUBSTITUTE(C184," ","-")&amp;"_"&amp;TEXT(D184,"yyyymmdd")&amp;"_v"&amp;E184)</f>
        <v/>
      </c>
      <c r="I184">
        <f>IF(OR(G184="",H184=""),"",IF(H184&gt;=G184,"Complete","Incomplete"))</f>
        <v/>
      </c>
      <c r="J184">
        <f>IF(B184="","","Retention period per bank policy; not defined in this simulation")</f>
        <v/>
      </c>
      <c r="L184" s="8" t="n"/>
      <c r="M184">
        <f>IF(AND(K184&lt;&gt;"",I184&lt;&gt;"Complete"),"CHECK: archived while incomplete","")</f>
        <v/>
      </c>
    </row>
    <row r="185">
      <c r="A185" t="inlineStr">
        <is>
          <t>ARC0184</t>
        </is>
      </c>
      <c r="D185" s="8" t="n"/>
      <c r="F185">
        <f>IF(OR(B185="",C185="",D185="",E185=""),"",B185&amp;"_"&amp;SUBSTITUTE(C185," ","-")&amp;"_"&amp;TEXT(D185,"yyyymmdd")&amp;"_v"&amp;E185)</f>
        <v/>
      </c>
      <c r="I185">
        <f>IF(OR(G185="",H185=""),"",IF(H185&gt;=G185,"Complete","Incomplete"))</f>
        <v/>
      </c>
      <c r="J185">
        <f>IF(B185="","","Retention period per bank policy; not defined in this simulation")</f>
        <v/>
      </c>
      <c r="L185" s="8" t="n"/>
      <c r="M185">
        <f>IF(AND(K185&lt;&gt;"",I185&lt;&gt;"Complete"),"CHECK: archived while incomplete","")</f>
        <v/>
      </c>
    </row>
    <row r="186">
      <c r="A186" t="inlineStr">
        <is>
          <t>ARC0185</t>
        </is>
      </c>
      <c r="D186" s="8" t="n"/>
      <c r="F186">
        <f>IF(OR(B186="",C186="",D186="",E186=""),"",B186&amp;"_"&amp;SUBSTITUTE(C186," ","-")&amp;"_"&amp;TEXT(D186,"yyyymmdd")&amp;"_v"&amp;E186)</f>
        <v/>
      </c>
      <c r="I186">
        <f>IF(OR(G186="",H186=""),"",IF(H186&gt;=G186,"Complete","Incomplete"))</f>
        <v/>
      </c>
      <c r="J186">
        <f>IF(B186="","","Retention period per bank policy; not defined in this simulation")</f>
        <v/>
      </c>
      <c r="L186" s="8" t="n"/>
      <c r="M186">
        <f>IF(AND(K186&lt;&gt;"",I186&lt;&gt;"Complete"),"CHECK: archived while incomplete","")</f>
        <v/>
      </c>
    </row>
    <row r="187">
      <c r="A187" t="inlineStr">
        <is>
          <t>ARC0186</t>
        </is>
      </c>
      <c r="D187" s="8" t="n"/>
      <c r="F187">
        <f>IF(OR(B187="",C187="",D187="",E187=""),"",B187&amp;"_"&amp;SUBSTITUTE(C187," ","-")&amp;"_"&amp;TEXT(D187,"yyyymmdd")&amp;"_v"&amp;E187)</f>
        <v/>
      </c>
      <c r="I187">
        <f>IF(OR(G187="",H187=""),"",IF(H187&gt;=G187,"Complete","Incomplete"))</f>
        <v/>
      </c>
      <c r="J187">
        <f>IF(B187="","","Retention period per bank policy; not defined in this simulation")</f>
        <v/>
      </c>
      <c r="L187" s="8" t="n"/>
      <c r="M187">
        <f>IF(AND(K187&lt;&gt;"",I187&lt;&gt;"Complete"),"CHECK: archived while incomplete","")</f>
        <v/>
      </c>
    </row>
    <row r="188">
      <c r="A188" t="inlineStr">
        <is>
          <t>ARC0187</t>
        </is>
      </c>
      <c r="D188" s="8" t="n"/>
      <c r="F188">
        <f>IF(OR(B188="",C188="",D188="",E188=""),"",B188&amp;"_"&amp;SUBSTITUTE(C188," ","-")&amp;"_"&amp;TEXT(D188,"yyyymmdd")&amp;"_v"&amp;E188)</f>
        <v/>
      </c>
      <c r="I188">
        <f>IF(OR(G188="",H188=""),"",IF(H188&gt;=G188,"Complete","Incomplete"))</f>
        <v/>
      </c>
      <c r="J188">
        <f>IF(B188="","","Retention period per bank policy; not defined in this simulation")</f>
        <v/>
      </c>
      <c r="L188" s="8" t="n"/>
      <c r="M188">
        <f>IF(AND(K188&lt;&gt;"",I188&lt;&gt;"Complete"),"CHECK: archived while incomplete","")</f>
        <v/>
      </c>
    </row>
    <row r="189">
      <c r="A189" t="inlineStr">
        <is>
          <t>ARC0188</t>
        </is>
      </c>
      <c r="D189" s="8" t="n"/>
      <c r="F189">
        <f>IF(OR(B189="",C189="",D189="",E189=""),"",B189&amp;"_"&amp;SUBSTITUTE(C189," ","-")&amp;"_"&amp;TEXT(D189,"yyyymmdd")&amp;"_v"&amp;E189)</f>
        <v/>
      </c>
      <c r="I189">
        <f>IF(OR(G189="",H189=""),"",IF(H189&gt;=G189,"Complete","Incomplete"))</f>
        <v/>
      </c>
      <c r="J189">
        <f>IF(B189="","","Retention period per bank policy; not defined in this simulation")</f>
        <v/>
      </c>
      <c r="L189" s="8" t="n"/>
      <c r="M189">
        <f>IF(AND(K189&lt;&gt;"",I189&lt;&gt;"Complete"),"CHECK: archived while incomplete","")</f>
        <v/>
      </c>
    </row>
    <row r="190">
      <c r="A190" t="inlineStr">
        <is>
          <t>ARC0189</t>
        </is>
      </c>
      <c r="D190" s="8" t="n"/>
      <c r="F190">
        <f>IF(OR(B190="",C190="",D190="",E190=""),"",B190&amp;"_"&amp;SUBSTITUTE(C190," ","-")&amp;"_"&amp;TEXT(D190,"yyyymmdd")&amp;"_v"&amp;E190)</f>
        <v/>
      </c>
      <c r="I190">
        <f>IF(OR(G190="",H190=""),"",IF(H190&gt;=G190,"Complete","Incomplete"))</f>
        <v/>
      </c>
      <c r="J190">
        <f>IF(B190="","","Retention period per bank policy; not defined in this simulation")</f>
        <v/>
      </c>
      <c r="L190" s="8" t="n"/>
      <c r="M190">
        <f>IF(AND(K190&lt;&gt;"",I190&lt;&gt;"Complete"),"CHECK: archived while incomplete","")</f>
        <v/>
      </c>
    </row>
    <row r="191">
      <c r="A191" t="inlineStr">
        <is>
          <t>ARC0190</t>
        </is>
      </c>
      <c r="D191" s="8" t="n"/>
      <c r="F191">
        <f>IF(OR(B191="",C191="",D191="",E191=""),"",B191&amp;"_"&amp;SUBSTITUTE(C191," ","-")&amp;"_"&amp;TEXT(D191,"yyyymmdd")&amp;"_v"&amp;E191)</f>
        <v/>
      </c>
      <c r="I191">
        <f>IF(OR(G191="",H191=""),"",IF(H191&gt;=G191,"Complete","Incomplete"))</f>
        <v/>
      </c>
      <c r="J191">
        <f>IF(B191="","","Retention period per bank policy; not defined in this simulation")</f>
        <v/>
      </c>
      <c r="L191" s="8" t="n"/>
      <c r="M191">
        <f>IF(AND(K191&lt;&gt;"",I191&lt;&gt;"Complete"),"CHECK: archived while incomplete","")</f>
        <v/>
      </c>
    </row>
    <row r="192">
      <c r="A192" t="inlineStr">
        <is>
          <t>ARC0191</t>
        </is>
      </c>
      <c r="D192" s="8" t="n"/>
      <c r="F192">
        <f>IF(OR(B192="",C192="",D192="",E192=""),"",B192&amp;"_"&amp;SUBSTITUTE(C192," ","-")&amp;"_"&amp;TEXT(D192,"yyyymmdd")&amp;"_v"&amp;E192)</f>
        <v/>
      </c>
      <c r="I192">
        <f>IF(OR(G192="",H192=""),"",IF(H192&gt;=G192,"Complete","Incomplete"))</f>
        <v/>
      </c>
      <c r="J192">
        <f>IF(B192="","","Retention period per bank policy; not defined in this simulation")</f>
        <v/>
      </c>
      <c r="L192" s="8" t="n"/>
      <c r="M192">
        <f>IF(AND(K192&lt;&gt;"",I192&lt;&gt;"Complete"),"CHECK: archived while incomplete","")</f>
        <v/>
      </c>
    </row>
    <row r="193">
      <c r="A193" t="inlineStr">
        <is>
          <t>ARC0192</t>
        </is>
      </c>
      <c r="D193" s="8" t="n"/>
      <c r="F193">
        <f>IF(OR(B193="",C193="",D193="",E193=""),"",B193&amp;"_"&amp;SUBSTITUTE(C193," ","-")&amp;"_"&amp;TEXT(D193,"yyyymmdd")&amp;"_v"&amp;E193)</f>
        <v/>
      </c>
      <c r="I193">
        <f>IF(OR(G193="",H193=""),"",IF(H193&gt;=G193,"Complete","Incomplete"))</f>
        <v/>
      </c>
      <c r="J193">
        <f>IF(B193="","","Retention period per bank policy; not defined in this simulation")</f>
        <v/>
      </c>
      <c r="L193" s="8" t="n"/>
      <c r="M193">
        <f>IF(AND(K193&lt;&gt;"",I193&lt;&gt;"Complete"),"CHECK: archived while incomplete","")</f>
        <v/>
      </c>
    </row>
    <row r="194">
      <c r="A194" t="inlineStr">
        <is>
          <t>ARC0193</t>
        </is>
      </c>
      <c r="D194" s="8" t="n"/>
      <c r="F194">
        <f>IF(OR(B194="",C194="",D194="",E194=""),"",B194&amp;"_"&amp;SUBSTITUTE(C194," ","-")&amp;"_"&amp;TEXT(D194,"yyyymmdd")&amp;"_v"&amp;E194)</f>
        <v/>
      </c>
      <c r="I194">
        <f>IF(OR(G194="",H194=""),"",IF(H194&gt;=G194,"Complete","Incomplete"))</f>
        <v/>
      </c>
      <c r="J194">
        <f>IF(B194="","","Retention period per bank policy; not defined in this simulation")</f>
        <v/>
      </c>
      <c r="L194" s="8" t="n"/>
      <c r="M194">
        <f>IF(AND(K194&lt;&gt;"",I194&lt;&gt;"Complete"),"CHECK: archived while incomplete","")</f>
        <v/>
      </c>
    </row>
    <row r="195">
      <c r="A195" t="inlineStr">
        <is>
          <t>ARC0194</t>
        </is>
      </c>
      <c r="D195" s="8" t="n"/>
      <c r="F195">
        <f>IF(OR(B195="",C195="",D195="",E195=""),"",B195&amp;"_"&amp;SUBSTITUTE(C195," ","-")&amp;"_"&amp;TEXT(D195,"yyyymmdd")&amp;"_v"&amp;E195)</f>
        <v/>
      </c>
      <c r="I195">
        <f>IF(OR(G195="",H195=""),"",IF(H195&gt;=G195,"Complete","Incomplete"))</f>
        <v/>
      </c>
      <c r="J195">
        <f>IF(B195="","","Retention period per bank policy; not defined in this simulation")</f>
        <v/>
      </c>
      <c r="L195" s="8" t="n"/>
      <c r="M195">
        <f>IF(AND(K195&lt;&gt;"",I195&lt;&gt;"Complete"),"CHECK: archived while incomplete","")</f>
        <v/>
      </c>
    </row>
    <row r="196">
      <c r="A196" t="inlineStr">
        <is>
          <t>ARC0195</t>
        </is>
      </c>
      <c r="D196" s="8" t="n"/>
      <c r="F196">
        <f>IF(OR(B196="",C196="",D196="",E196=""),"",B196&amp;"_"&amp;SUBSTITUTE(C196," ","-")&amp;"_"&amp;TEXT(D196,"yyyymmdd")&amp;"_v"&amp;E196)</f>
        <v/>
      </c>
      <c r="I196">
        <f>IF(OR(G196="",H196=""),"",IF(H196&gt;=G196,"Complete","Incomplete"))</f>
        <v/>
      </c>
      <c r="J196">
        <f>IF(B196="","","Retention period per bank policy; not defined in this simulation")</f>
        <v/>
      </c>
      <c r="L196" s="8" t="n"/>
      <c r="M196">
        <f>IF(AND(K196&lt;&gt;"",I196&lt;&gt;"Complete"),"CHECK: archived while incomplete","")</f>
        <v/>
      </c>
    </row>
    <row r="197">
      <c r="A197" t="inlineStr">
        <is>
          <t>ARC0196</t>
        </is>
      </c>
      <c r="D197" s="8" t="n"/>
      <c r="F197">
        <f>IF(OR(B197="",C197="",D197="",E197=""),"",B197&amp;"_"&amp;SUBSTITUTE(C197," ","-")&amp;"_"&amp;TEXT(D197,"yyyymmdd")&amp;"_v"&amp;E197)</f>
        <v/>
      </c>
      <c r="I197">
        <f>IF(OR(G197="",H197=""),"",IF(H197&gt;=G197,"Complete","Incomplete"))</f>
        <v/>
      </c>
      <c r="J197">
        <f>IF(B197="","","Retention period per bank policy; not defined in this simulation")</f>
        <v/>
      </c>
      <c r="L197" s="8" t="n"/>
      <c r="M197">
        <f>IF(AND(K197&lt;&gt;"",I197&lt;&gt;"Complete"),"CHECK: archived while incomplete","")</f>
        <v/>
      </c>
    </row>
    <row r="198">
      <c r="A198" t="inlineStr">
        <is>
          <t>ARC0197</t>
        </is>
      </c>
      <c r="D198" s="8" t="n"/>
      <c r="F198">
        <f>IF(OR(B198="",C198="",D198="",E198=""),"",B198&amp;"_"&amp;SUBSTITUTE(C198," ","-")&amp;"_"&amp;TEXT(D198,"yyyymmdd")&amp;"_v"&amp;E198)</f>
        <v/>
      </c>
      <c r="I198">
        <f>IF(OR(G198="",H198=""),"",IF(H198&gt;=G198,"Complete","Incomplete"))</f>
        <v/>
      </c>
      <c r="J198">
        <f>IF(B198="","","Retention period per bank policy; not defined in this simulation")</f>
        <v/>
      </c>
      <c r="L198" s="8" t="n"/>
      <c r="M198">
        <f>IF(AND(K198&lt;&gt;"",I198&lt;&gt;"Complete"),"CHECK: archived while incomplete","")</f>
        <v/>
      </c>
    </row>
    <row r="199">
      <c r="A199" t="inlineStr">
        <is>
          <t>ARC0198</t>
        </is>
      </c>
      <c r="D199" s="8" t="n"/>
      <c r="F199">
        <f>IF(OR(B199="",C199="",D199="",E199=""),"",B199&amp;"_"&amp;SUBSTITUTE(C199," ","-")&amp;"_"&amp;TEXT(D199,"yyyymmdd")&amp;"_v"&amp;E199)</f>
        <v/>
      </c>
      <c r="I199">
        <f>IF(OR(G199="",H199=""),"",IF(H199&gt;=G199,"Complete","Incomplete"))</f>
        <v/>
      </c>
      <c r="J199">
        <f>IF(B199="","","Retention period per bank policy; not defined in this simulation")</f>
        <v/>
      </c>
      <c r="L199" s="8" t="n"/>
      <c r="M199">
        <f>IF(AND(K199&lt;&gt;"",I199&lt;&gt;"Complete"),"CHECK: archived while incomplete","")</f>
        <v/>
      </c>
    </row>
    <row r="200">
      <c r="A200" t="inlineStr">
        <is>
          <t>ARC0199</t>
        </is>
      </c>
      <c r="D200" s="8" t="n"/>
      <c r="F200">
        <f>IF(OR(B200="",C200="",D200="",E200=""),"",B200&amp;"_"&amp;SUBSTITUTE(C200," ","-")&amp;"_"&amp;TEXT(D200,"yyyymmdd")&amp;"_v"&amp;E200)</f>
        <v/>
      </c>
      <c r="I200">
        <f>IF(OR(G200="",H200=""),"",IF(H200&gt;=G200,"Complete","Incomplete"))</f>
        <v/>
      </c>
      <c r="J200">
        <f>IF(B200="","","Retention period per bank policy; not defined in this simulation")</f>
        <v/>
      </c>
      <c r="L200" s="8" t="n"/>
      <c r="M200">
        <f>IF(AND(K200&lt;&gt;"",I200&lt;&gt;"Complete"),"CHECK: archived while incomplete","")</f>
        <v/>
      </c>
    </row>
    <row r="201">
      <c r="A201" t="inlineStr">
        <is>
          <t>ARC0200</t>
        </is>
      </c>
      <c r="D201" s="8" t="n"/>
      <c r="F201">
        <f>IF(OR(B201="",C201="",D201="",E201=""),"",B201&amp;"_"&amp;SUBSTITUTE(C201," ","-")&amp;"_"&amp;TEXT(D201,"yyyymmdd")&amp;"_v"&amp;E201)</f>
        <v/>
      </c>
      <c r="I201">
        <f>IF(OR(G201="",H201=""),"",IF(H201&gt;=G201,"Complete","Incomplete"))</f>
        <v/>
      </c>
      <c r="J201">
        <f>IF(B201="","","Retention period per bank policy; not defined in this simulation")</f>
        <v/>
      </c>
      <c r="L201" s="8" t="n"/>
      <c r="M201">
        <f>IF(AND(K201&lt;&gt;"",I201&lt;&gt;"Complete"),"CHECK: archived while incomplete","")</f>
        <v/>
      </c>
    </row>
  </sheetData>
  <conditionalFormatting sqref="I2:I201">
    <cfRule type="expression" priority="2" dxfId="0">
      <formula>I2="Incomplete"</formula>
    </cfRule>
  </conditionalFormatting>
  <conditionalFormatting sqref="M2:M201">
    <cfRule type="expression" priority="1" dxfId="0">
      <formula>LEFT(M2,5)="CHECK"</formula>
    </cfRule>
  </conditionalFormatting>
  <dataValidations count="3">
    <dataValidation sqref="C2:C201" showDropDown="0" showInputMessage="0" showErrorMessage="1" allowBlank="1" errorTitle="document_type" error="Pick a value from the list." type="list">
      <formula1>"Signatory list,Board resolution,ID document,Account opening form,Signature card,Address proof"</formula1>
    </dataValidation>
    <dataValidation sqref="K2:K201" showDropDown="0" showInputMessage="0" showErrorMessage="1" allowBlank="1" errorTitle="archived_by" error="Pick a value from the list." type="list">
      <formula1>"M1,M2,M3,M4,M5,M6,M7,M8"</formula1>
    </dataValidation>
    <dataValidation sqref="G2:H201" showDropDown="0" showInputMessage="0" showErrorMessage="1" allowBlank="1" errorTitle="Count" error="Enter a whole number from 0 to 20." type="whole">
      <formula1>0</formula1>
      <formula2>20</formula2>
    </dataValidation>
  </dataValidations>
  <pageMargins left="0.75" right="0.75" top="1" bottom="1" header="0.5" footer="0.5"/>
  <headerFooter>
    <oddHeader/>
    <oddFooter>&amp;CSimulated workflow on real GLEIF entity data. Not Citi data.</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2026-10-05T12:59:11Z</dcterms:created>
  <dcterms:modified xsi:type="dcterms:W3CDTF">2026-10-06T07:39:06Z</dcterms:modified>
  <cp:lastModifiedBy>KANISHKA SINGH</cp:lastModifiedBy>
</cp:coreProperties>
</file>